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134391a1e34a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fdbafa86db0c4d45"/>
    <x:sheet xmlns:r="http://schemas.openxmlformats.org/officeDocument/2006/relationships" name="Public Facts" sheetId="2" r:id="R557e234717c54f15"/>
    <x:sheet xmlns:r="http://schemas.openxmlformats.org/officeDocument/2006/relationships" name="Client Coverage" sheetId="3" r:id="Rc2d87bfa84774834"/>
    <x:sheet xmlns:r="http://schemas.openxmlformats.org/officeDocument/2006/relationships" name="Approved Anchors" sheetId="4" r:id="R3a2616d157cb4c3e"/>
    <x:sheet xmlns:r="http://schemas.openxmlformats.org/officeDocument/2006/relationships" name="Wallet Decision Impact" sheetId="5" r:id="R50018a0d49364b1f"/>
    <x:sheet xmlns:r="http://schemas.openxmlformats.org/officeDocument/2006/relationships" name="Evidence Queue" sheetId="6" r:id="R45e4892ae38b4f35"/>
    <x:sheet xmlns:r="http://schemas.openxmlformats.org/officeDocument/2006/relationships" name="Sensitivity" sheetId="7" r:id="R72f967c8e14945ec"/>
    <x:sheet xmlns:r="http://schemas.openxmlformats.org/officeDocument/2006/relationships" name="Promotion Readiness" sheetId="8" r:id="R037d16771cf04e63"/>
    <x:sheet xmlns:r="http://schemas.openxmlformats.org/officeDocument/2006/relationships" name="Checks" sheetId="9" r:id="R179f8167b7ec45ff"/>
    <x:sheet xmlns:r="http://schemas.openxmlformats.org/officeDocument/2006/relationships" name="Sources" sheetId="10" r:id="R15d3f61a9f564706"/>
  </x:sheets>
</x:workbook>
</file>

<file path=xl/comments1.xml><?xml version="1.0" encoding="utf-8"?>
<x:comments xmlns:x="http://schemas.openxmlformats.org/spreadsheetml/2006/main">
  <x:authors>
    <x:author>tc={AD76C85B-D33E-BD60-615F-7CE5ACBB1507}</x:author>
    <x:author>tc={A89C0A60-29CB-BCB1-C24E-756EBBD610BD}</x:author>
    <x:author>tc={749C636E-7A7E-44AE-C575-6C967A103843}</x:author>
    <x:author>tc={7FE82A63-FFDB-5C1F-7539-D7FF41424EFB}</x:author>
    <x:author>tc={BB5F2C3B-1762-02AC-3678-B827F2CD81AD}</x:author>
    <x:author>tc={27080485-9683-E160-FF00-3CC16D512FF2}</x:author>
    <x:author>tc={DFACCDE4-7ED8-D622-88B3-344385AC3840}</x:author>
    <x:author>tc={176ABCFB-F4B7-F2A0-6CFF-72FCA064BD19}</x:author>
    <x:author>tc={EBD22EC7-7EDE-503C-6C11-C70A8AC85292}</x:author>
    <x:author>tc={A3AB71C1-2A40-68B1-A5CD-30E6E071B7DC}</x:author>
    <x:author>tc={9278D5CC-0435-3F11-26AA-50760EA88AE2}</x:author>
    <x:author>tc={C5548CA7-37D6-14DD-75DC-5D6ABA3C43C2}</x:author>
    <x:author>tc={64547889-9E0A-2B22-DD82-0C778954A87F}</x:author>
    <x:author>tc={32875CDC-1D01-748F-3FEF-B564BCC4F6CF}</x:author>
    <x:author>tc={B08242B1-EF53-9913-910B-C22C411341F5}</x:author>
    <x:author>tc={92B968CD-6246-8C17-8389-D6C45A3CAE69}</x:author>
    <x:author>tc={AEFDF43C-FBE8-658F-E8C3-082FBEF1FF40}</x:author>
    <x:author>tc={C477C0D5-6519-22F1-33A2-8CBFC5557854}</x:author>
    <x:author>tc={2A8F1AF0-22C9-EDA3-08C4-FFFAA399F3C7}</x:author>
    <x:author>tc={8BF756B5-5E00-0DE9-09F9-77907D4C9B27}</x:author>
    <x:author>tc={3FD75A8B-4721-240C-1725-93E3EE1EB986}</x:author>
    <x:author>tc={3F9811A0-E684-E246-E214-8C12573FC814}</x:author>
    <x:author>tc={4F9A5689-95B3-30CB-7405-FABFDB180CF4}</x:author>
    <x:author>tc={E4D609D7-5387-D1AF-381B-4001D4950E09}</x:author>
    <x:author>tc={67656F98-6111-B2AA-2CAB-FA2A95D68C3B}</x:author>
    <x:author>tc={EAC88F74-D1D2-F311-7967-60FEFDCFB860}</x:author>
    <x:author>tc={3CFF812D-C7C6-99A0-97E8-633388370E81}</x:author>
    <x:author>tc={CFC63739-B318-9DB1-19F0-ABD1F0E2BD96}</x:author>
    <x:author>tc={95EE700C-5315-DC89-F405-B99C0C27E763}</x:author>
    <x:author>tc={A530B548-98B2-1B6B-D236-DD4C0D304C21}</x:author>
    <x:author>tc={4A572411-B39B-EF39-03F1-2EFD1E160F62}</x:author>
    <x:author>tc={45916D39-67A3-C79F-ACE1-95D427374BBA}</x:author>
    <x:author>tc={BD825591-F743-259C-A52D-AF796642E59E}</x:author>
    <x:author>tc={B8F05642-8361-695B-E2C3-D72F79D4922A}</x:author>
    <x:author>tc={E508EB94-396C-1034-1316-58874D6E8BC9}</x:author>
    <x:author>tc={1793642E-C2C1-DAAC-7003-1FCD16D9A995}</x:author>
    <x:author>tc={F5E05C9C-40FB-C157-CA88-5B258C461C5C}</x:author>
    <x:author>tc={86D52D69-2BD9-5726-B3DD-8E6158F10E4C}</x:author>
    <x:author>tc={75BAA52B-52EB-8817-C639-C9790E51E370}</x:author>
    <x:author>tc={D514FC67-0E8C-8F25-EDF2-E61B9654E20D}</x:author>
    <x:author>tc={E1C9BA7F-CA9B-C28D-CDFC-F17719A0EBB2}</x:author>
    <x:author>tc={057F447F-84A0-FE01-54A6-E5B1957E058E}</x:author>
    <x:author>tc={8FF56FC9-DE0E-E4F8-D33E-05FC6B5D72A5}</x:author>
    <x:author>tc={9C8A34A8-8CB0-CB37-B659-2765B7286F51}</x:author>
    <x:author>tc={A52F21B2-F7F1-89FB-088A-6B573542A95A}</x:author>
    <x:author>tc={B3D29C51-43CA-18B8-F661-9AC7B04E76C2}</x:author>
    <x:author>tc={895E733F-9450-F643-A586-C9778BCFEF53}</x:author>
    <x:author>tc={E6634DA4-21AA-05EC-F06D-B9D5A9029DF0}</x:author>
    <x:author>tc={41664D94-9B65-23EB-6D48-DE9DB5D48E7E}</x:author>
    <x:author>tc={D8706B28-69B3-9F03-9DD7-886259DD8C69}</x:author>
    <x:author>tc={D4F74F82-BBBB-6122-E9FE-F14DAE37B14A}</x:author>
    <x:author>tc={67A80EB2-6450-F365-0B53-F66EF759A5B2}</x:author>
    <x:author>tc={63BE2D86-BC91-9099-14D4-20CA68378DC7}</x:author>
    <x:author>tc={DE361AF7-1C5C-532F-D7E1-1E40636E490B}</x:author>
    <x:author>tc={0E8348F2-AC6D-4391-024E-2BB4B1396566}</x:author>
    <x:author>tc={5297095B-D43A-8FE6-6F7E-CD5A9B27EA97}</x:author>
    <x:author>tc={DA505CEF-AD44-D5D1-9EBC-8FBF8727A618}</x:author>
    <x:author>tc={D310B17F-864A-65D6-C23B-18D651A1BCA9}</x:author>
    <x:author>tc={99302A77-FD55-DE9E-B462-BC716BFA9BB5}</x:author>
    <x:author>tc={E66C77C3-9DB9-77B6-0264-53B6C1B54F2D}</x:author>
    <x:author>tc={DC9B3809-0C62-C255-8FE9-E64A74085043}</x:author>
    <x:author>tc={2B3B55AF-EB7A-60A7-0288-A2A428FD6C08}</x:author>
    <x:author>tc={276AFF59-0B12-12D0-1431-5C76483864FF}</x:author>
    <x:author>tc={D0D0533F-41FA-AB3B-9E96-F9659D12551B}</x:author>
    <x:author>tc={CA5C3F8B-3FB1-F256-BF7C-CF6073C0018C}</x:author>
    <x:author>tc={323181B4-321D-C42A-1A18-A4AEC9952C57}</x:author>
    <x:author>tc={4CF5C5D2-52D9-A3C3-9A30-81F574BE209A}</x:author>
    <x:author>tc={3E520E3F-3E8D-0F95-D221-C87981A69FF7}</x:author>
    <x:author>tc={F7DB273B-83BD-C7BB-95C1-735B3AF1B205}</x:author>
    <x:author>tc={22866379-A890-E2D9-0B92-FACDCC7AB0BC}</x:author>
    <x:author>tc={6D8065DD-C4EF-A377-7BFD-3DEDCF918431}</x:author>
    <x:author>tc={A39373E7-D5D7-F8D4-9E1F-40821AB51A56}</x:author>
    <x:author>tc={0A44F521-9201-C9A1-7C6D-695551F24ABE}</x:author>
    <x:author>tc={786A3C30-A168-1FE7-0EF4-AFE4E8F47993}</x:author>
    <x:author>tc={68A7284C-A659-0183-CDD3-AEE90897FAAE}</x:author>
    <x:author>tc={E10ADEC7-AB15-EC53-EDE8-D3A26CA60955}</x:author>
    <x:author>tc={42F3A693-983F-A53F-D994-965ABBF672D0}</x:author>
    <x:author>tc={40E2782A-C3CC-2E07-7DE1-DB388D05A7A8}</x:author>
    <x:author>tc={E50522DB-6CC5-0301-2314-72EC58FE6953}</x:author>
    <x:author>tc={58739544-7137-FB67-590F-28D001FB2D1D}</x:author>
    <x:author>tc={AD0E6454-9F8B-B5E0-95B7-AFEDC038B461}</x:author>
    <x:author>tc={1C8AD75C-462E-DBCB-8E4B-37D4695C94F8}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tc={2E8BB02A-3139-CD3C-5D0E-AC88CA8F2019}</x:author>
    <x:author>tc={3DDB81FF-15FD-E60F-489B-1575646D8469}</x:author>
    <x:author>tc={0B5932A0-8591-84E1-4B70-F63B49F3453B}</x:author>
    <x:author>tc={85C98FD3-C693-02C5-3332-CF1177B551E1}</x:author>
    <x:author>tc={AF6C3FB9-AED5-75A6-14A0-709E8AB91D48}</x:author>
    <x:author>tc={4772060B-833A-E9E9-3AFE-49A8716C7E71}</x:author>
    <x:author>tc={463A4A0F-682B-B1D6-D77A-560A23DBEFDF}</x:author>
    <x:author>tc={01F27E2A-6725-0C5C-B670-5509C805B925}</x:author>
    <x:author>tc={D34C2E48-D415-F647-028A-2040DCF81395}</x:author>
    <x:author>tc={DF49BA02-A9B1-2100-E76D-0280662C0C24}</x:author>
    <x:author>tc={887B564B-6DF2-1A16-A87D-1690562134E3}</x:author>
    <x:author>tc={A9408D64-360A-F652-AEBE-EA30854B6D47}</x:author>
    <x:author>tc={CFA78485-73F2-87C3-2112-AECA95F2BC16}</x:author>
    <x:author>tc={ACDF2784-4668-8932-E7E5-FED5F88FC129}</x:author>
    <x:author>tc={8E8819F0-B3BC-BADA-0386-C459F25795B7}</x:author>
    <x:author>tc={6AEB76BF-D747-D827-DA1F-1DFFC2C9ABE1}</x:author>
    <x:author>tc={42395BE8-EFDC-96FB-9DDC-BBE06E46377B}</x:author>
    <x:author>tc={BAC90213-71EA-9619-CF8B-747A266CC1BE}</x:author>
    <x:author>tc={6832C9B6-023D-39E0-35B5-084E38F583BC}</x:author>
    <x:author>tc={7993912D-A7F7-7C1A-88A0-D39B35A8B006}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0B63E5"/>
      </x:font>
      <x:fill>
        <x:patternFill patternType="solid">
          <x:bgColor rgb="FFEEF5FF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ac725c228a4a3e" /><Relationship Type="http://schemas.openxmlformats.org/officeDocument/2006/relationships/theme" Target="/xl/theme/theme1.xml" Id="Rd8f89fc1f0da44bd" /><Relationship Type="http://schemas.openxmlformats.org/officeDocument/2006/relationships/sharedStrings" Target="/xl/sharedStrings.xml" Id="R6f005b3797b04525" /><Relationship Type="http://schemas.openxmlformats.org/officeDocument/2006/relationships/worksheet" Target="/xl/worksheets/sheet1.xml" Id="Rfdbafa86db0c4d45" /><Relationship Type="http://schemas.openxmlformats.org/officeDocument/2006/relationships/worksheet" Target="/xl/worksheets/sheet2.xml" Id="R557e234717c54f15" /><Relationship Type="http://schemas.openxmlformats.org/officeDocument/2006/relationships/worksheet" Target="/xl/worksheets/sheet3.xml" Id="Rc2d87bfa84774834" /><Relationship Type="http://schemas.openxmlformats.org/officeDocument/2006/relationships/worksheet" Target="/xl/worksheets/sheet4.xml" Id="R3a2616d157cb4c3e" /><Relationship Type="http://schemas.openxmlformats.org/officeDocument/2006/relationships/worksheet" Target="/xl/worksheets/sheet5.xml" Id="R50018a0d49364b1f" /><Relationship Type="http://schemas.openxmlformats.org/officeDocument/2006/relationships/worksheet" Target="/xl/worksheets/sheet6.xml" Id="R45e4892ae38b4f35" /><Relationship Type="http://schemas.openxmlformats.org/officeDocument/2006/relationships/worksheet" Target="/xl/worksheets/sheet7.xml" Id="R72f967c8e14945ec" /><Relationship Type="http://schemas.openxmlformats.org/officeDocument/2006/relationships/worksheet" Target="/xl/worksheets/sheet8.xml" Id="R037d16771cf04e63" /><Relationship Type="http://schemas.openxmlformats.org/officeDocument/2006/relationships/worksheet" Target="/xl/worksheets/sheet9.xml" Id="R179f8167b7ec45ff" /><Relationship Type="http://schemas.openxmlformats.org/officeDocument/2006/relationships/worksheet" Target="/xl/worksheets/sheet10.xml" Id="R15d3f61a9f564706" /><Relationship Type="http://schemas.microsoft.com/office/2017/10/relationships/person" Target="/xl/persons/person.xml" Id="Rd1e8af89687b4ef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25506968cc6436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5506968cc64361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2.0" id="{98806F8D-1B23-42E5-B5EC-41B17E56C056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4T20:48:54.584" personId="{98806F8D-1B23-42E5-B5EC-41B17E56C056}" id="{AD76C85B-D33E-BD60-615F-7CE5ACBB1507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4T20:48:54.596" personId="{98806F8D-1B23-42E5-B5EC-41B17E56C056}" id="{A89C0A60-29CB-BCB1-C24E-756EBBD610BD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4T20:48:54.596" personId="{98806F8D-1B23-42E5-B5EC-41B17E56C056}" id="{749C636E-7A7E-44AE-C575-6C967A103843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4T20:48:54.597" personId="{98806F8D-1B23-42E5-B5EC-41B17E56C056}" id="{7FE82A63-FFDB-5C1F-7539-D7FF41424EFB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4T20:48:54.597" personId="{98806F8D-1B23-42E5-B5EC-41B17E56C056}" id="{BB5F2C3B-1762-02AC-3678-B827F2CD81AD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4T20:48:54.597" personId="{98806F8D-1B23-42E5-B5EC-41B17E56C056}" id="{27080485-9683-E160-FF00-3CC16D512FF2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4T20:48:54.597" personId="{98806F8D-1B23-42E5-B5EC-41B17E56C056}" id="{DFACCDE4-7ED8-D622-88B3-344385AC3840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4T20:48:54.597" personId="{98806F8D-1B23-42E5-B5EC-41B17E56C056}" id="{176ABCFB-F4B7-F2A0-6CFF-72FCA064BD19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4T20:48:54.597" personId="{98806F8D-1B23-42E5-B5EC-41B17E56C056}" id="{EBD22EC7-7EDE-503C-6C11-C70A8AC85292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4T20:48:54.598" personId="{98806F8D-1B23-42E5-B5EC-41B17E56C056}" id="{A3AB71C1-2A40-68B1-A5CD-30E6E071B7DC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4T20:48:54.598" personId="{98806F8D-1B23-42E5-B5EC-41B17E56C056}" id="{9278D5CC-0435-3F11-26AA-50760EA88AE2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4T20:48:54.598" personId="{98806F8D-1B23-42E5-B5EC-41B17E56C056}" id="{C5548CA7-37D6-14DD-75DC-5D6ABA3C43C2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4T20:48:54.598" personId="{98806F8D-1B23-42E5-B5EC-41B17E56C056}" id="{64547889-9E0A-2B22-DD82-0C778954A87F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4T20:48:54.599" personId="{98806F8D-1B23-42E5-B5EC-41B17E56C056}" id="{32875CDC-1D01-748F-3FEF-B564BCC4F6CF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4T20:48:54.599" personId="{98806F8D-1B23-42E5-B5EC-41B17E56C056}" id="{B08242B1-EF53-9913-910B-C22C411341F5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4T20:48:54.599" personId="{98806F8D-1B23-42E5-B5EC-41B17E56C056}" id="{92B968CD-6246-8C17-8389-D6C45A3CAE69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4T20:48:54.599" personId="{98806F8D-1B23-42E5-B5EC-41B17E56C056}" id="{AEFDF43C-FBE8-658F-E8C3-082FBEF1FF40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4T20:48:54.599" personId="{98806F8D-1B23-42E5-B5EC-41B17E56C056}" id="{C477C0D5-6519-22F1-33A2-8CBFC5557854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4T20:48:54.599" personId="{98806F8D-1B23-42E5-B5EC-41B17E56C056}" id="{2A8F1AF0-22C9-EDA3-08C4-FFFAA399F3C7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4T20:48:54.599" personId="{98806F8D-1B23-42E5-B5EC-41B17E56C056}" id="{8BF756B5-5E00-0DE9-09F9-77907D4C9B27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4T20:48:54.599" personId="{98806F8D-1B23-42E5-B5EC-41B17E56C056}" id="{3FD75A8B-4721-240C-1725-93E3EE1EB986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4T20:48:54.599" personId="{98806F8D-1B23-42E5-B5EC-41B17E56C056}" id="{3F9811A0-E684-E246-E214-8C12573FC814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4T20:48:54.599" personId="{98806F8D-1B23-42E5-B5EC-41B17E56C056}" id="{4F9A5689-95B3-30CB-7405-FABFDB180CF4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4T20:48:54.599" personId="{98806F8D-1B23-42E5-B5EC-41B17E56C056}" id="{E4D609D7-5387-D1AF-381B-4001D4950E09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4T20:48:54.599" personId="{98806F8D-1B23-42E5-B5EC-41B17E56C056}" id="{67656F98-6111-B2AA-2CAB-FA2A95D68C3B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4T20:48:54.599" personId="{98806F8D-1B23-42E5-B5EC-41B17E56C056}" id="{EAC88F74-D1D2-F311-7967-60FEFDCFB860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4T20:48:54.599" personId="{98806F8D-1B23-42E5-B5EC-41B17E56C056}" id="{3CFF812D-C7C6-99A0-97E8-633388370E81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4T20:48:54.599" personId="{98806F8D-1B23-42E5-B5EC-41B17E56C056}" id="{CFC63739-B318-9DB1-19F0-ABD1F0E2BD96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4T20:48:54.599" personId="{98806F8D-1B23-42E5-B5EC-41B17E56C056}" id="{95EE700C-5315-DC89-F405-B99C0C27E763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4T20:48:54.599" personId="{98806F8D-1B23-42E5-B5EC-41B17E56C056}" id="{A530B548-98B2-1B6B-D236-DD4C0D304C21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4T20:48:54.6" personId="{98806F8D-1B23-42E5-B5EC-41B17E56C056}" id="{4A572411-B39B-EF39-03F1-2EFD1E160F62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4T20:48:54.6" personId="{98806F8D-1B23-42E5-B5EC-41B17E56C056}" id="{45916D39-67A3-C79F-ACE1-95D427374BBA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4T20:48:54.6" personId="{98806F8D-1B23-42E5-B5EC-41B17E56C056}" id="{BD825591-F743-259C-A52D-AF796642E59E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4T20:48:54.6" personId="{98806F8D-1B23-42E5-B5EC-41B17E56C056}" id="{B8F05642-8361-695B-E2C3-D72F79D4922A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4T20:48:54.6" personId="{98806F8D-1B23-42E5-B5EC-41B17E56C056}" id="{E508EB94-396C-1034-1316-58874D6E8BC9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4T20:48:54.6" personId="{98806F8D-1B23-42E5-B5EC-41B17E56C056}" id="{1793642E-C2C1-DAAC-7003-1FCD16D9A995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4T20:48:54.6" personId="{98806F8D-1B23-42E5-B5EC-41B17E56C056}" id="{F5E05C9C-40FB-C157-CA88-5B258C461C5C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4T20:48:54.6" personId="{98806F8D-1B23-42E5-B5EC-41B17E56C056}" id="{86D52D69-2BD9-5726-B3DD-8E6158F10E4C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4T20:48:54.6" personId="{98806F8D-1B23-42E5-B5EC-41B17E56C056}" id="{75BAA52B-52EB-8817-C639-C9790E51E370}">
    <xltc:text>Source: https://www.shopriteholdings.co.za/docs/shp-afs-2025.pdf
Page: 18
Available: 2025-10-13
SHA-256: seed-register-hash:SHP-2025-AP-CLOSE</xltc:text>
  </xltc:threadedComment>
  <xltc:threadedComment ref="P44" dT="2026-08-14T20:48:54.6" personId="{98806F8D-1B23-42E5-B5EC-41B17E56C056}" id="{D514FC67-0E8C-8F25-EDF2-E61B9654E20D}">
    <xltc:text>Source: https://www.shopriteholdings.co.za/docs/shp-afs-2025.pdf
Page: 18
Available: 2025-10-13
SHA-256: seed-register-hash:SHP-2025-AP-OPEN</xltc:text>
  </xltc:threadedComment>
  <xltc:threadedComment ref="P45" dT="2026-08-14T20:48:54.6" personId="{98806F8D-1B23-42E5-B5EC-41B17E56C056}" id="{E1C9BA7F-CA9B-C28D-CDFC-F17719A0EBB2}">
    <xltc:text>Source: https://www.shopriteholdings.co.za/docs/shp-afs-2025.pdf
Page: 18
Available: 2025-10-13
SHA-256: seed-register-hash:SHP-2025-AR-CLOSE</xltc:text>
  </xltc:threadedComment>
  <xltc:threadedComment ref="P46" dT="2026-08-14T20:48:54.6" personId="{98806F8D-1B23-42E5-B5EC-41B17E56C056}" id="{057F447F-84A0-FE01-54A6-E5B1957E058E}">
    <xltc:text>Source: https://www.shopriteholdings.co.za/docs/shp-afs-2025.pdf
Page: 18
Available: 2025-10-13
SHA-256: seed-register-hash:SHP-2025-AR-OPEN</xltc:text>
  </xltc:threadedComment>
  <xltc:threadedComment ref="P47" dT="2026-08-14T20:48:54.6" personId="{98806F8D-1B23-42E5-B5EC-41B17E56C056}" id="{8FF56FC9-DE0E-E4F8-D33E-05FC6B5D72A5}">
    <xltc:text>Source: https://www.shopriteholdings.co.za/docs/shp-afs-2025.pdf
Page: 19
Available: 2025-10-13
SHA-256: seed-register-hash:SHP-2025-COST</xltc:text>
  </xltc:threadedComment>
  <xltc:threadedComment ref="P48" dT="2026-08-14T20:48:54.6" personId="{98806F8D-1B23-42E5-B5EC-41B17E56C056}" id="{9C8A34A8-8CB0-CB37-B659-2765B7286F51}">
    <xltc:text>Source: https://www.shopriteholdings.co.za/docs/shp-afs-2025.pdf
Page: 18
Available: 2025-10-13
SHA-256: seed-register-hash:SHP-2025-DEBT</xltc:text>
  </xltc:threadedComment>
  <xltc:threadedComment ref="P49" dT="2026-08-14T20:48:54.6" personId="{98806F8D-1B23-42E5-B5EC-41B17E56C056}" id="{A52F21B2-F7F1-89FB-088A-6B573542A95A}">
    <xltc:text>Source: https://www.shopriteholdings.co.za/docs/shp-afs-2025.pdf
Page: 118
Available: 2025-10-13
SHA-256: seed-register-hash:SHP-2025-FX</xltc:text>
  </xltc:threadedComment>
  <xltc:threadedComment ref="P50" dT="2026-08-14T20:48:54.6" personId="{98806F8D-1B23-42E5-B5EC-41B17E56C056}" id="{B3D29C51-43CA-18B8-F661-9AC7B04E76C2}">
    <xltc:text>Source: https://www.shopriteholdings.co.za/docs/shp-afs-2025.pdf
Page: 18
Available: 2025-10-13
SHA-256: seed-register-hash:SHP-2025-INV-CLOSE</xltc:text>
  </xltc:threadedComment>
  <xltc:threadedComment ref="P51" dT="2026-08-14T20:48:54.6" personId="{98806F8D-1B23-42E5-B5EC-41B17E56C056}" id="{895E733F-9450-F643-A586-C9778BCFEF53}">
    <xltc:text>Source: https://www.shopriteholdings.co.za/docs/shp-afs-2025.pdf
Page: 18
Available: 2025-10-13
SHA-256: seed-register-hash:SHP-2025-INV-OPEN</xltc:text>
  </xltc:threadedComment>
  <xltc:threadedComment ref="P52" dT="2026-08-14T20:48:54.6" personId="{98806F8D-1B23-42E5-B5EC-41B17E56C056}" id="{E6634DA4-21AA-05EC-F06D-B9D5A9029DF0}">
    <xltc:text>Source: https://www.shopriteholdings.co.za/docs/shp-afs-2025.pdf
Page: 19
Available: 2025-10-13
SHA-256: seed-register-hash:SHP-2025-REV</xltc:text>
  </xltc:threadedComment>
  <xltc:threadedComment ref="P53" dT="2026-08-14T20:48:54.6" personId="{98806F8D-1B23-42E5-B5EC-41B17E56C056}" id="{41664D94-9B65-23EB-6D48-DE9DB5D48E7E}">
    <xltc:text>Source: https://www.shopriteholdings.co.za/docs/shp-afs-2025.pdf
Page: 18
Available: 2025-10-13
SHA-256: seed-register-hash:SHP-2025-STF</xltc:text>
  </xltc:threadedComment>
  <xltc:threadedComment ref="P54" dT="2026-08-14T20:48:54.6" personId="{98806F8D-1B23-42E5-B5EC-41B17E56C056}" id="{D8706B28-69B3-9F03-9DD7-886259DD8C69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4T20:48:54.6" personId="{98806F8D-1B23-42E5-B5EC-41B17E56C056}" id="{D4F74F82-BBBB-6122-E9FE-F14DAE37B14A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4T20:48:54.601" personId="{98806F8D-1B23-42E5-B5EC-41B17E56C056}" id="{67A80EB2-6450-F365-0B53-F66EF759A5B2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4T20:48:54.601" personId="{98806F8D-1B23-42E5-B5EC-41B17E56C056}" id="{63BE2D86-BC91-9099-14D4-20CA68378DC7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4T20:48:54.601" personId="{98806F8D-1B23-42E5-B5EC-41B17E56C056}" id="{DE361AF7-1C5C-532F-D7E1-1E40636E490B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4T20:48:54.601" personId="{98806F8D-1B23-42E5-B5EC-41B17E56C056}" id="{0E8348F2-AC6D-4391-024E-2BB4B1396566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4T20:48:54.601" personId="{98806F8D-1B23-42E5-B5EC-41B17E56C056}" id="{5297095B-D43A-8FE6-6F7E-CD5A9B27EA97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4T20:48:54.601" personId="{98806F8D-1B23-42E5-B5EC-41B17E56C056}" id="{DA505CEF-AD44-D5D1-9EBC-8FBF8727A618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4T20:48:54.601" personId="{98806F8D-1B23-42E5-B5EC-41B17E56C056}" id="{D310B17F-864A-65D6-C23B-18D651A1BCA9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4T20:48:54.601" personId="{98806F8D-1B23-42E5-B5EC-41B17E56C056}" id="{99302A77-FD55-DE9E-B462-BC716BFA9BB5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4T20:48:54.601" personId="{98806F8D-1B23-42E5-B5EC-41B17E56C056}" id="{E66C77C3-9DB9-77B6-0264-53B6C1B54F2D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4T20:48:54.601" personId="{98806F8D-1B23-42E5-B5EC-41B17E56C056}" id="{DC9B3809-0C62-C255-8FE9-E64A74085043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4T20:48:54.601" personId="{98806F8D-1B23-42E5-B5EC-41B17E56C056}" id="{2B3B55AF-EB7A-60A7-0288-A2A428FD6C08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4T20:48:54.601" personId="{98806F8D-1B23-42E5-B5EC-41B17E56C056}" id="{276AFF59-0B12-12D0-1431-5C76483864FF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4T20:48:54.601" personId="{98806F8D-1B23-42E5-B5EC-41B17E56C056}" id="{D0D0533F-41FA-AB3B-9E96-F9659D12551B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4T20:48:54.601" personId="{98806F8D-1B23-42E5-B5EC-41B17E56C056}" id="{CA5C3F8B-3FB1-F256-BF7C-CF6073C0018C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4T20:48:54.601" personId="{98806F8D-1B23-42E5-B5EC-41B17E56C056}" id="{323181B4-321D-C42A-1A18-A4AEC9952C57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4T20:48:54.601" personId="{98806F8D-1B23-42E5-B5EC-41B17E56C056}" id="{4CF5C5D2-52D9-A3C3-9A30-81F574BE209A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4T20:48:54.601" personId="{98806F8D-1B23-42E5-B5EC-41B17E56C056}" id="{3E520E3F-3E8D-0F95-D221-C87981A69FF7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4T20:48:54.601" personId="{98806F8D-1B23-42E5-B5EC-41B17E56C056}" id="{F7DB273B-83BD-C7BB-95C1-735B3AF1B205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4T20:48:54.601" personId="{98806F8D-1B23-42E5-B5EC-41B17E56C056}" id="{22866379-A890-E2D9-0B92-FACDCC7AB0BC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4T20:48:54.601" personId="{98806F8D-1B23-42E5-B5EC-41B17E56C056}" id="{6D8065DD-C4EF-A377-7BFD-3DEDCF918431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4T20:48:54.601" personId="{98806F8D-1B23-42E5-B5EC-41B17E56C056}" id="{A39373E7-D5D7-F8D4-9E1F-40821AB51A56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4T20:48:54.601" personId="{98806F8D-1B23-42E5-B5EC-41B17E56C056}" id="{0A44F521-9201-C9A1-7C6D-695551F24ABE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4T20:48:54.601" personId="{98806F8D-1B23-42E5-B5EC-41B17E56C056}" id="{786A3C30-A168-1FE7-0EF4-AFE4E8F47993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4T20:48:54.601" personId="{98806F8D-1B23-42E5-B5EC-41B17E56C056}" id="{68A7284C-A659-0183-CDD3-AEE90897FAAE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4T20:48:54.601" personId="{98806F8D-1B23-42E5-B5EC-41B17E56C056}" id="{E10ADEC7-AB15-EC53-EDE8-D3A26CA60955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4T20:48:54.601" personId="{98806F8D-1B23-42E5-B5EC-41B17E56C056}" id="{42F3A693-983F-A53F-D994-965ABBF672D0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4T20:48:54.601" personId="{98806F8D-1B23-42E5-B5EC-41B17E56C056}" id="{40E2782A-C3CC-2E07-7DE1-DB388D05A7A8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4T20:48:54.601" personId="{98806F8D-1B23-42E5-B5EC-41B17E56C056}" id="{E50522DB-6CC5-0301-2314-72EC58FE6953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4T20:48:54.601" personId="{98806F8D-1B23-42E5-B5EC-41B17E56C056}" id="{58739544-7137-FB67-590F-28D001FB2D1D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4T20:48:54.601" personId="{98806F8D-1B23-42E5-B5EC-41B17E56C056}" id="{AD0E6454-9F8B-B5E0-95B7-AFEDC038B461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4T20:48:54.602" personId="{98806F8D-1B23-42E5-B5EC-41B17E56C056}" id="{1C8AD75C-462E-DBCB-8E4B-37D4695C94F8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4T20:48:55.323" personId="{98806F8D-1B23-42E5-B5EC-41B17E56C056}" id="{2E8BB02A-3139-CD3C-5D0E-AC88CA8F2019}">
    <xltc:text>Official source: https://www.bhp.com/-/media/documents/investors/annual-reports/2025/250819_bhpannualreport2025.pdf</xltc:text>
  </xltc:threadedComment>
  <xltc:threadedComment ref="J6" dT="2026-08-14T20:48:55.329" personId="{98806F8D-1B23-42E5-B5EC-41B17E56C056}" id="{3DDB81FF-15FD-E60F-489B-1575646D8469}">
    <xltc:text>Official source: https://www.glencore.com/.rest/api/v1/documents/static/9b103e11-72e7-40bf-ae7c-eabe57361522/GLEN-2025-Annual-Report.pdf</xltc:text>
  </xltc:threadedComment>
  <xltc:threadedComment ref="J7" dT="2026-08-14T20:48:55.335" personId="{98806F8D-1B23-42E5-B5EC-41B17E56C056}" id="{0B5932A0-8591-84E1-4B70-F63B49F3453B}">
    <xltc:text>Official source: https://www.angloamerican.com/~/media/Files/A/Anglo-American-Group-v9/PLC/investors/annual-reporting/2025/aa-annual-report-full-2025.pdf</xltc:text>
  </xltc:threadedComment>
  <xltc:threadedComment ref="J8" dT="2026-08-14T20:48:55.34" personId="{98806F8D-1B23-42E5-B5EC-41B17E56C056}" id="{85C98FD3-C693-02C5-3332-CF1177B551E1}">
    <xltc:text>Official source: https://reports.anglogoldashanti.com/25/download/AGA-AR25.pdf</xltc:text>
  </xltc:threadedComment>
  <xltc:threadedComment ref="J9" dT="2026-08-14T20:48:55.346" personId="{98806F8D-1B23-42E5-B5EC-41B17E56C056}" id="{AF6C3FB9-AED5-75A6-14A0-709E8AB91D48}">
    <xltc:text>Official source: https://www.goldfields.com/pdf/investors/integrated-annual-reports/2025/afs-2025.pdf</xltc:text>
  </xltc:threadedComment>
  <xltc:threadedComment ref="J10" dT="2026-08-14T20:48:55.35" personId="{98806F8D-1B23-42E5-B5EC-41B17E56C056}" id="{4772060B-833A-E9E9-3AFE-49A8716C7E71}">
    <xltc:text>Official source: https://www.valterraplatinum.com/wp-content/uploads/2026/05/annual-financial-statements-2025.pdf</xltc:text>
  </xltc:threadedComment>
  <xltc:threadedComment ref="J11" dT="2026-08-14T20:48:55.355" personId="{98806F8D-1B23-42E5-B5EC-41B17E56C056}" id="{463A4A0F-682B-B1D6-D77A-560A23DBEFDF}">
    <xltc:text>Official source: https://group.outsurance.co.za/globalassets/documents/investor-relations/reports-and-results/2025/ogl-annual-financial-statements-2025.pdf</xltc:text>
  </xltc:threadedComment>
  <xltc:threadedComment ref="J12" dT="2026-08-14T20:48:55.359" personId="{98806F8D-1B23-42E5-B5EC-41B17E56C056}" id="{01F27E2A-6725-0C5C-B670-5509C805B925}">
    <xltc:text>Official source: https://www.sanlam.com/downloads/integrated-report-and-annual-financial-statements/2024/Sanlam-AFS-2024-spreads.pdf</xltc:text>
  </xltc:threadedComment>
  <xltc:threadedComment ref="J13" dT="2026-08-14T20:48:55.363" personId="{98806F8D-1B23-42E5-B5EC-41B17E56C056}" id="{D34C2E48-D415-F647-028A-2040DCF81395}">
    <xltc:text>Official source: https://www.shopriteholdings.co.za/docs/shp-afs-2025.pdf</xltc:text>
  </xltc:threadedComment>
  <xltc:threadedComment ref="J14" dT="2026-08-14T20:48:55.368" personId="{98806F8D-1B23-42E5-B5EC-41B17E56C056}" id="{DF49BA02-A9B1-2100-E76D-0280662C0C24}">
    <xltc:text>Official source: https://www.bidcorpgroup.com/pdf/reports/2025/Bidcorp-2025-AIR.pdf</xltc:text>
  </xltc:threadedComment>
  <xltc:threadedComment ref="J15" dT="2026-08-14T20:48:55.372" personId="{98806F8D-1B23-42E5-B5EC-41B17E56C056}" id="{887B564B-6DF2-1A16-A87D-1690562134E3}">
    <xltc:text>Official source: https://pepkor.co.za/wp-content/uploads/Pepkor-annual-financial-statements-2025.pdf</xltc:text>
  </xltc:threadedComment>
  <xltc:threadedComment ref="J16" dT="2026-08-14T20:48:55.377" personId="{98806F8D-1B23-42E5-B5EC-41B17E56C056}" id="{A9408D64-360A-F652-AEBE-EA30854B6D47}">
    <xltc:text>Official source: https://clicksgroup.co.za/iar2025/wp-content/uploads/CGL-YE25-Annual-financial-statements.pdf</xltc:text>
  </xltc:threadedComment>
  <xltc:threadedComment ref="J17" dT="2026-08-14T20:48:55.38" personId="{98806F8D-1B23-42E5-B5EC-41B17E56C056}" id="{CFA78485-73F2-87C3-2112-AECA95F2BC16}">
    <xltc:text>Official source: https://nepirockcastle.com/wp-content/uploads/2026/03/NEPI_Rockcastle_Annual_Report_2025.pdf</xltc:text>
  </xltc:threadedComment>
  <xltc:threadedComment ref="J18" dT="2026-08-14T20:48:55.384" personId="{98806F8D-1B23-42E5-B5EC-41B17E56C056}" id="{ACDF2784-4668-8932-E7E5-FED5F88FC129}">
    <xltc:text>Official source: https://www.prosus.com/~/media/Files/P/prosus-corp-v2/results-reports-and-events-archive/annual-report/2026/fy2026-annual-report.pdf</xltc:text>
  </xltc:threadedComment>
  <xltc:threadedComment ref="J19" dT="2026-08-14T20:48:55.39" personId="{98806F8D-1B23-42E5-B5EC-41B17E56C056}" id="{8E8819F0-B3BC-BADA-0386-C459F25795B7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4T20:48:55.393" personId="{98806F8D-1B23-42E5-B5EC-41B17E56C056}" id="{6AEB76BF-D747-D827-DA1F-1DFFC2C9ABE1}">
    <xltc:text>Official source: https://www.mtn.com/wp-content/uploads/2026/03/MTN-Group-FY-25-Annual-Financial-Statements.pdf</xltc:text>
  </xltc:threadedComment>
  <xltc:threadedComment ref="J21" dT="2026-08-14T20:48:55.397" personId="{98806F8D-1B23-42E5-B5EC-41B17E56C056}" id="{42395BE8-EFDC-96FB-9DDC-BBE06E46377B}">
    <xltc:text>Official source: https://vodacom-reports.co.za/integrated-reports/ir-2026/documents/vodacom-consolidated-and-separate-financial-statements-2026.pdf</xltc:text>
  </xltc:threadedComment>
  <xltc:threadedComment ref="J22" dT="2026-08-14T20:48:55.4" personId="{98806F8D-1B23-42E5-B5EC-41B17E56C056}" id="{BAC90213-71EA-9619-CF8B-747A266CC1BE}">
    <xltc:text>Official source: https://bidvest.co.za/pdf/annual-reports/2025/bidvest-iar-2025.pdf</xltc:text>
  </xltc:threadedComment>
  <xltc:threadedComment ref="J23" dT="2026-08-14T20:48:55.403" personId="{98806F8D-1B23-42E5-B5EC-41B17E56C056}" id="{6832C9B6-023D-39E0-35B5-084E38F583BC}">
    <xltc:text>Official source: https://www.aspenpharma.com/download/annual-financial-statements-2/</xltc:text>
  </xltc:threadedComment>
  <xltc:threadedComment ref="J24" dT="2026-08-14T20:48:55.406" personId="{98806F8D-1B23-42E5-B5EC-41B17E56C056}" id="{7993912D-A7F7-7C1A-88A0-D39B35A8B006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ef60e817f00244ed" /><Relationship Type="http://schemas.openxmlformats.org/officeDocument/2006/relationships/vmlDrawing" Target="/xl/drawings/vmldrawing.vml" Id="R528b73a12e734350" /><Relationship Type="http://schemas.microsoft.com/office/2017/10/relationships/threadedComment" Target="/xl/threadedcomments/threadedcomment.xml" Id="R30d67348a26e472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4d2884a664a446d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2.xml" Id="R898cb97e16214d01" /><Relationship Type="http://schemas.openxmlformats.org/officeDocument/2006/relationships/vmlDrawing" Target="/xl/drawings/vmldrawing2.vml" Id="R197aeb9524e2433e" /><Relationship Type="http://schemas.microsoft.com/office/2017/10/relationships/threadedComment" Target="/xl/threadedcomments/threadedcomment2.xml" Id="R1623aa594af347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V3.2.0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Evidence, wallet impact and Promotion Readiness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V3.2.0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528b73a12e734350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4d2884a664a446d2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V3.2.0 preserves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V3.2.0 preserves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V3.2.0 preserves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V3.2.0 preserves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V3.2.0 preserves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V3.2.0 preserves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V3.2.0 preserves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V3.2.0 preserves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V3.2.0 preserves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V3.2.0 preserves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V3.2.0 preserves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V3.2.0 preserves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V3.2.0 preserves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V3.2.0 preserves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V3.2.0 preserves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V3.2.0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</x:v>
      </x:c>
      <x:c r="N5" s="60" t="n">
        <x:v>0.07238021</x:v>
      </x:c>
      <x:c r="O5" s="60" t="n">
        <x:v>0.12612205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0.06541509</x:v>
      </x:c>
      <x:c r="N6" s="60" t="n">
        <x:v>0.16181852</x:v>
      </x:c>
      <x:c r="O6" s="60" t="n">
        <x:v>0.28037549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0.03841995</x:v>
      </x:c>
      <x:c r="N7" s="60" t="n">
        <x:v>0.07981693</x:v>
      </x:c>
      <x:c r="O7" s="60" t="n">
        <x:v>0.12866369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</x:v>
      </x:c>
      <x:c r="N8" s="60" t="n">
        <x:v>0.08703417</x:v>
      </x:c>
      <x:c r="O8" s="60" t="n">
        <x:v>0.13838917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</x:v>
      </x:c>
      <x:c r="N9" s="60" t="n">
        <x:v>0.07618742</x:v>
      </x:c>
      <x:c r="O9" s="60" t="n">
        <x:v>0.12439649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</x:v>
      </x:c>
      <x:c r="N10" s="60" t="n">
        <x:v>0.24354413</x:v>
      </x:c>
      <x:c r="O10" s="60" t="n">
        <x:v>0.52196462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0.07977618</x:v>
      </x:c>
      <x:c r="N11" s="60" t="n">
        <x:v>0.2611701</x:v>
      </x:c>
      <x:c r="O11" s="60" t="n">
        <x:v>0.5455656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</x:v>
      </x:c>
      <x:c r="N12" s="60" t="n">
        <x:v>0.23454245</x:v>
      </x:c>
      <x:c r="O12" s="60" t="n">
        <x:v>0.53975895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0.05949733</x:v>
      </x:c>
      <x:c r="N13" s="60" t="n">
        <x:v>0.24423793</x:v>
      </x:c>
      <x:c r="O13" s="60" t="n">
        <x:v>0.54168346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0.05863789</x:v>
      </x:c>
      <x:c r="N14" s="60" t="n">
        <x:v>0.24111169</x:v>
      </x:c>
      <x:c r="O14" s="60" t="n">
        <x:v>0.531838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</x:v>
      </x:c>
      <x:c r="N15" s="60" t="n">
        <x:v>0.10071775</x:v>
      </x:c>
      <x:c r="O15" s="60" t="n">
        <x:v>0.14078206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</x:v>
      </x:c>
      <x:c r="N16" s="60" t="n">
        <x:v>0.24147618</x:v>
      </x:c>
      <x:c r="O16" s="60" t="n">
        <x:v>0.38703403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</x:v>
      </x:c>
      <x:c r="N17" s="60" t="n">
        <x:v>0.25988873</x:v>
      </x:c>
      <x:c r="O17" s="60" t="n">
        <x:v>0.53559147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0.02194243</x:v>
      </x:c>
      <x:c r="N18" s="60" t="n">
        <x:v>0.03723024</x:v>
      </x:c>
      <x:c r="O18" s="60" t="n">
        <x:v>0.0519695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</x:v>
      </x:c>
      <x:c r="N19" s="60" t="n">
        <x:v>0.28674305</x:v>
      </x:c>
      <x:c r="O19" s="60" t="n">
        <x:v>0.50207322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</x:v>
      </x:c>
      <x:c r="N20" s="60" t="n">
        <x:v>0.29000231</x:v>
      </x:c>
      <x:c r="O20" s="60" t="n">
        <x:v>0.5557109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</x:v>
      </x:c>
      <x:c r="N21" s="60" t="n">
        <x:v>0.28999637</x:v>
      </x:c>
      <x:c r="O21" s="60" t="n">
        <x:v>0.55470948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0.09928181</x:v>
      </x:c>
      <x:c r="N22" s="60" t="n">
        <x:v>0.29154934</x:v>
      </x:c>
      <x:c r="O22" s="60" t="n">
        <x:v>0.55545118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0.05985572</x:v>
      </x:c>
      <x:c r="N23" s="60" t="n">
        <x:v>0.24209299</x:v>
      </x:c>
      <x:c r="O23" s="60" t="n">
        <x:v>0.53487145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0.07732687</x:v>
      </x:c>
      <x:c r="N24" s="60" t="n">
        <x:v>0.26246387</x:v>
      </x:c>
      <x:c r="O24" s="60" t="n">
        <x:v>0.52770064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0.05631368</x:v>
      </x:c>
      <x:c r="N25" s="60" t="n">
        <x:v>0.24059547</x:v>
      </x:c>
      <x:c r="O25" s="60" t="n">
        <x:v>0.54196308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</x:v>
      </x:c>
      <x:c r="N26" s="60" t="n">
        <x:v>0.03231816</x:v>
      </x:c>
      <x:c r="O26" s="60" t="n">
        <x:v>0.04621411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0.0793759</x:v>
      </x:c>
      <x:c r="N27" s="60" t="n">
        <x:v>0.2602088</x:v>
      </x:c>
      <x:c r="O27" s="60" t="n">
        <x:v>0.53771484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</x:v>
      </x:c>
      <x:c r="N28" s="60" t="n">
        <x:v>0.10475197</x:v>
      </x:c>
      <x:c r="O28" s="60" t="n">
        <x:v>0.14881733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</x:v>
      </x:c>
      <x:c r="N29" s="60" t="n">
        <x:v>0.2414994</x:v>
      </x:c>
      <x:c r="O29" s="60" t="n">
        <x:v>0.52859823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</x:v>
      </x:c>
      <x:c r="N30" s="60" t="n">
        <x:v>0.24527884</x:v>
      </x:c>
      <x:c r="O30" s="60" t="n">
        <x:v>0.53611447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</x:v>
      </x:c>
      <x:c r="N31" s="60" t="n">
        <x:v>0.25456097</x:v>
      </x:c>
      <x:c r="O31" s="60" t="n">
        <x:v>0.53459776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</x:v>
      </x:c>
      <x:c r="N32" s="60" t="n">
        <x:v>0.28763943</x:v>
      </x:c>
      <x:c r="O32" s="60" t="n">
        <x:v>0.55096638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</x:v>
      </x:c>
      <x:c r="N33" s="60" t="n">
        <x:v>0.28581012</x:v>
      </x:c>
      <x:c r="O33" s="60" t="n">
        <x:v>0.55198503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0.08999014</x:v>
      </x:c>
      <x:c r="N34" s="60" t="n">
        <x:v>0.15765593</x:v>
      </x:c>
      <x:c r="O34" s="60" t="n">
        <x:v>0.22475689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0.06051207</x:v>
      </x:c>
      <x:c r="N35" s="60" t="n">
        <x:v>0.10234614</x:v>
      </x:c>
      <x:c r="O35" s="60" t="n">
        <x:v>0.14473929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</x:v>
      </x:c>
      <x:c r="N36" s="60" t="n">
        <x:v>0.28617687</x:v>
      </x:c>
      <x:c r="O36" s="60" t="n">
        <x:v>0.54978583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0.08464714</x:v>
      </x:c>
      <x:c r="N37" s="60" t="n">
        <x:v>0.26470647</x:v>
      </x:c>
      <x:c r="O37" s="60" t="n">
        <x:v>0.54944131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</x:v>
      </x:c>
      <x:c r="N38" s="60" t="n">
        <x:v>0.28796164</x:v>
      </x:c>
      <x:c r="O38" s="60" t="n">
        <x:v>0.54909909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0.16069403</x:v>
      </x:c>
      <x:c r="N39" s="60" t="n">
        <x:v>0.32592559</x:v>
      </x:c>
      <x:c r="O39" s="60" t="n">
        <x:v>0.51222288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</x:v>
      </x:c>
      <x:c r="N40" s="60" t="n">
        <x:v>0.28649802</x:v>
      </x:c>
      <x:c r="O40" s="60" t="n">
        <x:v>0.55147893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</x:v>
      </x:c>
      <x:c r="N41" s="60" t="n">
        <x:v>0.23868246</x:v>
      </x:c>
      <x:c r="O41" s="60" t="n">
        <x:v>0.53580745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0.08308754</x:v>
      </x:c>
      <x:c r="N42" s="60" t="n">
        <x:v>0.26280062</x:v>
      </x:c>
      <x:c r="O42" s="60" t="n">
        <x:v>0.53436733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0.10070982</x:v>
      </x:c>
      <x:c r="N43" s="60" t="n">
        <x:v>0.28552321</x:v>
      </x:c>
      <x:c r="O43" s="60" t="n">
        <x:v>0.55133085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0.05506138</x:v>
      </x:c>
      <x:c r="N44" s="60" t="n">
        <x:v>0.23784218</x:v>
      </x:c>
      <x:c r="O44" s="60" t="n">
        <x:v>0.5330565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0.13866247</x:v>
      </x:c>
      <x:c r="N45" s="60" t="n">
        <x:v>0.33307259</x:v>
      </x:c>
      <x:c r="O45" s="60" t="n">
        <x:v>0.56479858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0.10040794</x:v>
      </x:c>
      <x:c r="N46" s="60" t="n">
        <x:v>0.29237659</x:v>
      </x:c>
      <x:c r="O46" s="60" t="n">
        <x:v>0.55246784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</x:v>
      </x:c>
      <x:c r="N47" s="60" t="n">
        <x:v>0.2836621</x:v>
      </x:c>
      <x:c r="O47" s="60" t="n">
        <x:v>0.54418632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0.05458359</x:v>
      </x:c>
      <x:c r="N48" s="60" t="n">
        <x:v>0.2357479</x:v>
      </x:c>
      <x:c r="O48" s="60" t="n">
        <x:v>0.53528575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</x:v>
      </x:c>
      <x:c r="N49" s="60" t="n">
        <x:v>0.285779</x:v>
      </x:c>
      <x:c r="O49" s="60" t="n">
        <x:v>0.54578957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</x:v>
      </x:c>
      <x:c r="N50" s="60" t="n">
        <x:v>0.2564893</x:v>
      </x:c>
      <x:c r="O50" s="60" t="n">
        <x:v>0.54988372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</x:v>
      </x:c>
      <x:c r="N51" s="60" t="n">
        <x:v>0.28685162</x:v>
      </x:c>
      <x:c r="O51" s="60" t="n">
        <x:v>0.54548679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</x:v>
      </x:c>
      <x:c r="N52" s="60" t="n">
        <x:v>0.28532249</x:v>
      </x:c>
      <x:c r="O52" s="60" t="n">
        <x:v>0.54319609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</x:v>
      </x:c>
      <x:c r="N53" s="60" t="n">
        <x:v>0.26495824</x:v>
      </x:c>
      <x:c r="O53" s="60" t="n">
        <x:v>0.54303072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0.08023988</x:v>
      </x:c>
      <x:c r="N54" s="60" t="n">
        <x:v>0.26388172</x:v>
      </x:c>
      <x:c r="O54" s="60" t="n">
        <x:v>0.53698312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</x:v>
      </x:c>
      <x:c r="N55" s="60" t="n">
        <x:v>0.2375084</x:v>
      </x:c>
      <x:c r="O55" s="60" t="n">
        <x:v>0.52556782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0.13903649</x:v>
      </x:c>
      <x:c r="N56" s="60" t="n">
        <x:v>0.33030231</x:v>
      </x:c>
      <x:c r="O56" s="60" t="n">
        <x:v>0.57343052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0.07581313</x:v>
      </x:c>
      <x:c r="N57" s="60" t="n">
        <x:v>0.2634734</x:v>
      </x:c>
      <x:c r="O57" s="60" t="n">
        <x:v>0.53617532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</x:v>
      </x:c>
      <x:c r="N58" s="60" t="n">
        <x:v>0.23593438</x:v>
      </x:c>
      <x:c r="O58" s="60" t="n">
        <x:v>0.51325501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0.15288513</x:v>
      </x:c>
      <x:c r="N59" s="60" t="n">
        <x:v>0.35083047</x:v>
      </x:c>
      <x:c r="O59" s="60" t="n">
        <x:v>0.58847012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</x:v>
      </x:c>
      <x:c r="N60" s="60" t="n">
        <x:v>0.33239541</x:v>
      </x:c>
      <x:c r="O60" s="60" t="n">
        <x:v>0.57509232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</x:v>
      </x:c>
      <x:c r="N61" s="60" t="n">
        <x:v>0.23689455</x:v>
      </x:c>
      <x:c r="O61" s="60" t="n">
        <x:v>0.54088855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</x:v>
      </x:c>
      <x:c r="N62" s="60" t="n">
        <x:v>0.33436877</x:v>
      </x:c>
      <x:c r="O62" s="60" t="n">
        <x:v>0.56775782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</x:v>
      </x:c>
      <x:c r="N63" s="60" t="n">
        <x:v>0.29138733</x:v>
      </x:c>
      <x:c r="O63" s="60" t="n">
        <x:v>0.5466488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0.0560717</x:v>
      </x:c>
      <x:c r="N64" s="60" t="n">
        <x:v>0.23722133</x:v>
      </x:c>
      <x:c r="O64" s="60" t="n">
        <x:v>0.5244584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</x:v>
      </x:c>
      <x:c r="N65" s="60" t="n">
        <x:v>0.35182744</x:v>
      </x:c>
      <x:c r="O65" s="60" t="n">
        <x:v>0.59254424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</x:v>
      </x:c>
      <x:c r="N66" s="60" t="n">
        <x:v>0.28407131</x:v>
      </x:c>
      <x:c r="O66" s="60" t="n">
        <x:v>0.54808263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</x:v>
      </x:c>
      <x:c r="N67" s="60" t="n">
        <x:v>0.35360152</x:v>
      </x:c>
      <x:c r="O67" s="60" t="n">
        <x:v>0.59436244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0.13964482</x:v>
      </x:c>
      <x:c r="N68" s="60" t="n">
        <x:v>0.32768476</x:v>
      </x:c>
      <x:c r="O68" s="60" t="n">
        <x:v>0.57491965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</x:v>
      </x:c>
      <x:c r="N69" s="60" t="n">
        <x:v>0.35289095</x:v>
      </x:c>
      <x:c r="O69" s="60" t="n">
        <x:v>0.58451387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</x:v>
      </x:c>
      <x:c r="N70" s="60" t="n">
        <x:v>0.26781406</x:v>
      </x:c>
      <x:c r="O70" s="60" t="n">
        <x:v>0.53903812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</x:v>
      </x:c>
      <x:c r="N71" s="60" t="n">
        <x:v>0.33613817</x:v>
      </x:c>
      <x:c r="O71" s="60" t="n">
        <x:v>0.57541287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</x:v>
      </x:c>
      <x:c r="N72" s="60" t="n">
        <x:v>0.34956896</x:v>
      </x:c>
      <x:c r="O72" s="60" t="n">
        <x:v>0.5975412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0.1394936</x:v>
      </x:c>
      <x:c r="N73" s="60" t="n">
        <x:v>0.33118079</x:v>
      </x:c>
      <x:c r="O73" s="60" t="n">
        <x:v>0.56862231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201859786</x:v>
      </x:c>
      <x:c r="K74" s="79" t="n">
        <x:v>391426781</x:v>
      </x:c>
      <x:c r="L74" s="79" t="n">
        <x:v>1162341739</x:v>
      </x:c>
      <x:c r="M74" s="60" t="n">
        <x:v>0.09582307</x:v>
      </x:c>
      <x:c r="N74" s="60" t="n">
        <x:v>0.28454658</x:v>
      </x:c>
      <x:c r="O74" s="60" t="n">
        <x:v>0.55176495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</x:v>
      </x:c>
      <x:c r="N75" s="60" t="n">
        <x:v>0.2612493</x:v>
      </x:c>
      <x:c r="O75" s="60" t="n">
        <x:v>0.54429028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0.07580788</x:v>
      </x:c>
      <x:c r="N76" s="60" t="n">
        <x:v>0.25921994</x:v>
      </x:c>
      <x:c r="O76" s="60" t="n">
        <x:v>0.53075427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</x:v>
      </x:c>
      <x:c r="N77" s="60" t="n">
        <x:v>0.23953981</x:v>
      </x:c>
      <x:c r="O77" s="60" t="n">
        <x:v>0.54190233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0.1327026</x:v>
      </x:c>
      <x:c r="N78" s="60" t="n">
        <x:v>0.3333806</x:v>
      </x:c>
      <x:c r="O78" s="60" t="n">
        <x:v>0.57999233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0.15556325</x:v>
      </x:c>
      <x:c r="N79" s="60" t="n">
        <x:v>0.35463101</x:v>
      </x:c>
      <x:c r="O79" s="60" t="n">
        <x:v>0.58784294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</x:v>
      </x:c>
      <x:c r="N80" s="60" t="n">
        <x:v>0.34865871</x:v>
      </x:c>
      <x:c r="O80" s="60" t="n">
        <x:v>0.59669626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</x:v>
      </x:c>
      <x:c r="N81" s="60" t="n">
        <x:v>0.33336179</x:v>
      </x:c>
      <x:c r="O81" s="60" t="n">
        <x:v>0.56850748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0.14672408</x:v>
      </x:c>
      <x:c r="N82" s="60" t="n">
        <x:v>0.34772613</x:v>
      </x:c>
      <x:c r="O82" s="60" t="n">
        <x:v>0.59834169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0.14119288</x:v>
      </x:c>
      <x:c r="N83" s="60" t="n">
        <x:v>0.32938018</x:v>
      </x:c>
      <x:c r="O83" s="60" t="n">
        <x:v>0.57436057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0.1532038</x:v>
      </x:c>
      <x:c r="N84" s="60" t="n">
        <x:v>0.34940617</x:v>
      </x:c>
      <x:c r="O84" s="60" t="n">
        <x:v>0.59775133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</x:v>
      </x:c>
      <x:c r="N85" s="60" t="n">
        <x:v>0.33074553</x:v>
      </x:c>
      <x:c r="O85" s="60" t="n">
        <x:v>0.56950624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0.05912839</x:v>
      </x:c>
      <x:c r="N86" s="60" t="n">
        <x:v>0.23902878</x:v>
      </x:c>
      <x:c r="O86" s="60" t="n">
        <x:v>0.53777566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0.0800007</x:v>
      </x:c>
      <x:c r="N87" s="60" t="n">
        <x:v>0.25614808</x:v>
      </x:c>
      <x:c r="O87" s="60" t="n">
        <x:v>0.54179573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</x:v>
      </x:c>
      <x:c r="N88" s="60" t="n">
        <x:v>0.35575616</x:v>
      </x:c>
      <x:c r="O88" s="60" t="n">
        <x:v>0.59652485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</x:v>
      </x:c>
      <x:c r="N89" s="60" t="n">
        <x:v>0.26349395</x:v>
      </x:c>
      <x:c r="O89" s="60" t="n">
        <x:v>0.54000341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</x:v>
      </x:c>
      <x:c r="N90" s="60" t="n">
        <x:v>0.3510843</x:v>
      </x:c>
      <x:c r="O90" s="60" t="n">
        <x:v>0.59078135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0.1415116</x:v>
      </x:c>
      <x:c r="N91" s="60" t="n">
        <x:v>0.33577666</x:v>
      </x:c>
      <x:c r="O91" s="60" t="n">
        <x:v>0.58245239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0.1379693</x:v>
      </x:c>
      <x:c r="N92" s="60" t="n">
        <x:v>0.33280748</x:v>
      </x:c>
      <x:c r="O92" s="60" t="n">
        <x:v>0.56758653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0.13717064</x:v>
      </x:c>
      <x:c r="N93" s="60" t="n">
        <x:v>0.32798291</x:v>
      </x:c>
      <x:c r="O93" s="60" t="n">
        <x:v>0.57677209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0.15487033</x:v>
      </x:c>
      <x:c r="N94" s="60" t="n">
        <x:v>0.34752894</x:v>
      </x:c>
      <x:c r="O94" s="60" t="n">
        <x:v>0.59497628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</x:v>
      </x:c>
      <x:c r="N95" s="60" t="n">
        <x:v>0.26377499</x:v>
      </x:c>
      <x:c r="O95" s="60" t="n">
        <x:v>0.53442934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0.15235545</x:v>
      </x:c>
      <x:c r="N96" s="60" t="n">
        <x:v>0.3534211</x:v>
      </x:c>
      <x:c r="O96" s="60" t="n">
        <x:v>0.58978102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</x:v>
      </x:c>
      <x:c r="N97" s="60" t="n">
        <x:v>0.35431156</x:v>
      </x:c>
      <x:c r="O97" s="60" t="n">
        <x:v>0.58112725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0.13935031</x:v>
      </x:c>
      <x:c r="N98" s="60" t="n">
        <x:v>0.33027036</x:v>
      </x:c>
      <x:c r="O98" s="60" t="n">
        <x:v>0.57457111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0.14994255</x:v>
      </x:c>
      <x:c r="N99" s="60" t="n">
        <x:v>0.35261697</x:v>
      </x:c>
      <x:c r="O99" s="60" t="n">
        <x:v>0.59233294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0.13933595</x:v>
      </x:c>
      <x:c r="N100" s="60" t="n">
        <x:v>0.32997206</x:v>
      </x:c>
      <x:c r="O100" s="60" t="n">
        <x:v>0.57570704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0.15474168</x:v>
      </x:c>
      <x:c r="N101" s="60" t="n">
        <x:v>0.34839686</x:v>
      </x:c>
      <x:c r="O101" s="60" t="n">
        <x:v>0.59043209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0.14405401</x:v>
      </x:c>
      <x:c r="N102" s="60" t="n">
        <x:v>0.3306676</x:v>
      </x:c>
      <x:c r="O102" s="60" t="n">
        <x:v>0.57033761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</x:v>
      </x:c>
      <x:c r="N103" s="60" t="n">
        <x:v>0.35249475</x:v>
      </x:c>
      <x:c r="O103" s="60" t="n">
        <x:v>0.59399191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</x:v>
      </x:c>
      <x:c r="N104" s="60" t="n">
        <x:v>0.41874351</x:v>
      </x:c>
      <x:c r="O104" s="60" t="n">
        <x:v>0.67546224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58" hidden="0" customWidth="1"/>
  </x:cols>
  <x:sheetData>
    <x:row r="1" ht="35" customHeight="1">
      <x:c r="A1" s="3" t="str">
        <x:v>Promotion Readiness Twin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6" customHeight="1">
      <x:c r="A2" s="7" t="str">
        <x:v>Blue is rehearsal evidence; green would require real bank evidence. Simulation can never authorize bank use.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30" customHeight="1">
      <x:c r="A4" s="71" t="str">
        <x:v>Real state</x:v>
      </x:c>
      <x:c r="B4" s="71" t="str">
        <x:v>Rehearsed state</x:v>
      </x:c>
      <x:c r="C4" s="71" t="str">
        <x:v>Bank shadow authorized</x:v>
      </x:c>
      <x:c r="D4" s="71" t="str">
        <x:v>PMR</x:v>
      </x:c>
      <x:c r="E4" s="71" t="str">
        <x:v>BER</x:v>
      </x:c>
      <x:c r="F4" s="71" t="str">
        <x:v>Rehearsal clean days</x:v>
      </x:c>
      <x:c r="G4" s="71" t="str">
        <x:v>Elapsed bank days</x:v>
      </x:c>
      <x:c r="H4" s="71" t="str">
        <x:v>Package status</x:v>
      </x:c>
      <x:c r="I4" s="71" t="str">
        <x:v>Bank status</x:v>
      </x:c>
      <x:c r="J4" s="71" t="str">
        <x:v>Real signer available</x:v>
      </x:c>
      <x:c r="K4" s="71" t="str">
        <x:v>Gate count</x:v>
      </x:c>
    </x:row>
    <x:row r="5">
      <x:c r="A5" s="58" t="str">
        <x:v>OFFLINE_CANDIDATE</x:v>
      </x:c>
      <x:c r="B5" s="58" t="str">
        <x:v>SHADOW_READY</x:v>
      </x:c>
      <x:c r="C5" s="58" t="str">
        <x:v>FALSE</x:v>
      </x:c>
      <x:c r="D5" s="60" t="n">
        <x:v>1</x:v>
      </x:c>
      <x:c r="E5" s="60" t="n">
        <x:v>0</x:v>
      </x:c>
      <x:c r="F5" s="58" t="n">
        <x:v>30</x:v>
      </x:c>
      <x:c r="G5" s="58" t="n">
        <x:v>0</x:v>
      </x:c>
      <x:c r="H5" s="58" t="str">
        <x:v>SHADOW_DEPLOYMENT_PACKAGE_READY</x:v>
      </x:c>
      <x:c r="I5" s="58" t="str">
        <x:v>NOT_PROMOTABLE</x:v>
      </x:c>
      <x:c r="J5" s="58" t="str">
        <x:v>FALSE</x:v>
      </x:c>
      <x:c r="K5" s="58" t="n">
        <x:v>30</x:v>
      </x:c>
    </x:row>
    <x:row r="8" ht="30" customHeight="1">
      <x:c r="A8" s="77" t="str">
        <x:v>Transition</x:v>
      </x:c>
      <x:c r="B8" s="77" t="str">
        <x:v>Gate ID</x:v>
      </x:c>
      <x:c r="C8" s="77" t="str">
        <x:v>Requirement</x:v>
      </x:c>
      <x:c r="D8" s="77" t="str">
        <x:v>Severity</x:v>
      </x:c>
      <x:c r="E8" s="77" t="str">
        <x:v>Blocking</x:v>
      </x:c>
      <x:c r="F8" s="77" t="str">
        <x:v>Real status</x:v>
      </x:c>
      <x:c r="G8" s="77" t="str">
        <x:v>Rehearsal status</x:v>
      </x:c>
      <x:c r="H8" s="77" t="str">
        <x:v>Evidence mode</x:v>
      </x:c>
      <x:c r="I8" s="77" t="str">
        <x:v>Signature</x:v>
      </x:c>
      <x:c r="J8" s="77" t="str">
        <x:v>Owner</x:v>
      </x:c>
      <x:c r="K8" s="77" t="str">
        <x:v>Approver</x:v>
      </x:c>
      <x:c r="L8" s="77" t="str">
        <x:v>What makes real pass</x:v>
      </x:c>
    </x:row>
    <x:row r="9">
      <x:c r="A9" s="58" t="str">
        <x:v>OFFLINE_CANDIDATE__TO__SHADOW_READY</x:v>
      </x:c>
      <x:c r="B9" s="58" t="str">
        <x:v>independent-reproduction</x:v>
      </x:c>
      <x:c r="C9" s="58" t="str">
        <x:v>A second party rebuilds every gated artifact byte-identically from the named commit.</x:v>
      </x:c>
      <x:c r="D9" s="58" t="str">
        <x:v>CRITICAL</x:v>
      </x:c>
      <x:c r="E9" s="58" t="str">
        <x:v>YES</x:v>
      </x:c>
      <x:c r="F9" s="58" t="str">
        <x:v>NOT_EVALUATED</x:v>
      </x:c>
      <x:c r="G9" s="58" t="str">
        <x:v>PASS</x:v>
      </x:c>
      <x:c r="H9" s="58" t="str">
        <x:v>SYNTHETIC_REHEARSAL</x:v>
      </x:c>
      <x:c r="I9" s="58" t="str">
        <x:v>SIGNED_REHEARSAL</x:v>
      </x:c>
      <x:c r="J9" s="58" t="str">
        <x:v>ENGINEERING</x:v>
      </x:c>
      <x:c r="K9" s="58" t="str">
        <x:v>MODEL_RISK</x:v>
      </x:c>
      <x:c r="L9" s="58" t="str">
        <x:v>A reviewer outside the build machine runs scripts/build_submission.py at the tagged commit and reports matching digests for all 74 gated artifacts.</x:v>
      </x:c>
    </x:row>
    <x:row r="10">
      <x:c r="A10" s="58" t="str">
        <x:v>OFFLINE_CANDIDATE__TO__SHADOW_READY</x:v>
      </x:c>
      <x:c r="B10" s="58" t="str">
        <x:v>point-in-time-zero-leakage</x:v>
      </x:c>
      <x:c r="C10" s="58" t="str">
        <x:v>No input dated after a record's as_of informs that record.</x:v>
      </x:c>
      <x:c r="D10" s="58" t="str">
        <x:v>CRITICAL</x:v>
      </x:c>
      <x:c r="E10" s="58" t="str">
        <x:v>YES</x:v>
      </x:c>
      <x:c r="F10" s="58" t="str">
        <x:v>NOT_EVALUATED</x:v>
      </x:c>
      <x:c r="G10" s="58" t="str">
        <x:v>PASS</x:v>
      </x:c>
      <x:c r="H10" s="58" t="str">
        <x:v>SYNTHETIC_REHEARSAL</x:v>
      </x:c>
      <x:c r="I10" s="58" t="str">
        <x:v>SIGNED_REHEARSAL</x:v>
      </x:c>
      <x:c r="J10" s="58" t="str">
        <x:v>DATA_ENGINEERING</x:v>
      </x:c>
      <x:c r="K10" s="58" t="str">
        <x:v>MODEL_RISK</x:v>
      </x:c>
      <x:c r="L10" s="58" t="str">
        <x:v>The V3 validation report shows point_in_time_violations = 0 on bank data rather than on the public fixture.</x:v>
      </x:c>
    </x:row>
    <x:row r="11">
      <x:c r="A11" s="58" t="str">
        <x:v>OFFLINE_CANDIDATE__TO__SHADOW_READY</x:v>
      </x:c>
      <x:c r="B11" s="58" t="str">
        <x:v>reconciliation-exact</x:v>
      </x:c>
      <x:c r="C11" s="58" t="str">
        <x:v>Shadow wallet mass balance reconciles exactly, with no tolerance.</x:v>
      </x:c>
      <x:c r="D11" s="58" t="str">
        <x:v>CRITICAL</x:v>
      </x:c>
      <x:c r="E11" s="58" t="str">
        <x:v>YES</x:v>
      </x:c>
      <x:c r="F11" s="58" t="str">
        <x:v>NOT_EVALUATED</x:v>
      </x:c>
      <x:c r="G11" s="58" t="str">
        <x:v>PASS</x:v>
      </x:c>
      <x:c r="H11" s="58" t="str">
        <x:v>SYNTHETIC_REHEARSAL</x:v>
      </x:c>
      <x:c r="I11" s="58" t="str">
        <x:v>SIGNED_REHEARSAL</x:v>
      </x:c>
      <x:c r="J11" s="58" t="str">
        <x:v>FINANCE_OPERATIONS</x:v>
      </x:c>
      <x:c r="K11" s="58" t="str">
        <x:v>FINANCE_CONTROLLER</x:v>
      </x:c>
      <x:c r="L11" s="58" t="str">
        <x:v>Reconciliation runs against real bank balances for a full cycle and reports a rate of exactly 1.0.</x:v>
      </x:c>
    </x:row>
    <x:row r="12">
      <x:c r="A12" s="58" t="str">
        <x:v>OFFLINE_CANDIDATE__TO__SHADOW_READY</x:v>
      </x:c>
      <x:c r="B12" s="58" t="str">
        <x:v>interval-coverage-90</x:v>
      </x:c>
      <x:c r="C12" s="58" t="str">
        <x:v>Empirical coverage of the nominal 90% interval falls within 0.85–0.95.</x:v>
      </x:c>
      <x:c r="D12" s="58" t="str">
        <x:v>HIGH</x:v>
      </x:c>
      <x:c r="E12" s="58" t="str">
        <x:v>YES</x:v>
      </x:c>
      <x:c r="F12" s="58" t="str">
        <x:v>NOT_EVALUATED</x:v>
      </x:c>
      <x:c r="G12" s="58" t="str">
        <x:v>PASS</x:v>
      </x:c>
      <x:c r="H12" s="58" t="str">
        <x:v>SYNTHETIC_REHEARSAL</x:v>
      </x:c>
      <x:c r="I12" s="58" t="str">
        <x:v>SIGNED_REHEARSAL</x:v>
      </x:c>
      <x:c r="J12" s="58" t="str">
        <x:v>DATA_SCIENCE</x:v>
      </x:c>
      <x:c r="K12" s="58" t="str">
        <x:v>MODEL_RISK</x:v>
      </x:c>
      <x:c r="L12" s="58" t="str">
        <x:v>Coverage is measured on held-out real bank outcomes, not on the synthetic calibration lab.</x:v>
      </x:c>
    </x:row>
    <x:row r="13">
      <x:c r="A13" s="58" t="str">
        <x:v>OFFLINE_CANDIDATE__TO__SHADOW_READY</x:v>
      </x:c>
      <x:c r="B13" s="58" t="str">
        <x:v>crps-improvement</x:v>
      </x:c>
      <x:c r="C13" s="58" t="str">
        <x:v>Continuous ranked probability score improves ≥10% against the registered baseline.</x:v>
      </x:c>
      <x:c r="D13" s="58" t="str">
        <x:v>HIGH</x:v>
      </x:c>
      <x:c r="E13" s="58" t="str">
        <x:v>YES</x:v>
      </x:c>
      <x:c r="F13" s="58" t="str">
        <x:v>NOT_EVALUATED</x:v>
      </x:c>
      <x:c r="G13" s="58" t="str">
        <x:v>PASS</x:v>
      </x:c>
      <x:c r="H13" s="58" t="str">
        <x:v>SYNTHETIC_REHEARSAL</x:v>
      </x:c>
      <x:c r="I13" s="58" t="str">
        <x:v>SIGNED_REHEARSAL</x:v>
      </x:c>
      <x:c r="J13" s="58" t="str">
        <x:v>DATA_SCIENCE</x:v>
      </x:c>
      <x:c r="K13" s="58" t="str">
        <x:v>MODEL_RISK</x:v>
      </x:c>
      <x:c r="L13" s="58" t="str">
        <x:v>The comparison is run on real bank outcomes with the baseline frozen before the comparison.</x:v>
      </x:c>
    </x:row>
    <x:row r="14">
      <x:c r="A14" s="58" t="str">
        <x:v>OFFLINE_CANDIDATE__TO__SHADOW_READY</x:v>
      </x:c>
      <x:c r="B14" s="58" t="str">
        <x:v>genai-schema-and-fidelity</x:v>
      </x:c>
      <x:c r="C14" s="58" t="str">
        <x:v>First-attempt schema compliance with no repair or retry; every critical fact traceable; no unsupported critical claim; numerics preserved.</x:v>
      </x:c>
      <x:c r="D14" s="58" t="str">
        <x:v>HIGH</x:v>
      </x:c>
      <x:c r="E14" s="58" t="str">
        <x:v>YES</x:v>
      </x:c>
      <x:c r="F14" s="58" t="str">
        <x:v>NOT_EVALUATED</x:v>
      </x:c>
      <x:c r="G14" s="58" t="str">
        <x:v>PASS</x:v>
      </x:c>
      <x:c r="H14" s="58" t="str">
        <x:v>SYNTHETIC_REHEARSAL</x:v>
      </x:c>
      <x:c r="I14" s="58" t="str">
        <x:v>SIGNED_REHEARSAL</x:v>
      </x:c>
      <x:c r="J14" s="58" t="str">
        <x:v>ENGINEERING</x:v>
      </x:c>
      <x:c r="K14" s="58" t="str">
        <x:v>MODEL_RISK</x:v>
      </x:c>
      <x:c r="L14" s="58" t="str">
        <x:v>At least three accepted live-provider briefs across providers, produced with rotated credentials injected at runtime.</x:v>
      </x:c>
    </x:row>
    <x:row r="15">
      <x:c r="A15" s="58" t="str">
        <x:v>OFFLINE_CANDIDATE__TO__SHADOW_READY</x:v>
      </x:c>
      <x:c r="B15" s="58" t="str">
        <x:v>prompt-injection-resistance</x:v>
      </x:c>
      <x:c r="C15" s="58" t="str">
        <x:v>No injection attempt in the registered corpus causes the model to exceed its closed fact pack.</x:v>
      </x:c>
      <x:c r="D15" s="58" t="str">
        <x:v>CRITICAL</x:v>
      </x:c>
      <x:c r="E15" s="58" t="str">
        <x:v>YES</x:v>
      </x:c>
      <x:c r="F15" s="58" t="str">
        <x:v>NOT_EVALUATED</x:v>
      </x:c>
      <x:c r="G15" s="58" t="str">
        <x:v>PASS</x:v>
      </x:c>
      <x:c r="H15" s="58" t="str">
        <x:v>SYNTHETIC_REHEARSAL</x:v>
      </x:c>
      <x:c r="I15" s="58" t="str">
        <x:v>SIGNED_REHEARSAL</x:v>
      </x:c>
      <x:c r="J15" s="58" t="str">
        <x:v>SECURITY</x:v>
      </x:c>
      <x:c r="K15" s="58" t="str">
        <x:v>SECURITY_OFFICER</x:v>
      </x:c>
      <x:c r="L15" s="58" t="str">
        <x:v>The injection corpus is run against the live provider path rather than the offline stub.</x:v>
      </x:c>
    </x:row>
    <x:row r="16">
      <x:c r="A16" s="58" t="str">
        <x:v>OFFLINE_CANDIDATE__TO__SHADOW_READY</x:v>
      </x:c>
      <x:c r="B16" s="58" t="str">
        <x:v>entitlement-negative-tests</x:v>
      </x:c>
      <x:c r="C16" s="58" t="str">
        <x:v>Every cross-client, cross-region and wrong-role request is denied.</x:v>
      </x:c>
      <x:c r="D16" s="58" t="str">
        <x:v>CRITICAL</x:v>
      </x:c>
      <x:c r="E16" s="58" t="str">
        <x:v>YES</x:v>
      </x:c>
      <x:c r="F16" s="58" t="str">
        <x:v>NOT_EVALUATED</x:v>
      </x:c>
      <x:c r="G16" s="58" t="str">
        <x:v>PASS</x:v>
      </x:c>
      <x:c r="H16" s="58" t="str">
        <x:v>SYNTHETIC_REHEARSAL</x:v>
      </x:c>
      <x:c r="I16" s="58" t="str">
        <x:v>SIGNED_REHEARSAL</x:v>
      </x:c>
      <x:c r="J16" s="58" t="str">
        <x:v>SECURITY</x:v>
      </x:c>
      <x:c r="K16" s="58" t="str">
        <x:v>SECURITY_OFFICER</x:v>
      </x:c>
      <x:c r="L16" s="58" t="str">
        <x:v>Denials are proven against the request path with OPA enforcing, not against in-process entitlement computation.</x:v>
      </x:c>
    </x:row>
    <x:row r="17">
      <x:c r="A17" s="58" t="str">
        <x:v>OFFLINE_CANDIDATE__TO__SHADOW_READY</x:v>
      </x:c>
      <x:c r="B17" s="58" t="str">
        <x:v>supply-chain-clean</x:v>
      </x:c>
      <x:c r="C17" s="58" t="str">
        <x:v>Container image signed, SBOM published, zero unresolved CRITICAL/HIGH findings.</x:v>
      </x:c>
      <x:c r="D17" s="58" t="str">
        <x:v>HIGH</x:v>
      </x:c>
      <x:c r="E17" s="58" t="str">
        <x:v>YES</x:v>
      </x:c>
      <x:c r="F17" s="58" t="str">
        <x:v>NOT_EVALUATED</x:v>
      </x:c>
      <x:c r="G17" s="58" t="str">
        <x:v>PASS</x:v>
      </x:c>
      <x:c r="H17" s="58" t="str">
        <x:v>SYNTHETIC_REHEARSAL</x:v>
      </x:c>
      <x:c r="I17" s="58" t="str">
        <x:v>SIGNED_REHEARSAL</x:v>
      </x:c>
      <x:c r="J17" s="58" t="str">
        <x:v>PLATFORM_ENGINEERING</x:v>
      </x:c>
      <x:c r="K17" s="58" t="str">
        <x:v>SECURITY_OFFICER</x:v>
      </x:c>
      <x:c r="L17" s="58" t="str">
        <x:v>CI publishes a cosign signature and SBOM for the released digest and Trivy reports zero unresolved CRITICAL/HIGH.</x:v>
      </x:c>
    </x:row>
    <x:row r="18">
      <x:c r="A18" s="58" t="str">
        <x:v>OFFLINE_CANDIDATE__TO__SHADOW_READY</x:v>
      </x:c>
      <x:c r="B18" s="58" t="str">
        <x:v>feasibility-gates-block-selection</x:v>
      </x:c>
      <x:c r="C18" s="58" t="str">
        <x:v>A failed material feasibility gate removes a solution from selection; an unknown one downgrades it to discovery.</x:v>
      </x:c>
      <x:c r="D18" s="58" t="str">
        <x:v>STANDARD</x:v>
      </x:c>
      <x:c r="E18" s="58" t="str">
        <x:v>YES</x:v>
      </x:c>
      <x:c r="F18" s="58" t="str">
        <x:v>NOT_EVALUATED</x:v>
      </x:c>
      <x:c r="G18" s="58" t="str">
        <x:v>PASS</x:v>
      </x:c>
      <x:c r="H18" s="58" t="str">
        <x:v>SYNTHETIC_REHEARSAL</x:v>
      </x:c>
      <x:c r="I18" s="58" t="str">
        <x:v>SIGNED_REHEARSAL</x:v>
      </x:c>
      <x:c r="J18" s="58" t="str">
        <x:v>DATA_SCIENCE</x:v>
      </x:c>
      <x:c r="K18" s="58" t="str">
        <x:v>PRODUCT_OWNER</x:v>
      </x:c>
      <x:c r="L18" s="58" t="str">
        <x:v>The rule is exercised against real client feasibility data rather than the fixture.</x:v>
      </x:c>
    </x:row>
    <x:row r="19">
      <x:c r="A19" s="58" t="str">
        <x:v>SHADOW_READY__TO__PILOT_READY</x:v>
      </x:c>
      <x:c r="B19" s="58" t="str">
        <x:v>elapsed-clean-shadow-days</x:v>
      </x:c>
      <x:c r="C19" s="58" t="str">
        <x:v>Thirty consecutive calendar days of shadow operation with no critical incident, measured in elapsed bank time.</x:v>
      </x:c>
      <x:c r="D19" s="58" t="str">
        <x:v>CRITICAL</x:v>
      </x:c>
      <x:c r="E19" s="58" t="str">
        <x:v>YES</x:v>
      </x:c>
      <x:c r="F19" s="58" t="str">
        <x:v>NOT_EVALUATED</x:v>
      </x:c>
      <x:c r="G19" s="58" t="str">
        <x:v>PASS</x:v>
      </x:c>
      <x:c r="H19" s="58" t="str">
        <x:v>SYNTHETIC_REHEARSAL</x:v>
      </x:c>
      <x:c r="I19" s="58" t="str">
        <x:v>SIGNED_REHEARSAL</x:v>
      </x:c>
      <x:c r="J19" s="58" t="str">
        <x:v>PRODUCTION_OPERATIONS</x:v>
      </x:c>
      <x:c r="K19" s="58" t="str">
        <x:v>HEAD_OF_OPERATIONS</x:v>
      </x:c>
      <x:c r="L19" s="58" t="str">
        <x:v>The bank runs the system in shadow for thirty consecutive clean calendar days. No rehearsal can substitute; this gate is why elapsed_bank_shadow_days is published beside every rehearsal count.</x:v>
      </x:c>
    </x:row>
    <x:row r="20">
      <x:c r="A20" s="58" t="str">
        <x:v>SHADOW_READY__TO__PILOT_READY</x:v>
      </x:c>
      <x:c r="B20" s="58" t="str">
        <x:v>service-availability</x:v>
      </x:c>
      <x:c r="C20" s="58" t="str">
        <x:v>Measured availability ≥ 0.999 over the shadow period.</x:v>
      </x:c>
      <x:c r="D20" s="58" t="str">
        <x:v>HIGH</x:v>
      </x:c>
      <x:c r="E20" s="58" t="str">
        <x:v>YES</x:v>
      </x:c>
      <x:c r="F20" s="58" t="str">
        <x:v>NOT_EVALUATED</x:v>
      </x:c>
      <x:c r="G20" s="58" t="str">
        <x:v>PASS</x:v>
      </x:c>
      <x:c r="H20" s="58" t="str">
        <x:v>SYNTHETIC_REHEARSAL</x:v>
      </x:c>
      <x:c r="I20" s="58" t="str">
        <x:v>SIGNED_REHEARSAL</x:v>
      </x:c>
      <x:c r="J20" s="58" t="str">
        <x:v>PRODUCTION_OPERATIONS</x:v>
      </x:c>
      <x:c r="K20" s="58" t="str">
        <x:v>HEAD_OF_OPERATIONS</x:v>
      </x:c>
      <x:c r="L20" s="58" t="str">
        <x:v>Availability is measured from bank monitoring over the elapsed shadow window.</x:v>
      </x:c>
    </x:row>
    <x:row r="21">
      <x:c r="A21" s="58" t="str">
        <x:v>SHADOW_READY__TO__PILOT_READY</x:v>
      </x:c>
      <x:c r="B21" s="58" t="str">
        <x:v>read-latency-p95</x:v>
      </x:c>
      <x:c r="C21" s="58" t="str">
        <x:v>p95 read latency &lt; 750 ms under bank load.</x:v>
      </x:c>
      <x:c r="D21" s="58" t="str">
        <x:v>STANDARD</x:v>
      </x:c>
      <x:c r="E21" s="58" t="str">
        <x:v>YES</x:v>
      </x:c>
      <x:c r="F21" s="58" t="str">
        <x:v>NOT_EVALUATED</x:v>
      </x:c>
      <x:c r="G21" s="58" t="str">
        <x:v>PASS</x:v>
      </x:c>
      <x:c r="H21" s="58" t="str">
        <x:v>SYNTHETIC_REHEARSAL</x:v>
      </x:c>
      <x:c r="I21" s="58" t="str">
        <x:v>SIGNED_REHEARSAL</x:v>
      </x:c>
      <x:c r="J21" s="58" t="str">
        <x:v>PLATFORM_ENGINEERING</x:v>
      </x:c>
      <x:c r="K21" s="58" t="str">
        <x:v>HEAD_OF_OPERATIONS</x:v>
      </x:c>
      <x:c r="L21" s="58" t="str">
        <x:v>p95 is measured on bank infrastructure under production-shaped load, not on the build machine.</x:v>
      </x:c>
    </x:row>
    <x:row r="22">
      <x:c r="A22" s="58" t="str">
        <x:v>SHADOW_READY__TO__PILOT_READY</x:v>
      </x:c>
      <x:c r="B22" s="58" t="str">
        <x:v>event-latency</x:v>
      </x:c>
      <x:c r="C22" s="58" t="str">
        <x:v>Domain events reach consumers in under 300 seconds.</x:v>
      </x:c>
      <x:c r="D22" s="58" t="str">
        <x:v>STANDARD</x:v>
      </x:c>
      <x:c r="E22" s="58" t="str">
        <x:v>YES</x:v>
      </x:c>
      <x:c r="F22" s="58" t="str">
        <x:v>NOT_EVALUATED</x:v>
      </x:c>
      <x:c r="G22" s="58" t="str">
        <x:v>PASS</x:v>
      </x:c>
      <x:c r="H22" s="58" t="str">
        <x:v>SYNTHETIC_REHEARSAL</x:v>
      </x:c>
      <x:c r="I22" s="58" t="str">
        <x:v>SIGNED_REHEARSAL</x:v>
      </x:c>
      <x:c r="J22" s="58" t="str">
        <x:v>PLATFORM_ENGINEERING</x:v>
      </x:c>
      <x:c r="K22" s="58" t="str">
        <x:v>HEAD_OF_OPERATIONS</x:v>
      </x:c>
      <x:c r="L22" s="58" t="str">
        <x:v>Latency is measured across the bank's actual broker.</x:v>
      </x:c>
    </x:row>
    <x:row r="23">
      <x:c r="A23" s="58" t="str">
        <x:v>SHADOW_READY__TO__PILOT_READY</x:v>
      </x:c>
      <x:c r="B23" s="58" t="str">
        <x:v>refresh-by-0600-sast</x:v>
      </x:c>
      <x:c r="C23" s="58" t="str">
        <x:v>The overnight refresh completes before 06:00 SAST.</x:v>
      </x:c>
      <x:c r="D23" s="58" t="str">
        <x:v>STANDARD</x:v>
      </x:c>
      <x:c r="E23" s="58" t="str">
        <x:v>YES</x:v>
      </x:c>
      <x:c r="F23" s="58" t="str">
        <x:v>NOT_EVALUATED</x:v>
      </x:c>
      <x:c r="G23" s="58" t="str">
        <x:v>PASS</x:v>
      </x:c>
      <x:c r="H23" s="58" t="str">
        <x:v>SYNTHETIC_REHEARSAL</x:v>
      </x:c>
      <x:c r="I23" s="58" t="str">
        <x:v>SIGNED_REHEARSAL</x:v>
      </x:c>
      <x:c r="J23" s="58" t="str">
        <x:v>PRODUCTION_OPERATIONS</x:v>
      </x:c>
      <x:c r="K23" s="58" t="str">
        <x:v>HEAD_OF_OPERATIONS</x:v>
      </x:c>
      <x:c r="L23" s="58" t="str">
        <x:v>Completion time is observed over the elapsed shadow window.</x:v>
      </x:c>
    </x:row>
    <x:row r="24">
      <x:c r="A24" s="58" t="str">
        <x:v>SHADOW_READY__TO__PILOT_READY</x:v>
      </x:c>
      <x:c r="B24" s="58" t="str">
        <x:v>no-unresolved-sev1-sev2</x:v>
      </x:c>
      <x:c r="C24" s="58" t="str">
        <x:v>Zero unresolved Sev-1/Sev-2 at the promotion decision point.</x:v>
      </x:c>
      <x:c r="D24" s="58" t="str">
        <x:v>CRITICAL</x:v>
      </x:c>
      <x:c r="E24" s="58" t="str">
        <x:v>YES</x:v>
      </x:c>
      <x:c r="F24" s="58" t="str">
        <x:v>NOT_EVALUATED</x:v>
      </x:c>
      <x:c r="G24" s="58" t="str">
        <x:v>PASS</x:v>
      </x:c>
      <x:c r="H24" s="58" t="str">
        <x:v>SYNTHETIC_REHEARSAL</x:v>
      </x:c>
      <x:c r="I24" s="58" t="str">
        <x:v>SIGNED_REHEARSAL</x:v>
      </x:c>
      <x:c r="J24" s="58" t="str">
        <x:v>PRODUCTION_OPERATIONS</x:v>
      </x:c>
      <x:c r="K24" s="58" t="str">
        <x:v>HEAD_OF_OPERATIONS</x:v>
      </x:c>
      <x:c r="L24" s="58" t="str">
        <x:v>The bank incident register shows none open against this system.</x:v>
      </x:c>
    </x:row>
    <x:row r="25">
      <x:c r="A25" s="58" t="str">
        <x:v>SHADOW_READY__TO__PILOT_READY</x:v>
      </x:c>
      <x:c r="B25" s="58" t="str">
        <x:v>model-risk-approval</x:v>
      </x:c>
      <x:c r="C25" s="58" t="str">
        <x:v>Model risk management approves the model card, limitations and monitoring plan.</x:v>
      </x:c>
      <x:c r="D25" s="58" t="str">
        <x:v>CRITICAL</x:v>
      </x:c>
      <x:c r="E25" s="58" t="str">
        <x:v>YES</x:v>
      </x:c>
      <x:c r="F25" s="58" t="str">
        <x:v>NOT_EVALUATED</x:v>
      </x:c>
      <x:c r="G25" s="58" t="str">
        <x:v>PASS</x:v>
      </x:c>
      <x:c r="H25" s="58" t="str">
        <x:v>SYNTHETIC_REHEARSAL</x:v>
      </x:c>
      <x:c r="I25" s="58" t="str">
        <x:v>SIGNED_REHEARSAL</x:v>
      </x:c>
      <x:c r="J25" s="58" t="str">
        <x:v>MODEL_RISK</x:v>
      </x:c>
      <x:c r="K25" s="58" t="str">
        <x:v>CHIEF_RISK_OFFICER</x:v>
      </x:c>
      <x:c r="L25" s="58" t="str">
        <x:v>Model risk reviews the V3.2 model card and records an approval with a named accountable owner.</x:v>
      </x:c>
    </x:row>
    <x:row r="26">
      <x:c r="A26" s="58" t="str">
        <x:v>SHADOW_READY__TO__PILOT_READY</x:v>
      </x:c>
      <x:c r="B26" s="58" t="str">
        <x:v>selected-critical-path-evidence-complete</x:v>
      </x:c>
      <x:c r="C26" s="58" t="str">
        <x:v>Every selected opportunity has approved support for every fact on the path from signal to proposed action.</x:v>
      </x:c>
      <x:c r="D26" s="58" t="str">
        <x:v>CRITICAL</x:v>
      </x:c>
      <x:c r="E26" s="58" t="str">
        <x:v>YES</x:v>
      </x:c>
      <x:c r="F26" s="58" t="str">
        <x:v>NOT_EVALUATED</x:v>
      </x:c>
      <x:c r="G26" s="58" t="str">
        <x:v>PASS</x:v>
      </x:c>
      <x:c r="H26" s="58" t="str">
        <x:v>SYNTHETIC_REHEARSAL</x:v>
      </x:c>
      <x:c r="I26" s="58" t="str">
        <x:v>SIGNED_REHEARSAL</x:v>
      </x:c>
      <x:c r="J26" s="58" t="str">
        <x:v>EVIDENCE_GOVERNANCE</x:v>
      </x:c>
      <x:c r="K26" s="58" t="str">
        <x:v>FINANCE_CONTROLLER</x:v>
      </x:c>
      <x:c r="L26" s="58" t="str">
        <x:v>The selected plan reports 100% critical-path coverage after independent review; fact counts alone do not satisfy this gate.</x:v>
      </x:c>
    </x:row>
    <x:row r="27">
      <x:c r="A27" s="58" t="str">
        <x:v>SHADOW_READY__TO__PILOT_READY</x:v>
      </x:c>
      <x:c r="B27" s="58" t="str">
        <x:v>selected-value-e2-coverage</x:v>
      </x:c>
      <x:c r="C27" s="58" t="str">
        <x:v>The value-weighted evidence coverage of the selected portfolio is at least 0.80 using approved E2, E3 or E4 evidence.</x:v>
      </x:c>
      <x:c r="D27" s="58" t="str">
        <x:v>HIGH</x:v>
      </x:c>
      <x:c r="E27" s="58" t="str">
        <x:v>YES</x:v>
      </x:c>
      <x:c r="F27" s="58" t="str">
        <x:v>NOT_EVALUATED</x:v>
      </x:c>
      <x:c r="G27" s="58" t="str">
        <x:v>PASS</x:v>
      </x:c>
      <x:c r="H27" s="58" t="str">
        <x:v>SYNTHETIC_REHEARSAL</x:v>
      </x:c>
      <x:c r="I27" s="58" t="str">
        <x:v>SIGNED_REHEARSAL</x:v>
      </x:c>
      <x:c r="J27" s="58" t="str">
        <x:v>EVIDENCE_GOVERNANCE</x:v>
      </x:c>
      <x:c r="K27" s="58" t="str">
        <x:v>MODEL_RISK</x:v>
      </x:c>
      <x:c r="L27" s="58" t="str">
        <x:v>The point-in-time selected portfolio is recomputed and its E2-or-better supported value share is independently attested at or above 80%.</x:v>
      </x:c>
    </x:row>
    <x:row r="28">
      <x:c r="A28" s="58" t="str">
        <x:v>SHADOW_READY__TO__PILOT_READY</x:v>
      </x:c>
      <x:c r="B28" s="58" t="str">
        <x:v>genai-bank-approved</x:v>
      </x:c>
      <x:c r="C28" s="58" t="str">
        <x:v>Provider, model, endpoint, residency, retention, contract, credential boundary and sealed evaluation are approved.</x:v>
      </x:c>
      <x:c r="D28" s="58" t="str">
        <x:v>HIGH</x:v>
      </x:c>
      <x:c r="E28" s="58" t="str">
        <x:v>NO</x:v>
      </x:c>
      <x:c r="F28" s="58" t="str">
        <x:v>NOT_EVALUATED</x:v>
      </x:c>
      <x:c r="G28" s="58" t="str">
        <x:v>PASS</x:v>
      </x:c>
      <x:c r="H28" s="58" t="str">
        <x:v>SYNTHETIC_REHEARSAL</x:v>
      </x:c>
      <x:c r="I28" s="58" t="str">
        <x:v>SIGNED_REHEARSAL</x:v>
      </x:c>
      <x:c r="J28" s="58" t="str">
        <x:v>THIRD_PARTY_RISK</x:v>
      </x:c>
      <x:c r="K28" s="58" t="str">
        <x:v>CHIEF_RISK_OFFICER</x:v>
      </x:c>
      <x:c r="L28" s="58" t="str">
        <x:v>The bank records provider, privacy, residency, retention and model-version approval. If absent, deterministic narration remains the only permitted path.</x:v>
      </x:c>
    </x:row>
    <x:row r="29">
      <x:c r="A29" s="58" t="str">
        <x:v>SHADOW_READY__TO__PILOT_READY</x:v>
      </x:c>
      <x:c r="B29" s="58" t="str">
        <x:v>rm-pilot-protocol-approved</x:v>
      </x:c>
      <x:c r="C29" s="58" t="str">
        <x:v>A named cohort, consent basis, training, support, exclusions and incident protocol are approved before exposure.</x:v>
      </x:c>
      <x:c r="D29" s="58" t="str">
        <x:v>CRITICAL</x:v>
      </x:c>
      <x:c r="E29" s="58" t="str">
        <x:v>YES</x:v>
      </x:c>
      <x:c r="F29" s="58" t="str">
        <x:v>NOT_EVALUATED</x:v>
      </x:c>
      <x:c r="G29" s="58" t="str">
        <x:v>PASS</x:v>
      </x:c>
      <x:c r="H29" s="58" t="str">
        <x:v>SYNTHETIC_REHEARSAL</x:v>
      </x:c>
      <x:c r="I29" s="58" t="str">
        <x:v>SIGNED_REHEARSAL</x:v>
      </x:c>
      <x:c r="J29" s="58" t="str">
        <x:v>COMMERCIAL_BANKING</x:v>
      </x:c>
      <x:c r="K29" s="58" t="str">
        <x:v>HEAD_OF_COVERAGE</x:v>
      </x:c>
      <x:c r="L29" s="58" t="str">
        <x:v>Business, Risk and Operations approve the cohort and protocol, with no automated client contact, pricing, credit or booking.</x:v>
      </x:c>
    </x:row>
    <x:row r="30">
      <x:c r="A30" s="58" t="str">
        <x:v>PILOT_READY__TO__SCALE_READY</x:v>
      </x:c>
      <x:c r="B30" s="58" t="str">
        <x:v>supervised-pilot-completed</x:v>
      </x:c>
      <x:c r="C30" s="58" t="str">
        <x:v>A named RM cohort completes at least five real supervised sessions each, with recorded outcomes.</x:v>
      </x:c>
      <x:c r="D30" s="58" t="str">
        <x:v>CRITICAL</x:v>
      </x:c>
      <x:c r="E30" s="58" t="str">
        <x:v>YES</x:v>
      </x:c>
      <x:c r="F30" s="58" t="str">
        <x:v>NOT_EVALUATED</x:v>
      </x:c>
      <x:c r="G30" s="58" t="str">
        <x:v>PASS</x:v>
      </x:c>
      <x:c r="H30" s="58" t="str">
        <x:v>SYNTHETIC_REHEARSAL</x:v>
      </x:c>
      <x:c r="I30" s="58" t="str">
        <x:v>SIGNED_REHEARSAL</x:v>
      </x:c>
      <x:c r="J30" s="58" t="str">
        <x:v>COMMERCIAL_BANKING</x:v>
      </x:c>
      <x:c r="K30" s="58" t="str">
        <x:v>HEAD_OF_COVERAGE</x:v>
      </x:c>
      <x:c r="L30" s="58" t="str">
        <x:v>Real RMs run real client sessions. Fixture persona sessions carry real_participant=False by construction and can never satisfy this.</x:v>
      </x:c>
    </x:row>
    <x:row r="31">
      <x:c r="A31" s="58" t="str">
        <x:v>PILOT_READY__TO__SCALE_READY</x:v>
      </x:c>
      <x:c r="B31" s="58" t="str">
        <x:v>bank-approved-economics-registered</x:v>
      </x:c>
      <x:c r="C31" s="58" t="str">
        <x:v>Every monetised value traces to a bank-approved, in-date rate card.</x:v>
      </x:c>
      <x:c r="D31" s="58" t="str">
        <x:v>CRITICAL</x:v>
      </x:c>
      <x:c r="E31" s="58" t="str">
        <x:v>YES</x:v>
      </x:c>
      <x:c r="F31" s="58" t="str">
        <x:v>NOT_EVALUATED</x:v>
      </x:c>
      <x:c r="G31" s="58" t="str">
        <x:v>PASS</x:v>
      </x:c>
      <x:c r="H31" s="58" t="str">
        <x:v>SYNTHETIC_REHEARSAL</x:v>
      </x:c>
      <x:c r="I31" s="58" t="str">
        <x:v>SIGNED_REHEARSAL</x:v>
      </x:c>
      <x:c r="J31" s="58" t="str">
        <x:v>PRODUCT_FINANCE</x:v>
      </x:c>
      <x:c r="K31" s="58" t="str">
        <x:v>FINANCE_CONTROLLER</x:v>
      </x:c>
      <x:c r="L31" s="58" t="str">
        <x:v>Product finance approves rate cards covering every product in the grid and registers them with expiry dates.</x:v>
      </x:c>
    </x:row>
    <x:row r="32">
      <x:c r="A32" s="58" t="str">
        <x:v>PILOT_READY__TO__SCALE_READY</x:v>
      </x:c>
      <x:c r="B32" s="58" t="str">
        <x:v>rollback-restores-prior-state</x:v>
      </x:c>
      <x:c r="C32" s="58" t="str">
        <x:v>A rehearsed rollback restores the previous model alias and its outputs exactly.</x:v>
      </x:c>
      <x:c r="D32" s="58" t="str">
        <x:v>HIGH</x:v>
      </x:c>
      <x:c r="E32" s="58" t="str">
        <x:v>YES</x:v>
      </x:c>
      <x:c r="F32" s="58" t="str">
        <x:v>NOT_EVALUATED</x:v>
      </x:c>
      <x:c r="G32" s="58" t="str">
        <x:v>PASS</x:v>
      </x:c>
      <x:c r="H32" s="58" t="str">
        <x:v>SYNTHETIC_REHEARSAL</x:v>
      </x:c>
      <x:c r="I32" s="58" t="str">
        <x:v>SIGNED_REHEARSAL</x:v>
      </x:c>
      <x:c r="J32" s="58" t="str">
        <x:v>PLATFORM_ENGINEERING</x:v>
      </x:c>
      <x:c r="K32" s="58" t="str">
        <x:v>HEAD_OF_OPERATIONS</x:v>
      </x:c>
      <x:c r="L32" s="58" t="str">
        <x:v>A rollback is exercised in the bank environment and the restored outputs are compared digest-for-digest.</x:v>
      </x:c>
    </x:row>
    <x:row r="33">
      <x:c r="A33" s="58" t="str">
        <x:v>PILOT_READY__TO__SCALE_READY</x:v>
      </x:c>
      <x:c r="B33" s="58" t="str">
        <x:v>e3-multibank-observation-approved</x:v>
      </x:c>
      <x:c r="C33" s="58" t="str">
        <x:v>An approved panel provides multibank observation sufficient to identify competitor share.</x:v>
      </x:c>
      <x:c r="D33" s="58" t="str">
        <x:v>HIGH</x:v>
      </x:c>
      <x:c r="E33" s="58" t="str">
        <x:v>NO</x:v>
      </x:c>
      <x:c r="F33" s="58" t="str">
        <x:v>NOT_EVALUATED</x:v>
      </x:c>
      <x:c r="G33" s="58" t="str">
        <x:v>PASS</x:v>
      </x:c>
      <x:c r="H33" s="58" t="str">
        <x:v>SYNTHETIC_REHEARSAL</x:v>
      </x:c>
      <x:c r="I33" s="58" t="str">
        <x:v>SIGNED_REHEARSAL</x:v>
      </x:c>
      <x:c r="J33" s="58" t="str">
        <x:v>DATA_STRATEGY</x:v>
      </x:c>
      <x:c r="K33" s="58" t="str">
        <x:v>CHIEF_DATA_OFFICER</x:v>
      </x:c>
      <x:c r="L33" s="58" t="str">
        <x:v>A multibank data source is contracted, approved and calibrated. Until then MEASURED_SHARE_REPORTING stays refused — this gate does not block hidden shadow scoring, which needs no share measurement.</x:v>
      </x:c>
    </x:row>
    <x:row r="34">
      <x:c r="A34" s="58" t="str">
        <x:v>PILOT_READY__TO__SCALE_READY</x:v>
      </x:c>
      <x:c r="B34" s="58" t="str">
        <x:v>pilot-findings-remediated</x:v>
      </x:c>
      <x:c r="C34" s="58" t="str">
        <x:v>Every critical or high pilot finding is closed or carries an accountable, time-bound accepted risk decision.</x:v>
      </x:c>
      <x:c r="D34" s="58" t="str">
        <x:v>CRITICAL</x:v>
      </x:c>
      <x:c r="E34" s="58" t="str">
        <x:v>YES</x:v>
      </x:c>
      <x:c r="F34" s="58" t="str">
        <x:v>NOT_EVALUATED</x:v>
      </x:c>
      <x:c r="G34" s="58" t="str">
        <x:v>PASS</x:v>
      </x:c>
      <x:c r="H34" s="58" t="str">
        <x:v>SYNTHETIC_REHEARSAL</x:v>
      </x:c>
      <x:c r="I34" s="58" t="str">
        <x:v>SIGNED_REHEARSAL</x:v>
      </x:c>
      <x:c r="J34" s="58" t="str">
        <x:v>PRODUCT_OWNER</x:v>
      </x:c>
      <x:c r="K34" s="58" t="str">
        <x:v>MODEL_RISK</x:v>
      </x:c>
      <x:c r="L34" s="58" t="str">
        <x:v>The pilot issue register is reconciled to zero unresolved critical/high findings and the closure is independently checked.</x:v>
      </x:c>
    </x:row>
    <x:row r="35">
      <x:c r="A35" s="58" t="str">
        <x:v>PILOT_READY__TO__SCALE_READY</x:v>
      </x:c>
      <x:c r="B35" s="58" t="str">
        <x:v>scale-operating-model-approved</x:v>
      </x:c>
      <x:c r="C35" s="58" t="str">
        <x:v>On-call ownership, change controls, incident response, capacity, disaster recovery and rollback are approved for controlled scale.</x:v>
      </x:c>
      <x:c r="D35" s="58" t="str">
        <x:v>CRITICAL</x:v>
      </x:c>
      <x:c r="E35" s="58" t="str">
        <x:v>YES</x:v>
      </x:c>
      <x:c r="F35" s="58" t="str">
        <x:v>NOT_EVALUATED</x:v>
      </x:c>
      <x:c r="G35" s="58" t="str">
        <x:v>PASS</x:v>
      </x:c>
      <x:c r="H35" s="58" t="str">
        <x:v>SYNTHETIC_REHEARSAL</x:v>
      </x:c>
      <x:c r="I35" s="58" t="str">
        <x:v>SIGNED_REHEARSAL</x:v>
      </x:c>
      <x:c r="J35" s="58" t="str">
        <x:v>PRODUCTION_OPERATIONS</x:v>
      </x:c>
      <x:c r="K35" s="58" t="str">
        <x:v>HEAD_OF_OPERATIONS</x:v>
      </x:c>
      <x:c r="L35" s="58" t="str">
        <x:v>Operations, Security and Business approve the runbook and independently observe a production-shaped restore, failover and rollback test.</x:v>
      </x:c>
    </x:row>
    <x:row r="36">
      <x:c r="A36" s="58" t="str">
        <x:v>SCALE_READY__TO__CAUSAL_CHAMPION</x:v>
      </x:c>
      <x:c r="B36" s="58" t="str">
        <x:v>randomised-trial-validated</x:v>
      </x:c>
      <x:c r="C36" s="58" t="str">
        <x:v>A pre-registered cluster-randomised trial reports an ITT effect with cluster-robust inference and randomization-inference confirmation.</x:v>
      </x:c>
      <x:c r="D36" s="58" t="str">
        <x:v>CRITICAL</x:v>
      </x:c>
      <x:c r="E36" s="58" t="str">
        <x:v>YES</x:v>
      </x:c>
      <x:c r="F36" s="58" t="str">
        <x:v>NOT_EVALUATED</x:v>
      </x:c>
      <x:c r="G36" s="58" t="str">
        <x:v>PASS</x:v>
      </x:c>
      <x:c r="H36" s="58" t="str">
        <x:v>SYNTHETIC_REHEARSAL</x:v>
      </x:c>
      <x:c r="I36" s="58" t="str">
        <x:v>SIGNED_REHEARSAL</x:v>
      </x:c>
      <x:c r="J36" s="58" t="str">
        <x:v>DATA_SCIENCE</x:v>
      </x:c>
      <x:c r="K36" s="58" t="str">
        <x:v>CHIEF_RISK_OFFICER</x:v>
      </x:c>
      <x:c r="L36" s="58" t="str">
        <x:v>The bank runs a pre-registered cluster-randomised trial to its planned sample size and the analysis is independently reviewed.</x:v>
      </x:c>
    </x:row>
    <x:row r="37">
      <x:c r="A37" s="58" t="str">
        <x:v>SCALE_READY__TO__CAUSAL_CHAMPION</x:v>
      </x:c>
      <x:c r="B37" s="58" t="str">
        <x:v>trial-first-stage-strength-adequate</x:v>
      </x:c>
      <x:c r="C37" s="58" t="str">
        <x:v>First-stage compliance strength is at or above 0.10.</x:v>
      </x:c>
      <x:c r="D37" s="58" t="str">
        <x:v>CRITICAL</x:v>
      </x:c>
      <x:c r="E37" s="58" t="str">
        <x:v>YES</x:v>
      </x:c>
      <x:c r="F37" s="58" t="str">
        <x:v>NOT_EVALUATED</x:v>
      </x:c>
      <x:c r="G37" s="58" t="str">
        <x:v>PASS</x:v>
      </x:c>
      <x:c r="H37" s="58" t="str">
        <x:v>SYNTHETIC_REHEARSAL</x:v>
      </x:c>
      <x:c r="I37" s="58" t="str">
        <x:v>SIGNED_REHEARSAL</x:v>
      </x:c>
      <x:c r="J37" s="58" t="str">
        <x:v>DATA_SCIENCE</x:v>
      </x:c>
      <x:c r="K37" s="58" t="str">
        <x:v>MODEL_RISK</x:v>
      </x:c>
      <x:c r="L37" s="58" t="str">
        <x:v>Observed compliance in the trial reaches the pre-registered strength threshold. If it does not, the honest outcome is a null result and the system stays SCALE_READY.</x:v>
      </x:c>
    </x:row>
    <x:row r="38">
      <x:c r="A38" s="58" t="str">
        <x:v>SCALE_READY__TO__CAUSAL_CHAMPION</x:v>
      </x:c>
      <x:c r="B38" s="58" t="str">
        <x:v>sustained-adoption</x:v>
      </x:c>
      <x:c r="C38" s="58" t="str">
        <x:v>The RM cohort sustains use beyond the supervised period without prompting.</x:v>
      </x:c>
      <x:c r="D38" s="58" t="str">
        <x:v>HIGH</x:v>
      </x:c>
      <x:c r="E38" s="58" t="str">
        <x:v>YES</x:v>
      </x:c>
      <x:c r="F38" s="58" t="str">
        <x:v>NOT_EVALUATED</x:v>
      </x:c>
      <x:c r="G38" s="58" t="str">
        <x:v>PASS</x:v>
      </x:c>
      <x:c r="H38" s="58" t="str">
        <x:v>SYNTHETIC_REHEARSAL</x:v>
      </x:c>
      <x:c r="I38" s="58" t="str">
        <x:v>SIGNED_REHEARSAL</x:v>
      </x:c>
      <x:c r="J38" s="58" t="str">
        <x:v>COMMERCIAL_BANKING</x:v>
      </x:c>
      <x:c r="K38" s="58" t="str">
        <x:v>HEAD_OF_COVERAGE</x:v>
      </x:c>
      <x:c r="L38" s="58" t="str">
        <x:v>Adoption is measured from real RM sessions over a sustained window.</x:v>
      </x:c>
    </x:row>
  </x:sheetData>
  <x:mergeCells>
    <x:mergeCell ref="A1:L1"/>
    <x:mergeCell ref="A2:L2"/>
  </x:mergeCells>
  <x:conditionalFormatting sqref="F9:F38">
    <x:cfRule type="containsText" dxfId="6" priority="1" operator="containsText" text="PASS"/>
  </x:conditionalFormatting>
  <x:conditionalFormatting sqref="G9:G38">
    <x:cfRule type="containsText" dxfId="7" priority="2" operator="containsText" text="PASS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V3.2 Register Control Checks</x:v>
      </x:c>
      <x:c r="B1" s="3"/>
      <x:c r="C1" s="3"/>
      <x:c r="D1" s="3"/>
      <x:c r="E1" s="3"/>
      <x:c r="F1" s="3"/>
    </x:row>
    <x:row r="2" ht="26" customHeight="1">
      <x:c r="A2" s="7" t="str">
        <x:v>Workbook checks validate artifact integrity; they do not authorize bank promotion.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  <x:row r="20">
      <x:c r="A20" s="58" t="str">
        <x:v>Promotion gate count</x:v>
      </x:c>
      <x:c r="B20" s="58" t="n">
        <x:v>30</x:v>
      </x:c>
      <x:c r="C20" s="58" t="n">
        <x:f>COUNTA('Promotion Readiness'!B9:B200)</x:f>
        <x:v>30</x:v>
      </x:c>
      <x:c r="D20" s="58" t="str">
        <x:f>IF(ABS(C20-B20)&lt;0.0001,"PASS","FAIL")</x:f>
        <x:v>PASS</x:v>
      </x:c>
      <x:c r="E20" s="58" t="str">
        <x:v>Every governed promotion gate is visible</x:v>
      </x:c>
      <x:c r="F20" s="58" t="str">
        <x:v>Model risk</x:v>
      </x:c>
    </x:row>
    <x:row r="21">
      <x:c r="A21" s="58" t="str">
        <x:v>Elapsed bank shadow days</x:v>
      </x:c>
      <x:c r="B21" s="58" t="n">
        <x:v>0</x:v>
      </x:c>
      <x:c r="C21" s="58" t="n">
        <x:f>'Promotion Readiness'!G5</x:f>
        <x:v>0</x:v>
      </x:c>
      <x:c r="D21" s="58" t="str">
        <x:f>IF(ABS(C21-B21)&lt;0.0001,"PASS","FAIL")</x:f>
        <x:v>PASS</x:v>
      </x:c>
      <x:c r="E21" s="58" t="str">
        <x:v>Virtual time never becomes bank time</x:v>
      </x:c>
      <x:c r="F21" s="58" t="str">
        <x:v>Operations</x:v>
      </x:c>
    </x:row>
    <x:row r="22">
      <x:c r="A22" s="58" t="str">
        <x:v>Bank evidence readiness</x:v>
      </x:c>
      <x:c r="B22" s="58" t="n">
        <x:v>0</x:v>
      </x:c>
      <x:c r="C22" s="58" t="n">
        <x:f>'Promotion Readiness'!E5</x:f>
        <x:v>0</x:v>
      </x:c>
      <x:c r="D22" s="58" t="str">
        <x:f>IF(ABS(C22-B22)&lt;0.0001,"PASS","FAIL")</x:f>
        <x:v>PASS</x:v>
      </x:c>
      <x:c r="E22" s="58" t="str">
        <x:v>Synthetic evidence contributes zero to BER</x:v>
      </x:c>
      <x:c r="F22" s="58" t="str">
        <x:v>Model risk</x:v>
      </x:c>
    </x:row>
  </x:sheetData>
  <x:mergeCells>
    <x:mergeCell ref="A1:F1"/>
    <x:mergeCell ref="A2:F2"/>
  </x:mergeCells>
  <x:conditionalFormatting sqref="D5:D22">
    <x:cfRule type="containsText" dxfId="8" priority="1" operator="containsText" text="PASS"/>
    <x:cfRule type="containsText" dxfId="9" priority="2" operator="containsText" text="FAIL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197aeb9524e2433e"/>
</x:worksheet>
</file>