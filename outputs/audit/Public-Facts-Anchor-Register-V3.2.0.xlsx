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bb9d63c63c4d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cb2c4e1a55b942b2"/>
    <x:sheet xmlns:r="http://schemas.openxmlformats.org/officeDocument/2006/relationships" name="Public Facts" sheetId="2" r:id="R1862c38eec4f4fd9"/>
    <x:sheet xmlns:r="http://schemas.openxmlformats.org/officeDocument/2006/relationships" name="Client Coverage" sheetId="3" r:id="Rff96f59aa3c04679"/>
    <x:sheet xmlns:r="http://schemas.openxmlformats.org/officeDocument/2006/relationships" name="Approved Anchors" sheetId="4" r:id="R1583a0a66d6b4d3a"/>
    <x:sheet xmlns:r="http://schemas.openxmlformats.org/officeDocument/2006/relationships" name="Wallet Decision Impact" sheetId="5" r:id="R892f299ff0ed4564"/>
    <x:sheet xmlns:r="http://schemas.openxmlformats.org/officeDocument/2006/relationships" name="Evidence Queue" sheetId="6" r:id="Rb12c3646ad1d4600"/>
    <x:sheet xmlns:r="http://schemas.openxmlformats.org/officeDocument/2006/relationships" name="Sensitivity" sheetId="7" r:id="Re458eca1bce74f85"/>
    <x:sheet xmlns:r="http://schemas.openxmlformats.org/officeDocument/2006/relationships" name="Promotion Readiness" sheetId="8" r:id="Rfded105b212a4b17"/>
    <x:sheet xmlns:r="http://schemas.openxmlformats.org/officeDocument/2006/relationships" name="Checks" sheetId="9" r:id="R2f52fd7a8ac94db2"/>
    <x:sheet xmlns:r="http://schemas.openxmlformats.org/officeDocument/2006/relationships" name="Sources" sheetId="10" r:id="R97807c487b9a4e4b"/>
  </x:sheets>
</x:workbook>
</file>

<file path=xl/comments1.xml><?xml version="1.0" encoding="utf-8"?>
<x:comments xmlns:x="http://schemas.openxmlformats.org/spreadsheetml/2006/main">
  <x:authors>
    <x:author>tc={B010C51E-1279-1014-33BC-2602466A0653}</x:author>
    <x:author>tc={C1FCCBE0-DA45-F004-62DE-931492BB7B55}</x:author>
    <x:author>tc={AC4872FE-E925-0F71-A1A0-B51C3BE471D4}</x:author>
    <x:author>tc={78456A9C-33CF-DC3E-ACC9-771E9401AB46}</x:author>
    <x:author>tc={A3652911-0C8B-2C28-FADE-73D328A5BF26}</x:author>
    <x:author>tc={6F2EBCD8-23F2-D22F-38CC-ED40EFF8AEC8}</x:author>
    <x:author>tc={92F20AFD-1D39-B8DE-5BD9-BC3E03CB8C0F}</x:author>
    <x:author>tc={CA2CD762-5110-A555-E40D-9C5F0FB6D9CC}</x:author>
    <x:author>tc={9DAD665B-4B78-CB05-6BFF-8A259A25099D}</x:author>
    <x:author>tc={B404A4C9-0C5D-FB04-5F38-B466A0729AB3}</x:author>
    <x:author>tc={A778AC8E-E3EE-EF95-340F-71DE58C4379A}</x:author>
    <x:author>tc={CF9789CE-401E-9368-3823-F3D6EB9FB0AE}</x:author>
    <x:author>tc={E0F7EB04-9E7A-C956-F66F-04924C0BBF6B}</x:author>
    <x:author>tc={432D59DF-0456-250E-3705-7E52A846CC07}</x:author>
    <x:author>tc={8E40EC39-F650-2BB9-AA8A-B164C8F0D6DB}</x:author>
    <x:author>tc={06B31F52-AE05-C750-E2E4-8BE8C077E3ED}</x:author>
    <x:author>tc={C4AB3B82-976E-0559-3794-2F2F9216C552}</x:author>
    <x:author>tc={3AAB5A1B-8E7D-C179-2DC1-E2DBD2705DB9}</x:author>
    <x:author>tc={7D66F2E6-7D62-9517-832E-57FFAA140850}</x:author>
    <x:author>tc={01EA68F6-A6AF-EEF9-FC79-C83DFF706D5F}</x:author>
    <x:author>tc={7EBEBBB5-1D36-3EC8-8615-2492FBE68CC4}</x:author>
    <x:author>tc={67EA088D-22B9-ECEE-A157-D88A9B7AAFA9}</x:author>
    <x:author>tc={A2333FE9-49D5-C016-953E-7E0B47F95EF5}</x:author>
    <x:author>tc={93C06E00-D895-402F-7E27-987889902425}</x:author>
    <x:author>tc={AEE536DF-8184-66AA-DD13-2B4E3E8B93C2}</x:author>
    <x:author>tc={5997CBC9-B8DA-7AF8-6285-53F3711B14B9}</x:author>
    <x:author>tc={626792A5-658D-324B-98D1-7D4E6DE536BD}</x:author>
    <x:author>tc={8D7BFCFD-3E48-D195-6EB4-5521380E05C9}</x:author>
    <x:author>tc={E15B3E52-7A06-CC45-DE2B-41A9C12FF48D}</x:author>
    <x:author>tc={B960910A-8477-2846-1613-88C2913E5C85}</x:author>
    <x:author>tc={3F019C8B-A8FF-A1C1-F480-A723F813C270}</x:author>
    <x:author>tc={8B0451A6-6D51-3B85-B608-44D73A90BE00}</x:author>
    <x:author>tc={6E34B664-AA4F-7D25-5EB4-CAE4F78D331D}</x:author>
    <x:author>tc={B2D6B7C4-FB9F-7569-768C-9F19B0EDBA9D}</x:author>
    <x:author>tc={F2C939C5-67DD-99B6-503C-636AE1C76D8C}</x:author>
    <x:author>tc={091770E0-D8A8-A17E-211F-BF39D2DE3D21}</x:author>
    <x:author>tc={C81BBC94-53F4-9708-39C3-5CB664703880}</x:author>
    <x:author>tc={A06A1A63-4CF5-E445-56FC-BD4A588968F1}</x:author>
    <x:author>tc={CF996379-C6D9-0FBB-656E-63B1D66BAFC8}</x:author>
    <x:author>tc={B957E27C-1147-FAF3-74E7-EA8EC5908CC6}</x:author>
    <x:author>tc={420E6EE9-F0FD-3EE6-7002-0F87931DE2C3}</x:author>
    <x:author>tc={72E4C9A4-FDB4-C94D-DCDC-B2D8F3FC1E58}</x:author>
    <x:author>tc={1CB140F6-0570-D58E-D0A8-4551FD74BA90}</x:author>
    <x:author>tc={4C23F7C6-D3C7-A4BE-F36C-2F5E0923875B}</x:author>
    <x:author>tc={A18D8527-4F44-6611-303D-A0E50FC512E3}</x:author>
    <x:author>tc={DCF389D3-4242-623B-AE66-3E44891929C8}</x:author>
    <x:author>tc={942E9BB5-C21B-6000-23BC-C0925210FA48}</x:author>
    <x:author>tc={B8533D65-8426-863A-B312-F367AD0B4444}</x:author>
    <x:author>tc={0886CFC9-D7DE-1471-513A-71A37582BE87}</x:author>
    <x:author>tc={BCB573C2-22CD-DDD1-A5ED-1DC2F5CE50B5}</x:author>
    <x:author>tc={E9D0B5CE-5209-E0BE-3237-DB8B632D7235}</x:author>
    <x:author>tc={B704E177-02B4-47FB-A7F9-206D3C4F097F}</x:author>
    <x:author>tc={6F3A1B45-FF5A-DF64-19ED-AA0695469814}</x:author>
    <x:author>tc={ACCA67AD-3C83-ACC1-2D98-C4C6D0AFD638}</x:author>
    <x:author>tc={B238E13A-91E5-5386-8C34-F67463D45FB1}</x:author>
    <x:author>tc={C0BA2EF8-C1B1-64BE-3EA0-F77C4E23AD4C}</x:author>
    <x:author>tc={9E7079E2-8399-4258-574A-B9F9C79E592C}</x:author>
    <x:author>tc={4D4A8E67-5958-A3C1-70C2-33CB58A773FF}</x:author>
    <x:author>tc={0CA8FE98-EDDA-A7FC-8A90-7852EAD6A4FF}</x:author>
    <x:author>tc={C13917A4-524D-2A26-A42D-6D16A66166CA}</x:author>
    <x:author>tc={C4039E66-57C0-F444-53E6-FCCF8A6DA3E9}</x:author>
    <x:author>tc={03D96BF4-9AE3-9DF8-CC14-62B6DA87E1BA}</x:author>
    <x:author>tc={68867B5D-2E79-11B5-AD2B-6426A7112DA5}</x:author>
    <x:author>tc={54A9DCF0-8852-0B11-508D-950C7B9284A4}</x:author>
    <x:author>tc={22D8A23D-9682-E3ED-C9FB-E779AA2720B1}</x:author>
    <x:author>tc={91E699CE-9A06-219F-5833-E4E864BED089}</x:author>
    <x:author>tc={F8EB5DB1-1D5C-47D0-D1DD-184B283C0C6C}</x:author>
    <x:author>tc={6EF67E32-E7EC-94F6-3F4E-584F0BE95656}</x:author>
    <x:author>tc={99F57B06-4D37-016A-C483-B1735DED682F}</x:author>
    <x:author>tc={5D7317F8-C323-677A-8020-3361BEEEB812}</x:author>
    <x:author>tc={513B22C5-53D5-D9FA-E2B0-84DC9C63BD75}</x:author>
    <x:author>tc={C676EC9E-9A20-A1B2-3E1F-20A28A26A61A}</x:author>
    <x:author>tc={BD7320DD-EB8C-3619-ABDC-27A23A838BFD}</x:author>
    <x:author>tc={DCCE526A-71D7-E02C-4253-8778B920726E}</x:author>
    <x:author>tc={33C6E653-4ECD-66D3-31ED-37F8D530BBCA}</x:author>
    <x:author>tc={2D51D488-F2CD-1656-7FC5-C0BE0926F124}</x:author>
    <x:author>tc={620305EA-1DAC-09F1-F096-0BEF7B4B8CA1}</x:author>
    <x:author>tc={E5082642-40DD-D305-F257-8AEF1B0F3468}</x:author>
    <x:author>tc={A227902C-BE3D-E28E-3D70-D78E36E76664}</x:author>
    <x:author>tc={8DC1750F-5595-5639-B653-027050CAA390}</x:author>
    <x:author>tc={DD3E8D93-9C02-6410-C382-7C25C24F3F42}</x:author>
    <x:author>tc={83154AE6-98B5-8AE9-06F0-2B1446B9C581}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tc={98531AC1-4941-7A52-E013-EE7B6AE34866}</x:author>
    <x:author>tc={D157483F-6BDA-7F1C-DCCF-23C8E64A35F7}</x:author>
    <x:author>tc={552A1BEC-EA87-5403-5908-968977F501D8}</x:author>
    <x:author>tc={A3DA3D31-7AAA-72A0-4EF5-95EFCC71CD2B}</x:author>
    <x:author>tc={76E3920F-E519-3C1E-3E0D-4BD1A2A66133}</x:author>
    <x:author>tc={5E262495-50B1-C8A9-AA8E-A574EC7E8A3D}</x:author>
    <x:author>tc={7EB79C36-B5A2-F049-7BDF-9F3B596F6820}</x:author>
    <x:author>tc={22CB9419-E586-D4C1-50B9-A021EC148AC5}</x:author>
    <x:author>tc={620B1091-CEB4-C37C-3382-EE621929B02A}</x:author>
    <x:author>tc={1405AEF0-4174-F4F3-F1A4-C31A5255643D}</x:author>
    <x:author>tc={B66A228C-307C-CC5B-C01D-0898704EE8A3}</x:author>
    <x:author>tc={AA3B7332-904E-A09B-2432-C36A1595C35A}</x:author>
    <x:author>tc={58E0E191-E399-7CE9-F247-C1CFF9615D23}</x:author>
    <x:author>tc={E1D11912-9D5F-2807-3A5F-26545A058958}</x:author>
    <x:author>tc={8C849A78-52FB-4F6A-C60B-5C3DD9A318B8}</x:author>
    <x:author>tc={A8EB206C-B5DF-647E-1A30-B65652F54204}</x:author>
    <x:author>tc={A281D42C-43AC-B97E-892E-1520D6E7A5F3}</x:author>
    <x:author>tc={AD9FEFBE-F579-CDA9-FC02-DD01D955F713}</x:author>
    <x:author>tc={28D2157A-9BBF-4F6E-79EF-FA7ECA05A5C8}</x:author>
    <x:author>tc={3DE68A57-0B2F-A77D-77DF-55430FAAA6F7}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0B63E5"/>
      </x:font>
      <x:fill>
        <x:patternFill patternType="solid">
          <x:bgColor rgb="FFEEF5FF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e011b7ac1f415d" /><Relationship Type="http://schemas.openxmlformats.org/officeDocument/2006/relationships/theme" Target="/xl/theme/theme1.xml" Id="R3a67a9be78924c07" /><Relationship Type="http://schemas.openxmlformats.org/officeDocument/2006/relationships/sharedStrings" Target="/xl/sharedStrings.xml" Id="Ree937a2c43f04b69" /><Relationship Type="http://schemas.openxmlformats.org/officeDocument/2006/relationships/worksheet" Target="/xl/worksheets/sheet1.xml" Id="Rcb2c4e1a55b942b2" /><Relationship Type="http://schemas.openxmlformats.org/officeDocument/2006/relationships/worksheet" Target="/xl/worksheets/sheet2.xml" Id="R1862c38eec4f4fd9" /><Relationship Type="http://schemas.openxmlformats.org/officeDocument/2006/relationships/worksheet" Target="/xl/worksheets/sheet3.xml" Id="Rff96f59aa3c04679" /><Relationship Type="http://schemas.openxmlformats.org/officeDocument/2006/relationships/worksheet" Target="/xl/worksheets/sheet4.xml" Id="R1583a0a66d6b4d3a" /><Relationship Type="http://schemas.openxmlformats.org/officeDocument/2006/relationships/worksheet" Target="/xl/worksheets/sheet5.xml" Id="R892f299ff0ed4564" /><Relationship Type="http://schemas.openxmlformats.org/officeDocument/2006/relationships/worksheet" Target="/xl/worksheets/sheet6.xml" Id="Rb12c3646ad1d4600" /><Relationship Type="http://schemas.openxmlformats.org/officeDocument/2006/relationships/worksheet" Target="/xl/worksheets/sheet7.xml" Id="Re458eca1bce74f85" /><Relationship Type="http://schemas.openxmlformats.org/officeDocument/2006/relationships/worksheet" Target="/xl/worksheets/sheet8.xml" Id="Rfded105b212a4b17" /><Relationship Type="http://schemas.openxmlformats.org/officeDocument/2006/relationships/worksheet" Target="/xl/worksheets/sheet9.xml" Id="R2f52fd7a8ac94db2" /><Relationship Type="http://schemas.openxmlformats.org/officeDocument/2006/relationships/worksheet" Target="/xl/worksheets/sheet10.xml" Id="R97807c487b9a4e4b" /><Relationship Type="http://schemas.microsoft.com/office/2017/10/relationships/person" Target="/xl/persons/person.xml" Id="R5497d982746d4cd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da8774676904c7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a8774676904c7c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2.0" id="{BDE9FFFE-8BC2-4317-A3B7-E3281AEF22D2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5T14:19:02.132" personId="{BDE9FFFE-8BC2-4317-A3B7-E3281AEF22D2}" id="{B010C51E-1279-1014-33BC-2602466A0653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5T14:19:02.134" personId="{BDE9FFFE-8BC2-4317-A3B7-E3281AEF22D2}" id="{C1FCCBE0-DA45-F004-62DE-931492BB7B55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5T14:19:02.134" personId="{BDE9FFFE-8BC2-4317-A3B7-E3281AEF22D2}" id="{AC4872FE-E925-0F71-A1A0-B51C3BE471D4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5T14:19:02.134" personId="{BDE9FFFE-8BC2-4317-A3B7-E3281AEF22D2}" id="{78456A9C-33CF-DC3E-ACC9-771E9401AB46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5T14:19:02.134" personId="{BDE9FFFE-8BC2-4317-A3B7-E3281AEF22D2}" id="{A3652911-0C8B-2C28-FADE-73D328A5BF26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5T14:19:02.134" personId="{BDE9FFFE-8BC2-4317-A3B7-E3281AEF22D2}" id="{6F2EBCD8-23F2-D22F-38CC-ED40EFF8AEC8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5T14:19:02.134" personId="{BDE9FFFE-8BC2-4317-A3B7-E3281AEF22D2}" id="{92F20AFD-1D39-B8DE-5BD9-BC3E03CB8C0F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5T14:19:02.134" personId="{BDE9FFFE-8BC2-4317-A3B7-E3281AEF22D2}" id="{CA2CD762-5110-A555-E40D-9C5F0FB6D9CC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5T14:19:02.134" personId="{BDE9FFFE-8BC2-4317-A3B7-E3281AEF22D2}" id="{9DAD665B-4B78-CB05-6BFF-8A259A25099D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5T14:19:02.135" personId="{BDE9FFFE-8BC2-4317-A3B7-E3281AEF22D2}" id="{B404A4C9-0C5D-FB04-5F38-B466A0729AB3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5T14:19:02.135" personId="{BDE9FFFE-8BC2-4317-A3B7-E3281AEF22D2}" id="{A778AC8E-E3EE-EF95-340F-71DE58C4379A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5T14:19:02.135" personId="{BDE9FFFE-8BC2-4317-A3B7-E3281AEF22D2}" id="{CF9789CE-401E-9368-3823-F3D6EB9FB0AE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5T14:19:02.135" personId="{BDE9FFFE-8BC2-4317-A3B7-E3281AEF22D2}" id="{E0F7EB04-9E7A-C956-F66F-04924C0BBF6B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5T14:19:02.135" personId="{BDE9FFFE-8BC2-4317-A3B7-E3281AEF22D2}" id="{432D59DF-0456-250E-3705-7E52A846CC07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5T14:19:02.135" personId="{BDE9FFFE-8BC2-4317-A3B7-E3281AEF22D2}" id="{8E40EC39-F650-2BB9-AA8A-B164C8F0D6DB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5T14:19:02.135" personId="{BDE9FFFE-8BC2-4317-A3B7-E3281AEF22D2}" id="{06B31F52-AE05-C750-E2E4-8BE8C077E3ED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5T14:19:02.135" personId="{BDE9FFFE-8BC2-4317-A3B7-E3281AEF22D2}" id="{C4AB3B82-976E-0559-3794-2F2F9216C552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5T14:19:02.135" personId="{BDE9FFFE-8BC2-4317-A3B7-E3281AEF22D2}" id="{3AAB5A1B-8E7D-C179-2DC1-E2DBD2705DB9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5T14:19:02.135" personId="{BDE9FFFE-8BC2-4317-A3B7-E3281AEF22D2}" id="{7D66F2E6-7D62-9517-832E-57FFAA140850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5T14:19:02.135" personId="{BDE9FFFE-8BC2-4317-A3B7-E3281AEF22D2}" id="{01EA68F6-A6AF-EEF9-FC79-C83DFF706D5F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5T14:19:02.135" personId="{BDE9FFFE-8BC2-4317-A3B7-E3281AEF22D2}" id="{7EBEBBB5-1D36-3EC8-8615-2492FBE68CC4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5T14:19:02.135" personId="{BDE9FFFE-8BC2-4317-A3B7-E3281AEF22D2}" id="{67EA088D-22B9-ECEE-A157-D88A9B7AAFA9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5T14:19:02.135" personId="{BDE9FFFE-8BC2-4317-A3B7-E3281AEF22D2}" id="{A2333FE9-49D5-C016-953E-7E0B47F95EF5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5T14:19:02.135" personId="{BDE9FFFE-8BC2-4317-A3B7-E3281AEF22D2}" id="{93C06E00-D895-402F-7E27-987889902425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5T14:19:02.135" personId="{BDE9FFFE-8BC2-4317-A3B7-E3281AEF22D2}" id="{AEE536DF-8184-66AA-DD13-2B4E3E8B93C2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5T14:19:02.135" personId="{BDE9FFFE-8BC2-4317-A3B7-E3281AEF22D2}" id="{5997CBC9-B8DA-7AF8-6285-53F3711B14B9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5T14:19:02.135" personId="{BDE9FFFE-8BC2-4317-A3B7-E3281AEF22D2}" id="{626792A5-658D-324B-98D1-7D4E6DE536BD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5T14:19:02.135" personId="{BDE9FFFE-8BC2-4317-A3B7-E3281AEF22D2}" id="{8D7BFCFD-3E48-D195-6EB4-5521380E05C9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5T14:19:02.135" personId="{BDE9FFFE-8BC2-4317-A3B7-E3281AEF22D2}" id="{E15B3E52-7A06-CC45-DE2B-41A9C12FF48D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5T14:19:02.135" personId="{BDE9FFFE-8BC2-4317-A3B7-E3281AEF22D2}" id="{B960910A-8477-2846-1613-88C2913E5C85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5T14:19:02.135" personId="{BDE9FFFE-8BC2-4317-A3B7-E3281AEF22D2}" id="{3F019C8B-A8FF-A1C1-F480-A723F813C270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5T14:19:02.135" personId="{BDE9FFFE-8BC2-4317-A3B7-E3281AEF22D2}" id="{8B0451A6-6D51-3B85-B608-44D73A90BE00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5T14:19:02.135" personId="{BDE9FFFE-8BC2-4317-A3B7-E3281AEF22D2}" id="{6E34B664-AA4F-7D25-5EB4-CAE4F78D331D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5T14:19:02.135" personId="{BDE9FFFE-8BC2-4317-A3B7-E3281AEF22D2}" id="{B2D6B7C4-FB9F-7569-768C-9F19B0EDBA9D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5T14:19:02.135" personId="{BDE9FFFE-8BC2-4317-A3B7-E3281AEF22D2}" id="{F2C939C5-67DD-99B6-503C-636AE1C76D8C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5T14:19:02.135" personId="{BDE9FFFE-8BC2-4317-A3B7-E3281AEF22D2}" id="{091770E0-D8A8-A17E-211F-BF39D2DE3D21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5T14:19:02.135" personId="{BDE9FFFE-8BC2-4317-A3B7-E3281AEF22D2}" id="{C81BBC94-53F4-9708-39C3-5CB664703880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5T14:19:02.135" personId="{BDE9FFFE-8BC2-4317-A3B7-E3281AEF22D2}" id="{A06A1A63-4CF5-E445-56FC-BD4A588968F1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5T14:19:02.135" personId="{BDE9FFFE-8BC2-4317-A3B7-E3281AEF22D2}" id="{CF996379-C6D9-0FBB-656E-63B1D66BAFC8}">
    <xltc:text>Source: https://www.shopriteholdings.co.za/docs/shp-afs-2025.pdf
Page: 18
Available: 2025-10-13
SHA-256: seed-register-hash:SHP-2025-AP-CLOSE</xltc:text>
  </xltc:threadedComment>
  <xltc:threadedComment ref="P44" dT="2026-08-15T14:19:02.135" personId="{BDE9FFFE-8BC2-4317-A3B7-E3281AEF22D2}" id="{B957E27C-1147-FAF3-74E7-EA8EC5908CC6}">
    <xltc:text>Source: https://www.shopriteholdings.co.za/docs/shp-afs-2025.pdf
Page: 18
Available: 2025-10-13
SHA-256: seed-register-hash:SHP-2025-AP-OPEN</xltc:text>
  </xltc:threadedComment>
  <xltc:threadedComment ref="P45" dT="2026-08-15T14:19:02.135" personId="{BDE9FFFE-8BC2-4317-A3B7-E3281AEF22D2}" id="{420E6EE9-F0FD-3EE6-7002-0F87931DE2C3}">
    <xltc:text>Source: https://www.shopriteholdings.co.za/docs/shp-afs-2025.pdf
Page: 18
Available: 2025-10-13
SHA-256: seed-register-hash:SHP-2025-AR-CLOSE</xltc:text>
  </xltc:threadedComment>
  <xltc:threadedComment ref="P46" dT="2026-08-15T14:19:02.135" personId="{BDE9FFFE-8BC2-4317-A3B7-E3281AEF22D2}" id="{72E4C9A4-FDB4-C94D-DCDC-B2D8F3FC1E58}">
    <xltc:text>Source: https://www.shopriteholdings.co.za/docs/shp-afs-2025.pdf
Page: 18
Available: 2025-10-13
SHA-256: seed-register-hash:SHP-2025-AR-OPEN</xltc:text>
  </xltc:threadedComment>
  <xltc:threadedComment ref="P47" dT="2026-08-15T14:19:02.135" personId="{BDE9FFFE-8BC2-4317-A3B7-E3281AEF22D2}" id="{1CB140F6-0570-D58E-D0A8-4551FD74BA90}">
    <xltc:text>Source: https://www.shopriteholdings.co.za/docs/shp-afs-2025.pdf
Page: 19
Available: 2025-10-13
SHA-256: seed-register-hash:SHP-2025-COST</xltc:text>
  </xltc:threadedComment>
  <xltc:threadedComment ref="P48" dT="2026-08-15T14:19:02.135" personId="{BDE9FFFE-8BC2-4317-A3B7-E3281AEF22D2}" id="{4C23F7C6-D3C7-A4BE-F36C-2F5E0923875B}">
    <xltc:text>Source: https://www.shopriteholdings.co.za/docs/shp-afs-2025.pdf
Page: 18
Available: 2025-10-13
SHA-256: seed-register-hash:SHP-2025-DEBT</xltc:text>
  </xltc:threadedComment>
  <xltc:threadedComment ref="P49" dT="2026-08-15T14:19:02.135" personId="{BDE9FFFE-8BC2-4317-A3B7-E3281AEF22D2}" id="{A18D8527-4F44-6611-303D-A0E50FC512E3}">
    <xltc:text>Source: https://www.shopriteholdings.co.za/docs/shp-afs-2025.pdf
Page: 118
Available: 2025-10-13
SHA-256: seed-register-hash:SHP-2025-FX</xltc:text>
  </xltc:threadedComment>
  <xltc:threadedComment ref="P50" dT="2026-08-15T14:19:02.136" personId="{BDE9FFFE-8BC2-4317-A3B7-E3281AEF22D2}" id="{DCF389D3-4242-623B-AE66-3E44891929C8}">
    <xltc:text>Source: https://www.shopriteholdings.co.za/docs/shp-afs-2025.pdf
Page: 18
Available: 2025-10-13
SHA-256: seed-register-hash:SHP-2025-INV-CLOSE</xltc:text>
  </xltc:threadedComment>
  <xltc:threadedComment ref="P51" dT="2026-08-15T14:19:02.136" personId="{BDE9FFFE-8BC2-4317-A3B7-E3281AEF22D2}" id="{942E9BB5-C21B-6000-23BC-C0925210FA48}">
    <xltc:text>Source: https://www.shopriteholdings.co.za/docs/shp-afs-2025.pdf
Page: 18
Available: 2025-10-13
SHA-256: seed-register-hash:SHP-2025-INV-OPEN</xltc:text>
  </xltc:threadedComment>
  <xltc:threadedComment ref="P52" dT="2026-08-15T14:19:02.136" personId="{BDE9FFFE-8BC2-4317-A3B7-E3281AEF22D2}" id="{B8533D65-8426-863A-B312-F367AD0B4444}">
    <xltc:text>Source: https://www.shopriteholdings.co.za/docs/shp-afs-2025.pdf
Page: 19
Available: 2025-10-13
SHA-256: seed-register-hash:SHP-2025-REV</xltc:text>
  </xltc:threadedComment>
  <xltc:threadedComment ref="P53" dT="2026-08-15T14:19:02.136" personId="{BDE9FFFE-8BC2-4317-A3B7-E3281AEF22D2}" id="{0886CFC9-D7DE-1471-513A-71A37582BE87}">
    <xltc:text>Source: https://www.shopriteholdings.co.za/docs/shp-afs-2025.pdf
Page: 18
Available: 2025-10-13
SHA-256: seed-register-hash:SHP-2025-STF</xltc:text>
  </xltc:threadedComment>
  <xltc:threadedComment ref="P54" dT="2026-08-15T14:19:02.136" personId="{BDE9FFFE-8BC2-4317-A3B7-E3281AEF22D2}" id="{BCB573C2-22CD-DDD1-A5ED-1DC2F5CE50B5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5T14:19:02.136" personId="{BDE9FFFE-8BC2-4317-A3B7-E3281AEF22D2}" id="{E9D0B5CE-5209-E0BE-3237-DB8B632D7235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5T14:19:02.136" personId="{BDE9FFFE-8BC2-4317-A3B7-E3281AEF22D2}" id="{B704E177-02B4-47FB-A7F9-206D3C4F097F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5T14:19:02.136" personId="{BDE9FFFE-8BC2-4317-A3B7-E3281AEF22D2}" id="{6F3A1B45-FF5A-DF64-19ED-AA0695469814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5T14:19:02.136" personId="{BDE9FFFE-8BC2-4317-A3B7-E3281AEF22D2}" id="{ACCA67AD-3C83-ACC1-2D98-C4C6D0AFD638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5T14:19:02.136" personId="{BDE9FFFE-8BC2-4317-A3B7-E3281AEF22D2}" id="{B238E13A-91E5-5386-8C34-F67463D45FB1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5T14:19:02.136" personId="{BDE9FFFE-8BC2-4317-A3B7-E3281AEF22D2}" id="{C0BA2EF8-C1B1-64BE-3EA0-F77C4E23AD4C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5T14:19:02.136" personId="{BDE9FFFE-8BC2-4317-A3B7-E3281AEF22D2}" id="{9E7079E2-8399-4258-574A-B9F9C79E592C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5T14:19:02.136" personId="{BDE9FFFE-8BC2-4317-A3B7-E3281AEF22D2}" id="{4D4A8E67-5958-A3C1-70C2-33CB58A773FF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5T14:19:02.136" personId="{BDE9FFFE-8BC2-4317-A3B7-E3281AEF22D2}" id="{0CA8FE98-EDDA-A7FC-8A90-7852EAD6A4FF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5T14:19:02.136" personId="{BDE9FFFE-8BC2-4317-A3B7-E3281AEF22D2}" id="{C13917A4-524D-2A26-A42D-6D16A66166CA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5T14:19:02.136" personId="{BDE9FFFE-8BC2-4317-A3B7-E3281AEF22D2}" id="{C4039E66-57C0-F444-53E6-FCCF8A6DA3E9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5T14:19:02.136" personId="{BDE9FFFE-8BC2-4317-A3B7-E3281AEF22D2}" id="{03D96BF4-9AE3-9DF8-CC14-62B6DA87E1BA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5T14:19:02.136" personId="{BDE9FFFE-8BC2-4317-A3B7-E3281AEF22D2}" id="{68867B5D-2E79-11B5-AD2B-6426A7112DA5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5T14:19:02.136" personId="{BDE9FFFE-8BC2-4317-A3B7-E3281AEF22D2}" id="{54A9DCF0-8852-0B11-508D-950C7B9284A4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5T14:19:02.136" personId="{BDE9FFFE-8BC2-4317-A3B7-E3281AEF22D2}" id="{22D8A23D-9682-E3ED-C9FB-E779AA2720B1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5T14:19:02.136" personId="{BDE9FFFE-8BC2-4317-A3B7-E3281AEF22D2}" id="{91E699CE-9A06-219F-5833-E4E864BED089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5T14:19:02.136" personId="{BDE9FFFE-8BC2-4317-A3B7-E3281AEF22D2}" id="{F8EB5DB1-1D5C-47D0-D1DD-184B283C0C6C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5T14:19:02.136" personId="{BDE9FFFE-8BC2-4317-A3B7-E3281AEF22D2}" id="{6EF67E32-E7EC-94F6-3F4E-584F0BE95656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5T14:19:02.136" personId="{BDE9FFFE-8BC2-4317-A3B7-E3281AEF22D2}" id="{99F57B06-4D37-016A-C483-B1735DED682F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5T14:19:02.136" personId="{BDE9FFFE-8BC2-4317-A3B7-E3281AEF22D2}" id="{5D7317F8-C323-677A-8020-3361BEEEB812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5T14:19:02.136" personId="{BDE9FFFE-8BC2-4317-A3B7-E3281AEF22D2}" id="{513B22C5-53D5-D9FA-E2B0-84DC9C63BD75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5T14:19:02.136" personId="{BDE9FFFE-8BC2-4317-A3B7-E3281AEF22D2}" id="{C676EC9E-9A20-A1B2-3E1F-20A28A26A61A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5T14:19:02.136" personId="{BDE9FFFE-8BC2-4317-A3B7-E3281AEF22D2}" id="{BD7320DD-EB8C-3619-ABDC-27A23A838BFD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5T14:19:02.136" personId="{BDE9FFFE-8BC2-4317-A3B7-E3281AEF22D2}" id="{DCCE526A-71D7-E02C-4253-8778B920726E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5T14:19:02.136" personId="{BDE9FFFE-8BC2-4317-A3B7-E3281AEF22D2}" id="{33C6E653-4ECD-66D3-31ED-37F8D530BBCA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5T14:19:02.136" personId="{BDE9FFFE-8BC2-4317-A3B7-E3281AEF22D2}" id="{2D51D488-F2CD-1656-7FC5-C0BE0926F124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5T14:19:02.136" personId="{BDE9FFFE-8BC2-4317-A3B7-E3281AEF22D2}" id="{620305EA-1DAC-09F1-F096-0BEF7B4B8CA1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5T14:19:02.136" personId="{BDE9FFFE-8BC2-4317-A3B7-E3281AEF22D2}" id="{E5082642-40DD-D305-F257-8AEF1B0F3468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5T14:19:02.136" personId="{BDE9FFFE-8BC2-4317-A3B7-E3281AEF22D2}" id="{A227902C-BE3D-E28E-3D70-D78E36E76664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5T14:19:02.136" personId="{BDE9FFFE-8BC2-4317-A3B7-E3281AEF22D2}" id="{8DC1750F-5595-5639-B653-027050CAA390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5T14:19:02.136" personId="{BDE9FFFE-8BC2-4317-A3B7-E3281AEF22D2}" id="{DD3E8D93-9C02-6410-C382-7C25C24F3F42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5T14:19:02.136" personId="{BDE9FFFE-8BC2-4317-A3B7-E3281AEF22D2}" id="{83154AE6-98B5-8AE9-06F0-2B1446B9C581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5T14:19:02.445" personId="{BDE9FFFE-8BC2-4317-A3B7-E3281AEF22D2}" id="{98531AC1-4941-7A52-E013-EE7B6AE34866}">
    <xltc:text>Official source: https://www.bhp.com/-/media/documents/investors/annual-reports/2025/250819_bhpannualreport2025.pdf</xltc:text>
  </xltc:threadedComment>
  <xltc:threadedComment ref="J6" dT="2026-08-15T14:19:02.447" personId="{BDE9FFFE-8BC2-4317-A3B7-E3281AEF22D2}" id="{D157483F-6BDA-7F1C-DCCF-23C8E64A35F7}">
    <xltc:text>Official source: https://www.glencore.com/.rest/api/v1/documents/static/9b103e11-72e7-40bf-ae7c-eabe57361522/GLEN-2025-Annual-Report.pdf</xltc:text>
  </xltc:threadedComment>
  <xltc:threadedComment ref="J7" dT="2026-08-15T14:19:02.451" personId="{BDE9FFFE-8BC2-4317-A3B7-E3281AEF22D2}" id="{552A1BEC-EA87-5403-5908-968977F501D8}">
    <xltc:text>Official source: https://www.angloamerican.com/~/media/Files/A/Anglo-American-Group-v9/PLC/investors/annual-reporting/2025/aa-annual-report-full-2025.pdf</xltc:text>
  </xltc:threadedComment>
  <xltc:threadedComment ref="J8" dT="2026-08-15T14:19:02.453" personId="{BDE9FFFE-8BC2-4317-A3B7-E3281AEF22D2}" id="{A3DA3D31-7AAA-72A0-4EF5-95EFCC71CD2B}">
    <xltc:text>Official source: https://reports.anglogoldashanti.com/25/download/AGA-AR25.pdf</xltc:text>
  </xltc:threadedComment>
  <xltc:threadedComment ref="J9" dT="2026-08-15T14:19:02.456" personId="{BDE9FFFE-8BC2-4317-A3B7-E3281AEF22D2}" id="{76E3920F-E519-3C1E-3E0D-4BD1A2A66133}">
    <xltc:text>Official source: https://www.goldfields.com/pdf/investors/integrated-annual-reports/2025/afs-2025.pdf</xltc:text>
  </xltc:threadedComment>
  <xltc:threadedComment ref="J10" dT="2026-08-15T14:19:02.458" personId="{BDE9FFFE-8BC2-4317-A3B7-E3281AEF22D2}" id="{5E262495-50B1-C8A9-AA8E-A574EC7E8A3D}">
    <xltc:text>Official source: https://www.valterraplatinum.com/wp-content/uploads/2026/05/annual-financial-statements-2025.pdf</xltc:text>
  </xltc:threadedComment>
  <xltc:threadedComment ref="J11" dT="2026-08-15T14:19:02.46" personId="{BDE9FFFE-8BC2-4317-A3B7-E3281AEF22D2}" id="{7EB79C36-B5A2-F049-7BDF-9F3B596F6820}">
    <xltc:text>Official source: https://group.outsurance.co.za/globalassets/documents/investor-relations/reports-and-results/2025/ogl-annual-financial-statements-2025.pdf</xltc:text>
  </xltc:threadedComment>
  <xltc:threadedComment ref="J12" dT="2026-08-15T14:19:02.463" personId="{BDE9FFFE-8BC2-4317-A3B7-E3281AEF22D2}" id="{22CB9419-E586-D4C1-50B9-A021EC148AC5}">
    <xltc:text>Official source: https://www.sanlam.com/downloads/integrated-report-and-annual-financial-statements/2024/Sanlam-AFS-2024-spreads.pdf</xltc:text>
  </xltc:threadedComment>
  <xltc:threadedComment ref="J13" dT="2026-08-15T14:19:02.466" personId="{BDE9FFFE-8BC2-4317-A3B7-E3281AEF22D2}" id="{620B1091-CEB4-C37C-3382-EE621929B02A}">
    <xltc:text>Official source: https://www.shopriteholdings.co.za/docs/shp-afs-2025.pdf</xltc:text>
  </xltc:threadedComment>
  <xltc:threadedComment ref="J14" dT="2026-08-15T14:19:02.47" personId="{BDE9FFFE-8BC2-4317-A3B7-E3281AEF22D2}" id="{1405AEF0-4174-F4F3-F1A4-C31A5255643D}">
    <xltc:text>Official source: https://www.bidcorpgroup.com/pdf/reports/2025/Bidcorp-2025-AIR.pdf</xltc:text>
  </xltc:threadedComment>
  <xltc:threadedComment ref="J15" dT="2026-08-15T14:19:02.472" personId="{BDE9FFFE-8BC2-4317-A3B7-E3281AEF22D2}" id="{B66A228C-307C-CC5B-C01D-0898704EE8A3}">
    <xltc:text>Official source: https://pepkor.co.za/wp-content/uploads/Pepkor-annual-financial-statements-2025.pdf</xltc:text>
  </xltc:threadedComment>
  <xltc:threadedComment ref="J16" dT="2026-08-15T14:19:02.476" personId="{BDE9FFFE-8BC2-4317-A3B7-E3281AEF22D2}" id="{AA3B7332-904E-A09B-2432-C36A1595C35A}">
    <xltc:text>Official source: https://clicksgroup.co.za/iar2025/wp-content/uploads/CGL-YE25-Annual-financial-statements.pdf</xltc:text>
  </xltc:threadedComment>
  <xltc:threadedComment ref="J17" dT="2026-08-15T14:19:02.477" personId="{BDE9FFFE-8BC2-4317-A3B7-E3281AEF22D2}" id="{58E0E191-E399-7CE9-F247-C1CFF9615D23}">
    <xltc:text>Official source: https://nepirockcastle.com/wp-content/uploads/2026/03/NEPI_Rockcastle_Annual_Report_2025.pdf</xltc:text>
  </xltc:threadedComment>
  <xltc:threadedComment ref="J18" dT="2026-08-15T14:19:02.479" personId="{BDE9FFFE-8BC2-4317-A3B7-E3281AEF22D2}" id="{E1D11912-9D5F-2807-3A5F-26545A058958}">
    <xltc:text>Official source: https://www.prosus.com/~/media/Files/P/prosus-corp-v2/results-reports-and-events-archive/annual-report/2026/fy2026-annual-report.pdf</xltc:text>
  </xltc:threadedComment>
  <xltc:threadedComment ref="J19" dT="2026-08-15T14:19:02.481" personId="{BDE9FFFE-8BC2-4317-A3B7-E3281AEF22D2}" id="{8C849A78-52FB-4F6A-C60B-5C3DD9A318B8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5T14:19:02.484" personId="{BDE9FFFE-8BC2-4317-A3B7-E3281AEF22D2}" id="{A8EB206C-B5DF-647E-1A30-B65652F54204}">
    <xltc:text>Official source: https://www.mtn.com/wp-content/uploads/2026/03/MTN-Group-FY-25-Annual-Financial-Statements.pdf</xltc:text>
  </xltc:threadedComment>
  <xltc:threadedComment ref="J21" dT="2026-08-15T14:19:02.486" personId="{BDE9FFFE-8BC2-4317-A3B7-E3281AEF22D2}" id="{A281D42C-43AC-B97E-892E-1520D6E7A5F3}">
    <xltc:text>Official source: https://vodacom-reports.co.za/integrated-reports/ir-2026/documents/vodacom-consolidated-and-separate-financial-statements-2026.pdf</xltc:text>
  </xltc:threadedComment>
  <xltc:threadedComment ref="J22" dT="2026-08-15T14:19:02.487" personId="{BDE9FFFE-8BC2-4317-A3B7-E3281AEF22D2}" id="{AD9FEFBE-F579-CDA9-FC02-DD01D955F713}">
    <xltc:text>Official source: https://bidvest.co.za/pdf/annual-reports/2025/bidvest-iar-2025.pdf</xltc:text>
  </xltc:threadedComment>
  <xltc:threadedComment ref="J23" dT="2026-08-15T14:19:02.489" personId="{BDE9FFFE-8BC2-4317-A3B7-E3281AEF22D2}" id="{28D2157A-9BBF-4F6E-79EF-FA7ECA05A5C8}">
    <xltc:text>Official source: https://www.aspenpharma.com/download/annual-financial-statements-2/</xltc:text>
  </xltc:threadedComment>
  <xltc:threadedComment ref="J24" dT="2026-08-15T14:19:02.491" personId="{BDE9FFFE-8BC2-4317-A3B7-E3281AEF22D2}" id="{3DE68A57-0B2F-A77D-77DF-55430FAAA6F7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0e0f57931fa44495" /><Relationship Type="http://schemas.openxmlformats.org/officeDocument/2006/relationships/vmlDrawing" Target="/xl/drawings/vmldrawing.vml" Id="R3c0baf671f3c4ecb" /><Relationship Type="http://schemas.microsoft.com/office/2017/10/relationships/threadedComment" Target="/xl/threadedcomments/threadedcomment.xml" Id="Reb39f7e650fa4d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b56dd16d91fa437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c6a3e282f73d4344" /><Relationship Type="http://schemas.openxmlformats.org/officeDocument/2006/relationships/vmlDrawing" Target="/xl/drawings/vmldrawing2.vml" Id="R7f41b2e2cafc4af8" /><Relationship Type="http://schemas.microsoft.com/office/2017/10/relationships/threadedComment" Target="/xl/threadedcomments/threadedcomment2.xml" Id="R63ca22f8bac74b6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V3.2.0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Evidence, wallet impact and Promotion Readiness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V3.2.0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3c0baf671f3c4ecb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b56dd16d91fa437d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V3.2.0 preserves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V3.2.0 preserves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V3.2.0 preserves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V3.2.0 preserves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V3.2.0 preserves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V3.2.0 preserves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V3.2.0 preserves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V3.2.0 preserves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V3.2.0 preserves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V3.2.0 preserves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V3.2.0 preserves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V3.2.0 preserves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V3.2.0 preserves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V3.2.0 preserves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V3.2.0 preserves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V3.2.0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58" hidden="0" customWidth="1"/>
  </x:cols>
  <x:sheetData>
    <x:row r="1" ht="35" customHeight="1">
      <x:c r="A1" s="3" t="str">
        <x:v>Promotion Readiness Twin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6" customHeight="1">
      <x:c r="A2" s="7" t="str">
        <x:v>Blue is rehearsal evidence; green would require real bank evidence. Simulation can never authorize bank use.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0" customHeight="1">
      <x:c r="A4" s="71" t="str">
        <x:v>Real state</x:v>
      </x:c>
      <x:c r="B4" s="71" t="str">
        <x:v>Rehearsed state</x:v>
      </x:c>
      <x:c r="C4" s="71" t="str">
        <x:v>Bank shadow authorized</x:v>
      </x:c>
      <x:c r="D4" s="71" t="str">
        <x:v>PMR</x:v>
      </x:c>
      <x:c r="E4" s="71" t="str">
        <x:v>BER</x:v>
      </x:c>
      <x:c r="F4" s="71" t="str">
        <x:v>Rehearsal clean days</x:v>
      </x:c>
      <x:c r="G4" s="71" t="str">
        <x:v>Elapsed bank days</x:v>
      </x:c>
      <x:c r="H4" s="71" t="str">
        <x:v>Package status</x:v>
      </x:c>
      <x:c r="I4" s="71" t="str">
        <x:v>Bank status</x:v>
      </x:c>
      <x:c r="J4" s="71" t="str">
        <x:v>Real signer available</x:v>
      </x:c>
      <x:c r="K4" s="71" t="str">
        <x:v>Gate count</x:v>
      </x:c>
    </x:row>
    <x:row r="5">
      <x:c r="A5" s="58" t="str">
        <x:v>OFFLINE_CANDIDATE</x:v>
      </x:c>
      <x:c r="B5" s="58" t="str">
        <x:v>SHADOW_READY</x:v>
      </x:c>
      <x:c r="C5" s="58" t="str">
        <x:v>FALSE</x:v>
      </x:c>
      <x:c r="D5" s="60" t="n">
        <x:v>1</x:v>
      </x:c>
      <x:c r="E5" s="60" t="n">
        <x:v>0</x:v>
      </x:c>
      <x:c r="F5" s="58" t="n">
        <x:v>30</x:v>
      </x:c>
      <x:c r="G5" s="58" t="n">
        <x:v>0</x:v>
      </x:c>
      <x:c r="H5" s="58" t="str">
        <x:v>SHADOW_DEPLOYMENT_PACKAGE_READY</x:v>
      </x:c>
      <x:c r="I5" s="58" t="str">
        <x:v>NOT_PROMOTABLE</x:v>
      </x:c>
      <x:c r="J5" s="58" t="str">
        <x:v>FALSE</x:v>
      </x:c>
      <x:c r="K5" s="58" t="n">
        <x:v>30</x:v>
      </x:c>
    </x:row>
    <x:row r="8" ht="30" customHeight="1">
      <x:c r="A8" s="77" t="str">
        <x:v>Transition</x:v>
      </x:c>
      <x:c r="B8" s="77" t="str">
        <x:v>Gate ID</x:v>
      </x:c>
      <x:c r="C8" s="77" t="str">
        <x:v>Requirement</x:v>
      </x:c>
      <x:c r="D8" s="77" t="str">
        <x:v>Severity</x:v>
      </x:c>
      <x:c r="E8" s="77" t="str">
        <x:v>Blocking</x:v>
      </x:c>
      <x:c r="F8" s="77" t="str">
        <x:v>Real status</x:v>
      </x:c>
      <x:c r="G8" s="77" t="str">
        <x:v>Rehearsal status</x:v>
      </x:c>
      <x:c r="H8" s="77" t="str">
        <x:v>Evidence mode</x:v>
      </x:c>
      <x:c r="I8" s="77" t="str">
        <x:v>Signature</x:v>
      </x:c>
      <x:c r="J8" s="77" t="str">
        <x:v>Owner</x:v>
      </x:c>
      <x:c r="K8" s="77" t="str">
        <x:v>Approver</x:v>
      </x:c>
      <x:c r="L8" s="77" t="str">
        <x:v>What makes real pass</x:v>
      </x:c>
    </x:row>
    <x:row r="9">
      <x:c r="A9" s="58" t="str">
        <x:v>OFFLINE_CANDIDATE__TO__SHADOW_READY</x:v>
      </x:c>
      <x:c r="B9" s="58" t="str">
        <x:v>independent-reproduction</x:v>
      </x:c>
      <x:c r="C9" s="58" t="str">
        <x:v>A second party rebuilds every gated artifact byte-identically from the named commit.</x:v>
      </x:c>
      <x:c r="D9" s="58" t="str">
        <x:v>CRITICAL</x:v>
      </x:c>
      <x:c r="E9" s="58" t="str">
        <x:v>YES</x:v>
      </x:c>
      <x:c r="F9" s="58" t="str">
        <x:v>NOT_EVALUATED</x:v>
      </x:c>
      <x:c r="G9" s="58" t="str">
        <x:v>PASS</x:v>
      </x:c>
      <x:c r="H9" s="58" t="str">
        <x:v>SYNTHETIC_REHEARSAL</x:v>
      </x:c>
      <x:c r="I9" s="58" t="str">
        <x:v>SIGNED_REHEARSAL</x:v>
      </x:c>
      <x:c r="J9" s="58" t="str">
        <x:v>ENGINEERING</x:v>
      </x:c>
      <x:c r="K9" s="58" t="str">
        <x:v>MODEL_RISK</x:v>
      </x:c>
      <x:c r="L9" s="58" t="str">
        <x:v>A reviewer outside the build machine runs scripts/build_submission.py at the tagged commit and reports matching digests for all 74 gated artifacts.</x:v>
      </x:c>
    </x:row>
    <x:row r="10">
      <x:c r="A10" s="58" t="str">
        <x:v>OFFLINE_CANDIDATE__TO__SHADOW_READY</x:v>
      </x:c>
      <x:c r="B10" s="58" t="str">
        <x:v>point-in-time-zero-leakage</x:v>
      </x:c>
      <x:c r="C10" s="58" t="str">
        <x:v>No input dated after a record's as_of informs that record.</x:v>
      </x:c>
      <x:c r="D10" s="58" t="str">
        <x:v>CRITICAL</x:v>
      </x:c>
      <x:c r="E10" s="58" t="str">
        <x:v>YES</x:v>
      </x:c>
      <x:c r="F10" s="58" t="str">
        <x:v>NOT_EVALUATED</x:v>
      </x:c>
      <x:c r="G10" s="58" t="str">
        <x:v>PASS</x:v>
      </x:c>
      <x:c r="H10" s="58" t="str">
        <x:v>SYNTHETIC_REHEARSAL</x:v>
      </x:c>
      <x:c r="I10" s="58" t="str">
        <x:v>SIGNED_REHEARSAL</x:v>
      </x:c>
      <x:c r="J10" s="58" t="str">
        <x:v>DATA_ENGINEERING</x:v>
      </x:c>
      <x:c r="K10" s="58" t="str">
        <x:v>MODEL_RISK</x:v>
      </x:c>
      <x:c r="L10" s="58" t="str">
        <x:v>The V3 validation report shows point_in_time_violations = 0 on bank data rather than on the public fixture.</x:v>
      </x:c>
    </x:row>
    <x:row r="11">
      <x:c r="A11" s="58" t="str">
        <x:v>OFFLINE_CANDIDATE__TO__SHADOW_READY</x:v>
      </x:c>
      <x:c r="B11" s="58" t="str">
        <x:v>reconciliation-exact</x:v>
      </x:c>
      <x:c r="C11" s="58" t="str">
        <x:v>Shadow wallet mass balance reconciles exactly, with no tolerance.</x:v>
      </x:c>
      <x:c r="D11" s="58" t="str">
        <x:v>CRITICAL</x:v>
      </x:c>
      <x:c r="E11" s="58" t="str">
        <x:v>YES</x:v>
      </x:c>
      <x:c r="F11" s="58" t="str">
        <x:v>NOT_EVALUATED</x:v>
      </x:c>
      <x:c r="G11" s="58" t="str">
        <x:v>PASS</x:v>
      </x:c>
      <x:c r="H11" s="58" t="str">
        <x:v>SYNTHETIC_REHEARSAL</x:v>
      </x:c>
      <x:c r="I11" s="58" t="str">
        <x:v>SIGNED_REHEARSAL</x:v>
      </x:c>
      <x:c r="J11" s="58" t="str">
        <x:v>FINANCE_OPERATIONS</x:v>
      </x:c>
      <x:c r="K11" s="58" t="str">
        <x:v>FINANCE_CONTROLLER</x:v>
      </x:c>
      <x:c r="L11" s="58" t="str">
        <x:v>Reconciliation runs against real bank balances for a full cycle and reports a rate of exactly 1.0.</x:v>
      </x:c>
    </x:row>
    <x:row r="12">
      <x:c r="A12" s="58" t="str">
        <x:v>OFFLINE_CANDIDATE__TO__SHADOW_READY</x:v>
      </x:c>
      <x:c r="B12" s="58" t="str">
        <x:v>interval-coverage-90</x:v>
      </x:c>
      <x:c r="C12" s="58" t="str">
        <x:v>Empirical coverage of the nominal 90% interval falls within 0.85–0.95.</x:v>
      </x:c>
      <x:c r="D12" s="58" t="str">
        <x:v>HIGH</x:v>
      </x:c>
      <x:c r="E12" s="58" t="str">
        <x:v>YES</x:v>
      </x:c>
      <x:c r="F12" s="58" t="str">
        <x:v>NOT_EVALUATED</x:v>
      </x:c>
      <x:c r="G12" s="58" t="str">
        <x:v>PASS</x:v>
      </x:c>
      <x:c r="H12" s="58" t="str">
        <x:v>SYNTHETIC_REHEARSAL</x:v>
      </x:c>
      <x:c r="I12" s="58" t="str">
        <x:v>SIGNED_REHEARSAL</x:v>
      </x:c>
      <x:c r="J12" s="58" t="str">
        <x:v>DATA_SCIENCE</x:v>
      </x:c>
      <x:c r="K12" s="58" t="str">
        <x:v>MODEL_RISK</x:v>
      </x:c>
      <x:c r="L12" s="58" t="str">
        <x:v>Coverage is measured on held-out real bank outcomes, not on the synthetic calibration lab.</x:v>
      </x:c>
    </x:row>
    <x:row r="13">
      <x:c r="A13" s="58" t="str">
        <x:v>OFFLINE_CANDIDATE__TO__SHADOW_READY</x:v>
      </x:c>
      <x:c r="B13" s="58" t="str">
        <x:v>crps-improvement</x:v>
      </x:c>
      <x:c r="C13" s="58" t="str">
        <x:v>Continuous ranked probability score improves ≥10% against the registered baseline.</x:v>
      </x:c>
      <x:c r="D13" s="58" t="str">
        <x:v>HIGH</x:v>
      </x:c>
      <x:c r="E13" s="58" t="str">
        <x:v>YES</x:v>
      </x:c>
      <x:c r="F13" s="58" t="str">
        <x:v>NOT_EVALUATED</x:v>
      </x:c>
      <x:c r="G13" s="58" t="str">
        <x:v>PASS</x:v>
      </x:c>
      <x:c r="H13" s="58" t="str">
        <x:v>SYNTHETIC_REHEARSAL</x:v>
      </x:c>
      <x:c r="I13" s="58" t="str">
        <x:v>SIGNED_REHEARSAL</x:v>
      </x:c>
      <x:c r="J13" s="58" t="str">
        <x:v>DATA_SCIENCE</x:v>
      </x:c>
      <x:c r="K13" s="58" t="str">
        <x:v>MODEL_RISK</x:v>
      </x:c>
      <x:c r="L13" s="58" t="str">
        <x:v>The comparison is run on real bank outcomes with the baseline frozen before the comparison.</x:v>
      </x:c>
    </x:row>
    <x:row r="14">
      <x:c r="A14" s="58" t="str">
        <x:v>OFFLINE_CANDIDATE__TO__SHADOW_READY</x:v>
      </x:c>
      <x:c r="B14" s="58" t="str">
        <x:v>genai-schema-and-fidelity</x:v>
      </x:c>
      <x:c r="C14" s="58" t="str">
        <x:v>First-attempt schema compliance with no repair or retry; every critical fact traceable; no unsupported critical claim; numerics preserved.</x:v>
      </x:c>
      <x:c r="D14" s="58" t="str">
        <x:v>HIGH</x:v>
      </x:c>
      <x:c r="E14" s="58" t="str">
        <x:v>YES</x:v>
      </x:c>
      <x:c r="F14" s="58" t="str">
        <x:v>NOT_EVALUATED</x:v>
      </x:c>
      <x:c r="G14" s="58" t="str">
        <x:v>PASS</x:v>
      </x:c>
      <x:c r="H14" s="58" t="str">
        <x:v>SYNTHETIC_REHEARSAL</x:v>
      </x:c>
      <x:c r="I14" s="58" t="str">
        <x:v>SIGNED_REHEARSAL</x:v>
      </x:c>
      <x:c r="J14" s="58" t="str">
        <x:v>ENGINEERING</x:v>
      </x:c>
      <x:c r="K14" s="58" t="str">
        <x:v>MODEL_RISK</x:v>
      </x:c>
      <x:c r="L14" s="58" t="str">
        <x:v>At least three accepted live-provider briefs across providers, produced with rotated credentials injected at runtime.</x:v>
      </x:c>
    </x:row>
    <x:row r="15">
      <x:c r="A15" s="58" t="str">
        <x:v>OFFLINE_CANDIDATE__TO__SHADOW_READY</x:v>
      </x:c>
      <x:c r="B15" s="58" t="str">
        <x:v>prompt-injection-resistance</x:v>
      </x:c>
      <x:c r="C15" s="58" t="str">
        <x:v>No injection attempt in the registered corpus causes the model to exceed its closed fact pack.</x:v>
      </x:c>
      <x:c r="D15" s="58" t="str">
        <x:v>CRITICAL</x:v>
      </x:c>
      <x:c r="E15" s="58" t="str">
        <x:v>YES</x:v>
      </x:c>
      <x:c r="F15" s="58" t="str">
        <x:v>NOT_EVALUATED</x:v>
      </x:c>
      <x:c r="G15" s="58" t="str">
        <x:v>PASS</x:v>
      </x:c>
      <x:c r="H15" s="58" t="str">
        <x:v>SYNTHETIC_REHEARSAL</x:v>
      </x:c>
      <x:c r="I15" s="58" t="str">
        <x:v>SIGNED_REHEARSAL</x:v>
      </x:c>
      <x:c r="J15" s="58" t="str">
        <x:v>SECURITY</x:v>
      </x:c>
      <x:c r="K15" s="58" t="str">
        <x:v>SECURITY_OFFICER</x:v>
      </x:c>
      <x:c r="L15" s="58" t="str">
        <x:v>The injection corpus is run against the live provider path rather than the offline stub.</x:v>
      </x:c>
    </x:row>
    <x:row r="16">
      <x:c r="A16" s="58" t="str">
        <x:v>OFFLINE_CANDIDATE__TO__SHADOW_READY</x:v>
      </x:c>
      <x:c r="B16" s="58" t="str">
        <x:v>entitlement-negative-tests</x:v>
      </x:c>
      <x:c r="C16" s="58" t="str">
        <x:v>Every cross-client, cross-region and wrong-role request is denied.</x:v>
      </x:c>
      <x:c r="D16" s="58" t="str">
        <x:v>CRITICAL</x:v>
      </x:c>
      <x:c r="E16" s="58" t="str">
        <x:v>YES</x:v>
      </x:c>
      <x:c r="F16" s="58" t="str">
        <x:v>NOT_EVALUATED</x:v>
      </x:c>
      <x:c r="G16" s="58" t="str">
        <x:v>PASS</x:v>
      </x:c>
      <x:c r="H16" s="58" t="str">
        <x:v>SYNTHETIC_REHEARSAL</x:v>
      </x:c>
      <x:c r="I16" s="58" t="str">
        <x:v>SIGNED_REHEARSAL</x:v>
      </x:c>
      <x:c r="J16" s="58" t="str">
        <x:v>SECURITY</x:v>
      </x:c>
      <x:c r="K16" s="58" t="str">
        <x:v>SECURITY_OFFICER</x:v>
      </x:c>
      <x:c r="L16" s="58" t="str">
        <x:v>Denials are proven against the request path with OPA enforcing, not against in-process entitlement computation.</x:v>
      </x:c>
    </x:row>
    <x:row r="17">
      <x:c r="A17" s="58" t="str">
        <x:v>OFFLINE_CANDIDATE__TO__SHADOW_READY</x:v>
      </x:c>
      <x:c r="B17" s="58" t="str">
        <x:v>supply-chain-clean</x:v>
      </x:c>
      <x:c r="C17" s="58" t="str">
        <x:v>Container image signed, SBOM published, zero unresolved CRITICAL/HIGH findings.</x:v>
      </x:c>
      <x:c r="D17" s="58" t="str">
        <x:v>HIGH</x:v>
      </x:c>
      <x:c r="E17" s="58" t="str">
        <x:v>YES</x:v>
      </x:c>
      <x:c r="F17" s="58" t="str">
        <x:v>NOT_EVALUATED</x:v>
      </x:c>
      <x:c r="G17" s="58" t="str">
        <x:v>PASS</x:v>
      </x:c>
      <x:c r="H17" s="58" t="str">
        <x:v>SYNTHETIC_REHEARSAL</x:v>
      </x:c>
      <x:c r="I17" s="58" t="str">
        <x:v>SIGNED_REHEARSAL</x:v>
      </x:c>
      <x:c r="J17" s="58" t="str">
        <x:v>PLATFORM_ENGINEERING</x:v>
      </x:c>
      <x:c r="K17" s="58" t="str">
        <x:v>SECURITY_OFFICER</x:v>
      </x:c>
      <x:c r="L17" s="58" t="str">
        <x:v>CI publishes a cosign signature and SBOM for the released digest and Trivy reports zero unresolved CRITICAL/HIGH.</x:v>
      </x:c>
    </x:row>
    <x:row r="18">
      <x:c r="A18" s="58" t="str">
        <x:v>OFFLINE_CANDIDATE__TO__SHADOW_READY</x:v>
      </x:c>
      <x:c r="B18" s="58" t="str">
        <x:v>feasibility-gates-block-selection</x:v>
      </x:c>
      <x:c r="C18" s="58" t="str">
        <x:v>A failed material feasibility gate removes a solution from selection; an unknown one downgrades it to discovery.</x:v>
      </x:c>
      <x:c r="D18" s="58" t="str">
        <x:v>STANDARD</x:v>
      </x:c>
      <x:c r="E18" s="58" t="str">
        <x:v>YES</x:v>
      </x:c>
      <x:c r="F18" s="58" t="str">
        <x:v>NOT_EVALUATED</x:v>
      </x:c>
      <x:c r="G18" s="58" t="str">
        <x:v>PASS</x:v>
      </x:c>
      <x:c r="H18" s="58" t="str">
        <x:v>SYNTHETIC_REHEARSAL</x:v>
      </x:c>
      <x:c r="I18" s="58" t="str">
        <x:v>SIGNED_REHEARSAL</x:v>
      </x:c>
      <x:c r="J18" s="58" t="str">
        <x:v>DATA_SCIENCE</x:v>
      </x:c>
      <x:c r="K18" s="58" t="str">
        <x:v>PRODUCT_OWNER</x:v>
      </x:c>
      <x:c r="L18" s="58" t="str">
        <x:v>The rule is exercised against real client feasibility data rather than the fixture.</x:v>
      </x:c>
    </x:row>
    <x:row r="19">
      <x:c r="A19" s="58" t="str">
        <x:v>SHADOW_READY__TO__PILOT_READY</x:v>
      </x:c>
      <x:c r="B19" s="58" t="str">
        <x:v>elapsed-clean-shadow-days</x:v>
      </x:c>
      <x:c r="C19" s="58" t="str">
        <x:v>Thirty consecutive calendar days of shadow operation with no critical incident, measured in elapsed bank time.</x:v>
      </x:c>
      <x:c r="D19" s="58" t="str">
        <x:v>CRITICAL</x:v>
      </x:c>
      <x:c r="E19" s="58" t="str">
        <x:v>YES</x:v>
      </x:c>
      <x:c r="F19" s="58" t="str">
        <x:v>NOT_EVALUATED</x:v>
      </x:c>
      <x:c r="G19" s="58" t="str">
        <x:v>PASS</x:v>
      </x:c>
      <x:c r="H19" s="58" t="str">
        <x:v>SYNTHETIC_REHEARSAL</x:v>
      </x:c>
      <x:c r="I19" s="58" t="str">
        <x:v>SIGNED_REHEARSAL</x:v>
      </x:c>
      <x:c r="J19" s="58" t="str">
        <x:v>PRODUCTION_OPERATIONS</x:v>
      </x:c>
      <x:c r="K19" s="58" t="str">
        <x:v>HEAD_OF_OPERATIONS</x:v>
      </x:c>
      <x:c r="L19" s="58" t="str">
        <x:v>The bank runs the system in shadow for thirty consecutive clean calendar days. No rehearsal can substitute; this gate is why elapsed_bank_shadow_days is published beside every rehearsal count.</x:v>
      </x:c>
    </x:row>
    <x:row r="20">
      <x:c r="A20" s="58" t="str">
        <x:v>SHADOW_READY__TO__PILOT_READY</x:v>
      </x:c>
      <x:c r="B20" s="58" t="str">
        <x:v>service-availability</x:v>
      </x:c>
      <x:c r="C20" s="58" t="str">
        <x:v>Measured availability ≥ 0.999 over the shadow period.</x:v>
      </x:c>
      <x:c r="D20" s="58" t="str">
        <x:v>HIGH</x:v>
      </x:c>
      <x:c r="E20" s="58" t="str">
        <x:v>YES</x:v>
      </x:c>
      <x:c r="F20" s="58" t="str">
        <x:v>NOT_EVALUATED</x:v>
      </x:c>
      <x:c r="G20" s="58" t="str">
        <x:v>PASS</x:v>
      </x:c>
      <x:c r="H20" s="58" t="str">
        <x:v>SYNTHETIC_REHEARSAL</x:v>
      </x:c>
      <x:c r="I20" s="58" t="str">
        <x:v>SIGNED_REHEARSAL</x:v>
      </x:c>
      <x:c r="J20" s="58" t="str">
        <x:v>PRODUCTION_OPERATIONS</x:v>
      </x:c>
      <x:c r="K20" s="58" t="str">
        <x:v>HEAD_OF_OPERATIONS</x:v>
      </x:c>
      <x:c r="L20" s="58" t="str">
        <x:v>Availability is measured from bank monitoring over the elapsed shadow window.</x:v>
      </x:c>
    </x:row>
    <x:row r="21">
      <x:c r="A21" s="58" t="str">
        <x:v>SHADOW_READY__TO__PILOT_READY</x:v>
      </x:c>
      <x:c r="B21" s="58" t="str">
        <x:v>read-latency-p95</x:v>
      </x:c>
      <x:c r="C21" s="58" t="str">
        <x:v>p95 read latency &lt; 750 ms under bank load.</x:v>
      </x:c>
      <x:c r="D21" s="58" t="str">
        <x:v>STANDARD</x:v>
      </x:c>
      <x:c r="E21" s="58" t="str">
        <x:v>YES</x:v>
      </x:c>
      <x:c r="F21" s="58" t="str">
        <x:v>NOT_EVALUATED</x:v>
      </x:c>
      <x:c r="G21" s="58" t="str">
        <x:v>PASS</x:v>
      </x:c>
      <x:c r="H21" s="58" t="str">
        <x:v>SYNTHETIC_REHEARSAL</x:v>
      </x:c>
      <x:c r="I21" s="58" t="str">
        <x:v>SIGNED_REHEARSAL</x:v>
      </x:c>
      <x:c r="J21" s="58" t="str">
        <x:v>PLATFORM_ENGINEERING</x:v>
      </x:c>
      <x:c r="K21" s="58" t="str">
        <x:v>HEAD_OF_OPERATIONS</x:v>
      </x:c>
      <x:c r="L21" s="58" t="str">
        <x:v>p95 is measured on bank infrastructure under production-shaped load, not on the build machine.</x:v>
      </x:c>
    </x:row>
    <x:row r="22">
      <x:c r="A22" s="58" t="str">
        <x:v>SHADOW_READY__TO__PILOT_READY</x:v>
      </x:c>
      <x:c r="B22" s="58" t="str">
        <x:v>event-latency</x:v>
      </x:c>
      <x:c r="C22" s="58" t="str">
        <x:v>Domain events reach consumers in under 300 seconds.</x:v>
      </x:c>
      <x:c r="D22" s="58" t="str">
        <x:v>STANDARD</x:v>
      </x:c>
      <x:c r="E22" s="58" t="str">
        <x:v>YES</x:v>
      </x:c>
      <x:c r="F22" s="58" t="str">
        <x:v>NOT_EVALUATED</x:v>
      </x:c>
      <x:c r="G22" s="58" t="str">
        <x:v>PASS</x:v>
      </x:c>
      <x:c r="H22" s="58" t="str">
        <x:v>SYNTHETIC_REHEARSAL</x:v>
      </x:c>
      <x:c r="I22" s="58" t="str">
        <x:v>SIGNED_REHEARSAL</x:v>
      </x:c>
      <x:c r="J22" s="58" t="str">
        <x:v>PLATFORM_ENGINEERING</x:v>
      </x:c>
      <x:c r="K22" s="58" t="str">
        <x:v>HEAD_OF_OPERATIONS</x:v>
      </x:c>
      <x:c r="L22" s="58" t="str">
        <x:v>Latency is measured across the bank's actual broker.</x:v>
      </x:c>
    </x:row>
    <x:row r="23">
      <x:c r="A23" s="58" t="str">
        <x:v>SHADOW_READY__TO__PILOT_READY</x:v>
      </x:c>
      <x:c r="B23" s="58" t="str">
        <x:v>refresh-by-0600-sast</x:v>
      </x:c>
      <x:c r="C23" s="58" t="str">
        <x:v>The overnight refresh completes before 06:00 SAST.</x:v>
      </x:c>
      <x:c r="D23" s="58" t="str">
        <x:v>STANDARD</x:v>
      </x:c>
      <x:c r="E23" s="58" t="str">
        <x:v>YES</x:v>
      </x:c>
      <x:c r="F23" s="58" t="str">
        <x:v>NOT_EVALUATED</x:v>
      </x:c>
      <x:c r="G23" s="58" t="str">
        <x:v>PASS</x:v>
      </x:c>
      <x:c r="H23" s="58" t="str">
        <x:v>SYNTHETIC_REHEARSAL</x:v>
      </x:c>
      <x:c r="I23" s="58" t="str">
        <x:v>SIGNED_REHEARSAL</x:v>
      </x:c>
      <x:c r="J23" s="58" t="str">
        <x:v>PRODUCTION_OPERATIONS</x:v>
      </x:c>
      <x:c r="K23" s="58" t="str">
        <x:v>HEAD_OF_OPERATIONS</x:v>
      </x:c>
      <x:c r="L23" s="58" t="str">
        <x:v>Completion time is observed over the elapsed shadow window.</x:v>
      </x:c>
    </x:row>
    <x:row r="24">
      <x:c r="A24" s="58" t="str">
        <x:v>SHADOW_READY__TO__PILOT_READY</x:v>
      </x:c>
      <x:c r="B24" s="58" t="str">
        <x:v>no-unresolved-sev1-sev2</x:v>
      </x:c>
      <x:c r="C24" s="58" t="str">
        <x:v>Zero unresolved Sev-1/Sev-2 at the promotion decision point.</x:v>
      </x:c>
      <x:c r="D24" s="58" t="str">
        <x:v>CRITICAL</x:v>
      </x:c>
      <x:c r="E24" s="58" t="str">
        <x:v>YES</x:v>
      </x:c>
      <x:c r="F24" s="58" t="str">
        <x:v>NOT_EVALUATED</x:v>
      </x:c>
      <x:c r="G24" s="58" t="str">
        <x:v>PASS</x:v>
      </x:c>
      <x:c r="H24" s="58" t="str">
        <x:v>SYNTHETIC_REHEARSAL</x:v>
      </x:c>
      <x:c r="I24" s="58" t="str">
        <x:v>SIGNED_REHEARSAL</x:v>
      </x:c>
      <x:c r="J24" s="58" t="str">
        <x:v>PRODUCTION_OPERATIONS</x:v>
      </x:c>
      <x:c r="K24" s="58" t="str">
        <x:v>HEAD_OF_OPERATIONS</x:v>
      </x:c>
      <x:c r="L24" s="58" t="str">
        <x:v>The bank incident register shows none open against this system.</x:v>
      </x:c>
    </x:row>
    <x:row r="25">
      <x:c r="A25" s="58" t="str">
        <x:v>SHADOW_READY__TO__PILOT_READY</x:v>
      </x:c>
      <x:c r="B25" s="58" t="str">
        <x:v>model-risk-approval</x:v>
      </x:c>
      <x:c r="C25" s="58" t="str">
        <x:v>Model risk management approves the model card, limitations and monitoring plan.</x:v>
      </x:c>
      <x:c r="D25" s="58" t="str">
        <x:v>CRITICAL</x:v>
      </x:c>
      <x:c r="E25" s="58" t="str">
        <x:v>YES</x:v>
      </x:c>
      <x:c r="F25" s="58" t="str">
        <x:v>NOT_EVALUATED</x:v>
      </x:c>
      <x:c r="G25" s="58" t="str">
        <x:v>PASS</x:v>
      </x:c>
      <x:c r="H25" s="58" t="str">
        <x:v>SYNTHETIC_REHEARSAL</x:v>
      </x:c>
      <x:c r="I25" s="58" t="str">
        <x:v>SIGNED_REHEARSAL</x:v>
      </x:c>
      <x:c r="J25" s="58" t="str">
        <x:v>MODEL_RISK</x:v>
      </x:c>
      <x:c r="K25" s="58" t="str">
        <x:v>CHIEF_RISK_OFFICER</x:v>
      </x:c>
      <x:c r="L25" s="58" t="str">
        <x:v>Model risk reviews the V3.2 model card and records an approval with a named accountable owner.</x:v>
      </x:c>
    </x:row>
    <x:row r="26">
      <x:c r="A26" s="58" t="str">
        <x:v>SHADOW_READY__TO__PILOT_READY</x:v>
      </x:c>
      <x:c r="B26" s="58" t="str">
        <x:v>selected-critical-path-evidence-complete</x:v>
      </x:c>
      <x:c r="C26" s="58" t="str">
        <x:v>Every selected opportunity has approved support for every fact on the path from signal to proposed action.</x:v>
      </x:c>
      <x:c r="D26" s="58" t="str">
        <x:v>CRITICAL</x:v>
      </x:c>
      <x:c r="E26" s="58" t="str">
        <x:v>YES</x:v>
      </x:c>
      <x:c r="F26" s="58" t="str">
        <x:v>NOT_EVALUATED</x:v>
      </x:c>
      <x:c r="G26" s="58" t="str">
        <x:v>PASS</x:v>
      </x:c>
      <x:c r="H26" s="58" t="str">
        <x:v>SYNTHETIC_REHEARSAL</x:v>
      </x:c>
      <x:c r="I26" s="58" t="str">
        <x:v>SIGNED_REHEARSAL</x:v>
      </x:c>
      <x:c r="J26" s="58" t="str">
        <x:v>EVIDENCE_GOVERNANCE</x:v>
      </x:c>
      <x:c r="K26" s="58" t="str">
        <x:v>FINANCE_CONTROLLER</x:v>
      </x:c>
      <x:c r="L26" s="58" t="str">
        <x:v>The selected plan reports 100% critical-path coverage after independent review; fact counts alone do not satisfy this gate.</x:v>
      </x:c>
    </x:row>
    <x:row r="27">
      <x:c r="A27" s="58" t="str">
        <x:v>SHADOW_READY__TO__PILOT_READY</x:v>
      </x:c>
      <x:c r="B27" s="58" t="str">
        <x:v>selected-value-e2-coverage</x:v>
      </x:c>
      <x:c r="C27" s="58" t="str">
        <x:v>The value-weighted evidence coverage of the selected portfolio is at least 0.80 using approved E2, E3 or E4 evidence.</x:v>
      </x:c>
      <x:c r="D27" s="58" t="str">
        <x:v>HIGH</x:v>
      </x:c>
      <x:c r="E27" s="58" t="str">
        <x:v>YES</x:v>
      </x:c>
      <x:c r="F27" s="58" t="str">
        <x:v>NOT_EVALUATED</x:v>
      </x:c>
      <x:c r="G27" s="58" t="str">
        <x:v>PASS</x:v>
      </x:c>
      <x:c r="H27" s="58" t="str">
        <x:v>SYNTHETIC_REHEARSAL</x:v>
      </x:c>
      <x:c r="I27" s="58" t="str">
        <x:v>SIGNED_REHEARSAL</x:v>
      </x:c>
      <x:c r="J27" s="58" t="str">
        <x:v>EVIDENCE_GOVERNANCE</x:v>
      </x:c>
      <x:c r="K27" s="58" t="str">
        <x:v>MODEL_RISK</x:v>
      </x:c>
      <x:c r="L27" s="58" t="str">
        <x:v>The point-in-time selected portfolio is recomputed and its E2-or-better supported value share is independently attested at or above 80%.</x:v>
      </x:c>
    </x:row>
    <x:row r="28">
      <x:c r="A28" s="58" t="str">
        <x:v>SHADOW_READY__TO__PILOT_READY</x:v>
      </x:c>
      <x:c r="B28" s="58" t="str">
        <x:v>genai-bank-approved</x:v>
      </x:c>
      <x:c r="C28" s="58" t="str">
        <x:v>Provider, model, endpoint, residency, retention, contract, credential boundary and sealed evaluation are approved.</x:v>
      </x:c>
      <x:c r="D28" s="58" t="str">
        <x:v>HIGH</x:v>
      </x:c>
      <x:c r="E28" s="58" t="str">
        <x:v>NO</x:v>
      </x:c>
      <x:c r="F28" s="58" t="str">
        <x:v>NOT_EVALUATED</x:v>
      </x:c>
      <x:c r="G28" s="58" t="str">
        <x:v>PASS</x:v>
      </x:c>
      <x:c r="H28" s="58" t="str">
        <x:v>SYNTHETIC_REHEARSAL</x:v>
      </x:c>
      <x:c r="I28" s="58" t="str">
        <x:v>SIGNED_REHEARSAL</x:v>
      </x:c>
      <x:c r="J28" s="58" t="str">
        <x:v>THIRD_PARTY_RISK</x:v>
      </x:c>
      <x:c r="K28" s="58" t="str">
        <x:v>CHIEF_RISK_OFFICER</x:v>
      </x:c>
      <x:c r="L28" s="58" t="str">
        <x:v>The bank records provider, privacy, residency, retention and model-version approval. If absent, deterministic narration remains the only permitted path.</x:v>
      </x:c>
    </x:row>
    <x:row r="29">
      <x:c r="A29" s="58" t="str">
        <x:v>SHADOW_READY__TO__PILOT_READY</x:v>
      </x:c>
      <x:c r="B29" s="58" t="str">
        <x:v>rm-pilot-protocol-approved</x:v>
      </x:c>
      <x:c r="C29" s="58" t="str">
        <x:v>A named cohort, consent basis, training, support, exclusions and incident protocol are approved before exposure.</x:v>
      </x:c>
      <x:c r="D29" s="58" t="str">
        <x:v>CRITICAL</x:v>
      </x:c>
      <x:c r="E29" s="58" t="str">
        <x:v>YES</x:v>
      </x:c>
      <x:c r="F29" s="58" t="str">
        <x:v>NOT_EVALUATED</x:v>
      </x:c>
      <x:c r="G29" s="58" t="str">
        <x:v>PASS</x:v>
      </x:c>
      <x:c r="H29" s="58" t="str">
        <x:v>SYNTHETIC_REHEARSAL</x:v>
      </x:c>
      <x:c r="I29" s="58" t="str">
        <x:v>SIGNED_REHEARSAL</x:v>
      </x:c>
      <x:c r="J29" s="58" t="str">
        <x:v>COMMERCIAL_BANKING</x:v>
      </x:c>
      <x:c r="K29" s="58" t="str">
        <x:v>HEAD_OF_COVERAGE</x:v>
      </x:c>
      <x:c r="L29" s="58" t="str">
        <x:v>Business, Risk and Operations approve the cohort and protocol, with no automated client contact, pricing, credit or booking.</x:v>
      </x:c>
    </x:row>
    <x:row r="30">
      <x:c r="A30" s="58" t="str">
        <x:v>PILOT_READY__TO__SCALE_READY</x:v>
      </x:c>
      <x:c r="B30" s="58" t="str">
        <x:v>supervised-pilot-completed</x:v>
      </x:c>
      <x:c r="C30" s="58" t="str">
        <x:v>A named RM cohort completes at least five real supervised sessions each, with recorded outcomes.</x:v>
      </x:c>
      <x:c r="D30" s="58" t="str">
        <x:v>CRITICAL</x:v>
      </x:c>
      <x:c r="E30" s="58" t="str">
        <x:v>YES</x:v>
      </x:c>
      <x:c r="F30" s="58" t="str">
        <x:v>NOT_EVALUATED</x:v>
      </x:c>
      <x:c r="G30" s="58" t="str">
        <x:v>PASS</x:v>
      </x:c>
      <x:c r="H30" s="58" t="str">
        <x:v>SYNTHETIC_REHEARSAL</x:v>
      </x:c>
      <x:c r="I30" s="58" t="str">
        <x:v>SIGNED_REHEARSAL</x:v>
      </x:c>
      <x:c r="J30" s="58" t="str">
        <x:v>COMMERCIAL_BANKING</x:v>
      </x:c>
      <x:c r="K30" s="58" t="str">
        <x:v>HEAD_OF_COVERAGE</x:v>
      </x:c>
      <x:c r="L30" s="58" t="str">
        <x:v>Real RMs run real client sessions. Fixture persona sessions carry real_participant=False by construction and can never satisfy this.</x:v>
      </x:c>
    </x:row>
    <x:row r="31">
      <x:c r="A31" s="58" t="str">
        <x:v>PILOT_READY__TO__SCALE_READY</x:v>
      </x:c>
      <x:c r="B31" s="58" t="str">
        <x:v>bank-approved-economics-registered</x:v>
      </x:c>
      <x:c r="C31" s="58" t="str">
        <x:v>Every monetised value traces to a bank-approved, in-date rate card.</x:v>
      </x:c>
      <x:c r="D31" s="58" t="str">
        <x:v>CRITICAL</x:v>
      </x:c>
      <x:c r="E31" s="58" t="str">
        <x:v>YES</x:v>
      </x:c>
      <x:c r="F31" s="58" t="str">
        <x:v>NOT_EVALUATED</x:v>
      </x:c>
      <x:c r="G31" s="58" t="str">
        <x:v>PASS</x:v>
      </x:c>
      <x:c r="H31" s="58" t="str">
        <x:v>SYNTHETIC_REHEARSAL</x:v>
      </x:c>
      <x:c r="I31" s="58" t="str">
        <x:v>SIGNED_REHEARSAL</x:v>
      </x:c>
      <x:c r="J31" s="58" t="str">
        <x:v>PRODUCT_FINANCE</x:v>
      </x:c>
      <x:c r="K31" s="58" t="str">
        <x:v>FINANCE_CONTROLLER</x:v>
      </x:c>
      <x:c r="L31" s="58" t="str">
        <x:v>Product finance approves rate cards covering every product in the grid and registers them with expiry dates.</x:v>
      </x:c>
    </x:row>
    <x:row r="32">
      <x:c r="A32" s="58" t="str">
        <x:v>PILOT_READY__TO__SCALE_READY</x:v>
      </x:c>
      <x:c r="B32" s="58" t="str">
        <x:v>rollback-restores-prior-state</x:v>
      </x:c>
      <x:c r="C32" s="58" t="str">
        <x:v>A rehearsed rollback restores the previous model alias and its outputs exactly.</x:v>
      </x:c>
      <x:c r="D32" s="58" t="str">
        <x:v>HIGH</x:v>
      </x:c>
      <x:c r="E32" s="58" t="str">
        <x:v>YES</x:v>
      </x:c>
      <x:c r="F32" s="58" t="str">
        <x:v>NOT_EVALUATED</x:v>
      </x:c>
      <x:c r="G32" s="58" t="str">
        <x:v>PASS</x:v>
      </x:c>
      <x:c r="H32" s="58" t="str">
        <x:v>SYNTHETIC_REHEARSAL</x:v>
      </x:c>
      <x:c r="I32" s="58" t="str">
        <x:v>SIGNED_REHEARSAL</x:v>
      </x:c>
      <x:c r="J32" s="58" t="str">
        <x:v>PLATFORM_ENGINEERING</x:v>
      </x:c>
      <x:c r="K32" s="58" t="str">
        <x:v>HEAD_OF_OPERATIONS</x:v>
      </x:c>
      <x:c r="L32" s="58" t="str">
        <x:v>A rollback is exercised in the bank environment and the restored outputs are compared digest-for-digest.</x:v>
      </x:c>
    </x:row>
    <x:row r="33">
      <x:c r="A33" s="58" t="str">
        <x:v>PILOT_READY__TO__SCALE_READY</x:v>
      </x:c>
      <x:c r="B33" s="58" t="str">
        <x:v>e3-multibank-observation-approved</x:v>
      </x:c>
      <x:c r="C33" s="58" t="str">
        <x:v>An approved panel provides multibank observation sufficient to identify competitor share.</x:v>
      </x:c>
      <x:c r="D33" s="58" t="str">
        <x:v>HIGH</x:v>
      </x:c>
      <x:c r="E33" s="58" t="str">
        <x:v>NO</x:v>
      </x:c>
      <x:c r="F33" s="58" t="str">
        <x:v>NOT_EVALUATED</x:v>
      </x:c>
      <x:c r="G33" s="58" t="str">
        <x:v>PASS</x:v>
      </x:c>
      <x:c r="H33" s="58" t="str">
        <x:v>SYNTHETIC_REHEARSAL</x:v>
      </x:c>
      <x:c r="I33" s="58" t="str">
        <x:v>SIGNED_REHEARSAL</x:v>
      </x:c>
      <x:c r="J33" s="58" t="str">
        <x:v>DATA_STRATEGY</x:v>
      </x:c>
      <x:c r="K33" s="58" t="str">
        <x:v>CHIEF_DATA_OFFICER</x:v>
      </x:c>
      <x:c r="L33" s="58" t="str">
        <x:v>A multibank data source is contracted, approved and calibrated. Until then MEASURED_SHARE_REPORTING stays refused — this gate does not block hidden shadow scoring, which needs no share measurement.</x:v>
      </x:c>
    </x:row>
    <x:row r="34">
      <x:c r="A34" s="58" t="str">
        <x:v>PILOT_READY__TO__SCALE_READY</x:v>
      </x:c>
      <x:c r="B34" s="58" t="str">
        <x:v>pilot-findings-remediated</x:v>
      </x:c>
      <x:c r="C34" s="58" t="str">
        <x:v>Every critical or high pilot finding is closed or carries an accountable, time-bound accepted risk decision.</x:v>
      </x:c>
      <x:c r="D34" s="58" t="str">
        <x:v>CRITICAL</x:v>
      </x:c>
      <x:c r="E34" s="58" t="str">
        <x:v>YES</x:v>
      </x:c>
      <x:c r="F34" s="58" t="str">
        <x:v>NOT_EVALUATED</x:v>
      </x:c>
      <x:c r="G34" s="58" t="str">
        <x:v>PASS</x:v>
      </x:c>
      <x:c r="H34" s="58" t="str">
        <x:v>SYNTHETIC_REHEARSAL</x:v>
      </x:c>
      <x:c r="I34" s="58" t="str">
        <x:v>SIGNED_REHEARSAL</x:v>
      </x:c>
      <x:c r="J34" s="58" t="str">
        <x:v>PRODUCT_OWNER</x:v>
      </x:c>
      <x:c r="K34" s="58" t="str">
        <x:v>MODEL_RISK</x:v>
      </x:c>
      <x:c r="L34" s="58" t="str">
        <x:v>The pilot issue register is reconciled to zero unresolved critical/high findings and the closure is independently checked.</x:v>
      </x:c>
    </x:row>
    <x:row r="35">
      <x:c r="A35" s="58" t="str">
        <x:v>PILOT_READY__TO__SCALE_READY</x:v>
      </x:c>
      <x:c r="B35" s="58" t="str">
        <x:v>scale-operating-model-approved</x:v>
      </x:c>
      <x:c r="C35" s="58" t="str">
        <x:v>On-call ownership, change controls, incident response, capacity, disaster recovery and rollback are approved for controlled scale.</x:v>
      </x:c>
      <x:c r="D35" s="58" t="str">
        <x:v>CRITICAL</x:v>
      </x:c>
      <x:c r="E35" s="58" t="str">
        <x:v>YES</x:v>
      </x:c>
      <x:c r="F35" s="58" t="str">
        <x:v>NOT_EVALUATED</x:v>
      </x:c>
      <x:c r="G35" s="58" t="str">
        <x:v>PASS</x:v>
      </x:c>
      <x:c r="H35" s="58" t="str">
        <x:v>SYNTHETIC_REHEARSAL</x:v>
      </x:c>
      <x:c r="I35" s="58" t="str">
        <x:v>SIGNED_REHEARSAL</x:v>
      </x:c>
      <x:c r="J35" s="58" t="str">
        <x:v>PRODUCTION_OPERATIONS</x:v>
      </x:c>
      <x:c r="K35" s="58" t="str">
        <x:v>HEAD_OF_OPERATIONS</x:v>
      </x:c>
      <x:c r="L35" s="58" t="str">
        <x:v>Operations, Security and Business approve the runbook and independently observe a production-shaped restore, failover and rollback test.</x:v>
      </x:c>
    </x:row>
    <x:row r="36">
      <x:c r="A36" s="58" t="str">
        <x:v>SCALE_READY__TO__CAUSAL_CHAMPION</x:v>
      </x:c>
      <x:c r="B36" s="58" t="str">
        <x:v>randomised-trial-validated</x:v>
      </x:c>
      <x:c r="C36" s="58" t="str">
        <x:v>A pre-registered cluster-randomised trial reports an ITT effect with cluster-robust inference and randomization-inference confirmation.</x:v>
      </x:c>
      <x:c r="D36" s="58" t="str">
        <x:v>CRITICAL</x:v>
      </x:c>
      <x:c r="E36" s="58" t="str">
        <x:v>YES</x:v>
      </x:c>
      <x:c r="F36" s="58" t="str">
        <x:v>NOT_EVALUATED</x:v>
      </x:c>
      <x:c r="G36" s="58" t="str">
        <x:v>PASS</x:v>
      </x:c>
      <x:c r="H36" s="58" t="str">
        <x:v>SYNTHETIC_REHEARSAL</x:v>
      </x:c>
      <x:c r="I36" s="58" t="str">
        <x:v>SIGNED_REHEARSAL</x:v>
      </x:c>
      <x:c r="J36" s="58" t="str">
        <x:v>DATA_SCIENCE</x:v>
      </x:c>
      <x:c r="K36" s="58" t="str">
        <x:v>CHIEF_RISK_OFFICER</x:v>
      </x:c>
      <x:c r="L36" s="58" t="str">
        <x:v>The bank runs a pre-registered cluster-randomised trial to its planned sample size and the analysis is independently reviewed.</x:v>
      </x:c>
    </x:row>
    <x:row r="37">
      <x:c r="A37" s="58" t="str">
        <x:v>SCALE_READY__TO__CAUSAL_CHAMPION</x:v>
      </x:c>
      <x:c r="B37" s="58" t="str">
        <x:v>trial-first-stage-strength-adequate</x:v>
      </x:c>
      <x:c r="C37" s="58" t="str">
        <x:v>First-stage compliance strength is at or above 0.10.</x:v>
      </x:c>
      <x:c r="D37" s="58" t="str">
        <x:v>CRITICAL</x:v>
      </x:c>
      <x:c r="E37" s="58" t="str">
        <x:v>YES</x:v>
      </x:c>
      <x:c r="F37" s="58" t="str">
        <x:v>NOT_EVALUATED</x:v>
      </x:c>
      <x:c r="G37" s="58" t="str">
        <x:v>PASS</x:v>
      </x:c>
      <x:c r="H37" s="58" t="str">
        <x:v>SYNTHETIC_REHEARSAL</x:v>
      </x:c>
      <x:c r="I37" s="58" t="str">
        <x:v>SIGNED_REHEARSAL</x:v>
      </x:c>
      <x:c r="J37" s="58" t="str">
        <x:v>DATA_SCIENCE</x:v>
      </x:c>
      <x:c r="K37" s="58" t="str">
        <x:v>MODEL_RISK</x:v>
      </x:c>
      <x:c r="L37" s="58" t="str">
        <x:v>Observed compliance in the trial reaches the pre-registered strength threshold. If it does not, the honest outcome is a null result and the system stays SCALE_READY.</x:v>
      </x:c>
    </x:row>
    <x:row r="38">
      <x:c r="A38" s="58" t="str">
        <x:v>SCALE_READY__TO__CAUSAL_CHAMPION</x:v>
      </x:c>
      <x:c r="B38" s="58" t="str">
        <x:v>sustained-adoption</x:v>
      </x:c>
      <x:c r="C38" s="58" t="str">
        <x:v>The RM cohort sustains use beyond the supervised period without prompting.</x:v>
      </x:c>
      <x:c r="D38" s="58" t="str">
        <x:v>HIGH</x:v>
      </x:c>
      <x:c r="E38" s="58" t="str">
        <x:v>YES</x:v>
      </x:c>
      <x:c r="F38" s="58" t="str">
        <x:v>NOT_EVALUATED</x:v>
      </x:c>
      <x:c r="G38" s="58" t="str">
        <x:v>PASS</x:v>
      </x:c>
      <x:c r="H38" s="58" t="str">
        <x:v>SYNTHETIC_REHEARSAL</x:v>
      </x:c>
      <x:c r="I38" s="58" t="str">
        <x:v>SIGNED_REHEARSAL</x:v>
      </x:c>
      <x:c r="J38" s="58" t="str">
        <x:v>COMMERCIAL_BANKING</x:v>
      </x:c>
      <x:c r="K38" s="58" t="str">
        <x:v>HEAD_OF_COVERAGE</x:v>
      </x:c>
      <x:c r="L38" s="58" t="str">
        <x:v>Adoption is measured from real RM sessions over a sustained window.</x:v>
      </x:c>
    </x:row>
  </x:sheetData>
  <x:mergeCells>
    <x:mergeCell ref="A1:L1"/>
    <x:mergeCell ref="A2:L2"/>
  </x:mergeCells>
  <x:conditionalFormatting sqref="F9:F38">
    <x:cfRule type="containsText" dxfId="6" priority="1" operator="containsText" text="PASS"/>
  </x:conditionalFormatting>
  <x:conditionalFormatting sqref="G9:G38">
    <x:cfRule type="containsText" dxfId="7" priority="2" operator="containsText" text="PASS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V3.2 Register Control Checks</x:v>
      </x:c>
      <x:c r="B1" s="3"/>
      <x:c r="C1" s="3"/>
      <x:c r="D1" s="3"/>
      <x:c r="E1" s="3"/>
      <x:c r="F1" s="3"/>
    </x:row>
    <x:row r="2" ht="26" customHeight="1">
      <x:c r="A2" s="7" t="str">
        <x:v>Workbook checks validate artifact integrity; they do not authorize bank promotion.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  <x:row r="20">
      <x:c r="A20" s="58" t="str">
        <x:v>Promotion gate count</x:v>
      </x:c>
      <x:c r="B20" s="58" t="n">
        <x:v>30</x:v>
      </x:c>
      <x:c r="C20" s="58" t="n">
        <x:f>COUNTA('Promotion Readiness'!B9:B200)</x:f>
        <x:v>30</x:v>
      </x:c>
      <x:c r="D20" s="58" t="str">
        <x:f>IF(ABS(C20-B20)&lt;0.0001,"PASS","FAIL")</x:f>
        <x:v>PASS</x:v>
      </x:c>
      <x:c r="E20" s="58" t="str">
        <x:v>Every governed promotion gate is visible</x:v>
      </x:c>
      <x:c r="F20" s="58" t="str">
        <x:v>Model risk</x:v>
      </x:c>
    </x:row>
    <x:row r="21">
      <x:c r="A21" s="58" t="str">
        <x:v>Elapsed bank shadow days</x:v>
      </x:c>
      <x:c r="B21" s="58" t="n">
        <x:v>0</x:v>
      </x:c>
      <x:c r="C21" s="58" t="n">
        <x:f>'Promotion Readiness'!G5</x:f>
        <x:v>0</x:v>
      </x:c>
      <x:c r="D21" s="58" t="str">
        <x:f>IF(ABS(C21-B21)&lt;0.0001,"PASS","FAIL")</x:f>
        <x:v>PASS</x:v>
      </x:c>
      <x:c r="E21" s="58" t="str">
        <x:v>Virtual time never becomes bank time</x:v>
      </x:c>
      <x:c r="F21" s="58" t="str">
        <x:v>Operations</x:v>
      </x:c>
    </x:row>
    <x:row r="22">
      <x:c r="A22" s="58" t="str">
        <x:v>Bank evidence readiness</x:v>
      </x:c>
      <x:c r="B22" s="58" t="n">
        <x:v>0</x:v>
      </x:c>
      <x:c r="C22" s="58" t="n">
        <x:f>'Promotion Readiness'!E5</x:f>
        <x:v>0</x:v>
      </x:c>
      <x:c r="D22" s="58" t="str">
        <x:f>IF(ABS(C22-B22)&lt;0.0001,"PASS","FAIL")</x:f>
        <x:v>PASS</x:v>
      </x:c>
      <x:c r="E22" s="58" t="str">
        <x:v>Synthetic evidence contributes zero to BER</x:v>
      </x:c>
      <x:c r="F22" s="58" t="str">
        <x:v>Model risk</x:v>
      </x:c>
    </x:row>
  </x:sheetData>
  <x:mergeCells>
    <x:mergeCell ref="A1:F1"/>
    <x:mergeCell ref="A2:F2"/>
  </x:mergeCells>
  <x:conditionalFormatting sqref="D5:D22">
    <x:cfRule type="containsText" dxfId="8" priority="1" operator="containsText" text="PASS"/>
    <x:cfRule type="containsText" dxfId="9" priority="2" operator="containsText" text="FAIL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7f41b2e2cafc4af8"/>
</x:worksheet>
</file>