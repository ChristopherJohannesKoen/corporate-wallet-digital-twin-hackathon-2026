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85ec49a6a24c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a1182a63c5894c67"/>
    <x:sheet xmlns:r="http://schemas.openxmlformats.org/officeDocument/2006/relationships" name="Public Facts" sheetId="2" r:id="R448d143ca02b418c"/>
    <x:sheet xmlns:r="http://schemas.openxmlformats.org/officeDocument/2006/relationships" name="Client Coverage" sheetId="3" r:id="R4fa6f96291d74d3f"/>
    <x:sheet xmlns:r="http://schemas.openxmlformats.org/officeDocument/2006/relationships" name="Approved Anchors" sheetId="4" r:id="Raf050af4020f48df"/>
    <x:sheet xmlns:r="http://schemas.openxmlformats.org/officeDocument/2006/relationships" name="Wallet Decision Impact" sheetId="5" r:id="Rc1ad0475627043e6"/>
    <x:sheet xmlns:r="http://schemas.openxmlformats.org/officeDocument/2006/relationships" name="Evidence Queue" sheetId="6" r:id="R4ae43fe769874c98"/>
    <x:sheet xmlns:r="http://schemas.openxmlformats.org/officeDocument/2006/relationships" name="Sensitivity" sheetId="7" r:id="Rb31cfb05154f48eb"/>
    <x:sheet xmlns:r="http://schemas.openxmlformats.org/officeDocument/2006/relationships" name="Promotion Readiness" sheetId="8" r:id="R72998ff4388441f2"/>
    <x:sheet xmlns:r="http://schemas.openxmlformats.org/officeDocument/2006/relationships" name="Checks" sheetId="9" r:id="R9c4233326ec74bde"/>
    <x:sheet xmlns:r="http://schemas.openxmlformats.org/officeDocument/2006/relationships" name="Sources" sheetId="10" r:id="Rd4f648fe156f49b9"/>
  </x:sheets>
</x:workbook>
</file>

<file path=xl/comments1.xml><?xml version="1.0" encoding="utf-8"?>
<x:comments xmlns:x="http://schemas.openxmlformats.org/spreadsheetml/2006/main">
  <x:authors>
    <x:author>tc={D7179BD9-5380-A2BE-37A2-542620D11FD6}</x:author>
    <x:author>tc={F5D5EA40-9C27-8916-42CA-9F80A998B239}</x:author>
    <x:author>tc={F4A30194-1A72-1C1B-D3D1-88F0876A8B1C}</x:author>
    <x:author>tc={058CC015-9E61-4F60-3707-3AA969865D33}</x:author>
    <x:author>tc={0EA9266E-93A4-B7F3-00BA-8A7A79DFC82B}</x:author>
    <x:author>tc={E0C25A1B-6CEF-EF90-AC34-65B59EB516C3}</x:author>
    <x:author>tc={D3577678-9795-3AEE-F6E6-5B7E42106D9E}</x:author>
    <x:author>tc={741168DD-C778-7C15-2B65-17B7C07ED33D}</x:author>
    <x:author>tc={95736628-F1F7-FE17-043B-CA174AE01EDE}</x:author>
    <x:author>tc={829B1B69-69D1-E6CE-9B21-D90E9F236E79}</x:author>
    <x:author>tc={E10C328C-B958-A22D-795B-86894E174992}</x:author>
    <x:author>tc={275B946E-B475-F338-1312-E8A66EEE3FB6}</x:author>
    <x:author>tc={25671AA7-6F50-28BD-184D-157B185AC6A1}</x:author>
    <x:author>tc={7A90692C-D081-3F82-41F4-9D743B5AB740}</x:author>
    <x:author>tc={4027D3F6-5103-811E-9867-0F88B7313B4E}</x:author>
    <x:author>tc={5452B241-D82F-7E23-08FB-0FF6597AF014}</x:author>
    <x:author>tc={846887CC-6779-2558-F219-69B7F4C9101A}</x:author>
    <x:author>tc={4F0D7BAC-731A-10AB-17F0-CF67BEA1E0C5}</x:author>
    <x:author>tc={71806FB6-0323-8EF2-734E-695EBE8E5C19}</x:author>
    <x:author>tc={8C6DD087-476A-4C57-960D-E2895732691A}</x:author>
    <x:author>tc={B47EBC4F-9B31-E559-6ED9-AAC1C334946A}</x:author>
    <x:author>tc={58727869-8ACA-389D-CD7D-8FBA1F5DE493}</x:author>
    <x:author>tc={62B5311B-9855-6101-F68A-04824B833B3D}</x:author>
    <x:author>tc={BBE37CF9-417B-8492-B4BC-F67A0FB38F22}</x:author>
    <x:author>tc={11CAB389-76D8-7602-E738-77CB6C823411}</x:author>
    <x:author>tc={53C4CB1B-0E8D-3634-8EB7-DFF2141C14F3}</x:author>
    <x:author>tc={52C4F871-DAB1-FC43-B689-E83208D5BDC2}</x:author>
    <x:author>tc={5A8F28C0-DCAF-9B4F-60C2-B5519288078D}</x:author>
    <x:author>tc={BC440591-751F-ADDA-3E20-D28B53716826}</x:author>
    <x:author>tc={129D4D19-7FD2-1FAB-C3F2-3D85C2143407}</x:author>
    <x:author>tc={C00BE146-1A1C-DE84-6CEC-66E28A34FB62}</x:author>
    <x:author>tc={B2453065-6EF2-25EE-C743-1AF12D44A7E2}</x:author>
    <x:author>tc={42F5722C-BA58-306D-7716-E7DB46B06E1C}</x:author>
    <x:author>tc={308E1DA8-4C3B-C720-C61A-B4FD5B863D5A}</x:author>
    <x:author>tc={575A735C-1490-C525-7FDA-D0D6CC2167F3}</x:author>
    <x:author>tc={F04ECB4C-E296-D7B7-16F0-976919B7E452}</x:author>
    <x:author>tc={890C7111-93D9-523E-D457-71A4254BA046}</x:author>
    <x:author>tc={73A6DDDE-3DDB-F0A0-8427-697A1F7CA9D6}</x:author>
    <x:author>tc={F8EC0B12-3474-AF0F-5A97-A40007A76C72}</x:author>
    <x:author>tc={835BEA1E-53F0-17E6-E7D7-DBD14ED53706}</x:author>
    <x:author>tc={CA531C19-FD45-25C9-0D70-197E1279C769}</x:author>
    <x:author>tc={8774F1F6-5214-2114-2D61-8456D5360289}</x:author>
    <x:author>tc={30902EAC-5720-96A7-8284-3D2CCAB7443B}</x:author>
    <x:author>tc={0CB4A533-3016-5908-0FCF-23076D4239A8}</x:author>
    <x:author>tc={E740C3D1-D9F7-5D7D-AFF3-68BEEEF5AFB6}</x:author>
    <x:author>tc={F69FF8B4-C804-AEE4-CB67-276CB58FECC3}</x:author>
    <x:author>tc={C43B89C3-9376-EAD3-76C9-17647D15CCF5}</x:author>
    <x:author>tc={E454CB3F-C1C8-45BE-B525-60EFF4CDE1A6}</x:author>
    <x:author>tc={676951D3-752E-15EF-F207-A9C4AD907FBD}</x:author>
    <x:author>tc={B43928D3-C753-0831-5261-410F7BBF0732}</x:author>
    <x:author>tc={7AEC7DF7-C2FC-5FD1-43E7-E31427E0CB4D}</x:author>
    <x:author>tc={483F7CB9-A550-4C88-F30A-79F3465B8236}</x:author>
    <x:author>tc={57E4D7D6-EAC9-3255-FC08-228D23302E84}</x:author>
    <x:author>tc={63285F2A-DBA1-0A5B-0BD2-5CF8872592B7}</x:author>
    <x:author>tc={5E490997-C386-5F07-4415-3BF718F6583D}</x:author>
    <x:author>tc={530EEE62-CA06-D2AD-47F5-B427C42F71A7}</x:author>
    <x:author>tc={D3192F1B-D4AE-761E-78F3-B7200E4D78DD}</x:author>
    <x:author>tc={5ECB39A3-6CD9-BC08-DE2C-8BC987C1390A}</x:author>
    <x:author>tc={83C028C4-B49A-845A-F950-45971513DB9D}</x:author>
    <x:author>tc={14DD0686-1E74-4983-CD5F-91C8010BF879}</x:author>
    <x:author>tc={42144CB2-40A1-FE82-EC8C-D7B918D43B31}</x:author>
    <x:author>tc={175AC13F-5A05-534D-C6C5-368C220513B3}</x:author>
    <x:author>tc={98B1FE03-8508-60EB-FB28-AC6EB4FF17EC}</x:author>
    <x:author>tc={CA1C4C92-831F-ADC4-1168-DE41412AB513}</x:author>
    <x:author>tc={66D08A53-A46F-B39D-BF8B-2F91FA5544EC}</x:author>
    <x:author>tc={8253EE86-7926-8F10-8D36-CD8E983846E3}</x:author>
    <x:author>tc={63C5B54E-3382-3032-03BC-A4D566E81015}</x:author>
    <x:author>tc={19946973-1CB9-F97A-932A-4CDC93DA4076}</x:author>
    <x:author>tc={502F2BD0-069C-A1CB-BE2A-316524EA0FE7}</x:author>
    <x:author>tc={8D3E5E07-996C-6FA2-B7D2-F0A38B3ECA78}</x:author>
    <x:author>tc={8E3F859E-A8E6-CD0C-796D-3ABA463D042C}</x:author>
    <x:author>tc={7598B2B6-A8FF-7FC1-B339-88714951EF7C}</x:author>
    <x:author>tc={C5D97150-6CE8-0ED7-9C73-F66D04986243}</x:author>
    <x:author>tc={18CF715D-516E-7251-B463-8CC3AF4028CF}</x:author>
    <x:author>tc={75B47754-69C2-3985-00C8-8438A73DE06D}</x:author>
    <x:author>tc={F799C9D6-E29B-DA0B-A2F7-63ADB832072B}</x:author>
    <x:author>tc={2387B878-7100-9F16-32DA-86297144DD8C}</x:author>
    <x:author>tc={059C83C8-6D8C-66EA-6ABF-D9624BFBCF3A}</x:author>
    <x:author>tc={63C2F3AB-4FB1-6250-E0A7-BE401E20C4CB}</x:author>
    <x:author>tc={162FEE63-E7EE-3E1C-C9D1-370CE352712E}</x:author>
    <x:author>tc={E1DE05A5-76A2-0262-A273-87EDC9B8395D}</x:author>
    <x:author>tc={EEA21B70-769F-D42F-BB3B-483AAC8DA47C}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tc={84E13648-C7F0-652B-D6D1-50FB9ABCAD46}</x:author>
    <x:author>tc={BAE23548-9F72-6653-9CCE-AB5D6CE12D22}</x:author>
    <x:author>tc={7F7FC2C5-35C0-7E18-21CF-E7ABD151C178}</x:author>
    <x:author>tc={1C87D2BD-002E-EFEC-6449-F4CC621DAF19}</x:author>
    <x:author>tc={D82E1942-60FB-A94F-1231-55C186DFE77A}</x:author>
    <x:author>tc={8C7CBC23-095B-389F-1CE9-66A020ED5F65}</x:author>
    <x:author>tc={FE08B92E-A8FF-1755-3A77-7296DB082B8F}</x:author>
    <x:author>tc={17E4C51A-99FC-A26E-FA58-241D1896C185}</x:author>
    <x:author>tc={EB6DCDB8-08F5-2F6B-58D9-D67FEBC4BF08}</x:author>
    <x:author>tc={D1283C43-349C-5B77-B9BC-15E4F74CDBF7}</x:author>
    <x:author>tc={22CEF8D1-497B-0746-E712-0902C2295F03}</x:author>
    <x:author>tc={80D5AC2B-9FE7-A4E9-D58C-4B8B483C5C5C}</x:author>
    <x:author>tc={335B0CFE-336B-8BFF-E374-338B849103E5}</x:author>
    <x:author>tc={1A55DFCA-C281-6722-8F99-5EBA993935F7}</x:author>
    <x:author>tc={ED05C87E-0A75-049A-05E7-96420E3A1BAD}</x:author>
    <x:author>tc={5CCA1910-7668-C27B-F4A8-D382B08AB157}</x:author>
    <x:author>tc={66930877-5ABE-EA1E-A91D-1E239C1A010D}</x:author>
    <x:author>tc={BA48A1C2-E567-A40A-25BB-8868A2F95826}</x:author>
    <x:author>tc={5362AA48-E0BF-4B27-6BFF-54D0DEDB7AE8}</x:author>
    <x:author>tc={3831B5BD-3244-FA9B-D90E-2023EACB683C}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0B63E5"/>
      </x:font>
      <x:fill>
        <x:patternFill patternType="solid">
          <x:bgColor rgb="FFEEF5FF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0265f93e614da2" /><Relationship Type="http://schemas.openxmlformats.org/officeDocument/2006/relationships/theme" Target="/xl/theme/theme1.xml" Id="R8de91df4148c4e57" /><Relationship Type="http://schemas.openxmlformats.org/officeDocument/2006/relationships/sharedStrings" Target="/xl/sharedStrings.xml" Id="R01cb3d9a5e144ce9" /><Relationship Type="http://schemas.openxmlformats.org/officeDocument/2006/relationships/worksheet" Target="/xl/worksheets/sheet1.xml" Id="Ra1182a63c5894c67" /><Relationship Type="http://schemas.openxmlformats.org/officeDocument/2006/relationships/worksheet" Target="/xl/worksheets/sheet2.xml" Id="R448d143ca02b418c" /><Relationship Type="http://schemas.openxmlformats.org/officeDocument/2006/relationships/worksheet" Target="/xl/worksheets/sheet3.xml" Id="R4fa6f96291d74d3f" /><Relationship Type="http://schemas.openxmlformats.org/officeDocument/2006/relationships/worksheet" Target="/xl/worksheets/sheet4.xml" Id="Raf050af4020f48df" /><Relationship Type="http://schemas.openxmlformats.org/officeDocument/2006/relationships/worksheet" Target="/xl/worksheets/sheet5.xml" Id="Rc1ad0475627043e6" /><Relationship Type="http://schemas.openxmlformats.org/officeDocument/2006/relationships/worksheet" Target="/xl/worksheets/sheet6.xml" Id="R4ae43fe769874c98" /><Relationship Type="http://schemas.openxmlformats.org/officeDocument/2006/relationships/worksheet" Target="/xl/worksheets/sheet7.xml" Id="Rb31cfb05154f48eb" /><Relationship Type="http://schemas.openxmlformats.org/officeDocument/2006/relationships/worksheet" Target="/xl/worksheets/sheet8.xml" Id="R72998ff4388441f2" /><Relationship Type="http://schemas.openxmlformats.org/officeDocument/2006/relationships/worksheet" Target="/xl/worksheets/sheet9.xml" Id="R9c4233326ec74bde" /><Relationship Type="http://schemas.openxmlformats.org/officeDocument/2006/relationships/worksheet" Target="/xl/worksheets/sheet10.xml" Id="Rd4f648fe156f49b9" /><Relationship Type="http://schemas.microsoft.com/office/2017/10/relationships/person" Target="/xl/persons/person.xml" Id="R1b6d8f1cccae45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2a91248ccaa4d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a91248ccaa4d79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2.0" id="{1DABF6B7-B550-4FBD-B0D4-EE8D5BF268BF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5T06:47:05.396" personId="{1DABF6B7-B550-4FBD-B0D4-EE8D5BF268BF}" id="{D7179BD9-5380-A2BE-37A2-542620D11FD6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5T06:47:05.399" personId="{1DABF6B7-B550-4FBD-B0D4-EE8D5BF268BF}" id="{F5D5EA40-9C27-8916-42CA-9F80A998B239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5T06:47:05.399" personId="{1DABF6B7-B550-4FBD-B0D4-EE8D5BF268BF}" id="{F4A30194-1A72-1C1B-D3D1-88F0876A8B1C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5T06:47:05.399" personId="{1DABF6B7-B550-4FBD-B0D4-EE8D5BF268BF}" id="{058CC015-9E61-4F60-3707-3AA969865D33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5T06:47:05.399" personId="{1DABF6B7-B550-4FBD-B0D4-EE8D5BF268BF}" id="{0EA9266E-93A4-B7F3-00BA-8A7A79DFC82B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5T06:47:05.399" personId="{1DABF6B7-B550-4FBD-B0D4-EE8D5BF268BF}" id="{E0C25A1B-6CEF-EF90-AC34-65B59EB516C3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5T06:47:05.399" personId="{1DABF6B7-B550-4FBD-B0D4-EE8D5BF268BF}" id="{D3577678-9795-3AEE-F6E6-5B7E42106D9E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5T06:47:05.399" personId="{1DABF6B7-B550-4FBD-B0D4-EE8D5BF268BF}" id="{741168DD-C778-7C15-2B65-17B7C07ED33D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5T06:47:05.399" personId="{1DABF6B7-B550-4FBD-B0D4-EE8D5BF268BF}" id="{95736628-F1F7-FE17-043B-CA174AE01EDE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5T06:47:05.4" personId="{1DABF6B7-B550-4FBD-B0D4-EE8D5BF268BF}" id="{829B1B69-69D1-E6CE-9B21-D90E9F236E79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5T06:47:05.4" personId="{1DABF6B7-B550-4FBD-B0D4-EE8D5BF268BF}" id="{E10C328C-B958-A22D-795B-86894E174992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5T06:47:05.4" personId="{1DABF6B7-B550-4FBD-B0D4-EE8D5BF268BF}" id="{275B946E-B475-F338-1312-E8A66EEE3FB6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5T06:47:05.4" personId="{1DABF6B7-B550-4FBD-B0D4-EE8D5BF268BF}" id="{25671AA7-6F50-28BD-184D-157B185AC6A1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5T06:47:05.4" personId="{1DABF6B7-B550-4FBD-B0D4-EE8D5BF268BF}" id="{7A90692C-D081-3F82-41F4-9D743B5AB740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5T06:47:05.4" personId="{1DABF6B7-B550-4FBD-B0D4-EE8D5BF268BF}" id="{4027D3F6-5103-811E-9867-0F88B7313B4E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5T06:47:05.4" personId="{1DABF6B7-B550-4FBD-B0D4-EE8D5BF268BF}" id="{5452B241-D82F-7E23-08FB-0FF6597AF014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5T06:47:05.4" personId="{1DABF6B7-B550-4FBD-B0D4-EE8D5BF268BF}" id="{846887CC-6779-2558-F219-69B7F4C9101A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5T06:47:05.4" personId="{1DABF6B7-B550-4FBD-B0D4-EE8D5BF268BF}" id="{4F0D7BAC-731A-10AB-17F0-CF67BEA1E0C5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5T06:47:05.4" personId="{1DABF6B7-B550-4FBD-B0D4-EE8D5BF268BF}" id="{71806FB6-0323-8EF2-734E-695EBE8E5C19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5T06:47:05.4" personId="{1DABF6B7-B550-4FBD-B0D4-EE8D5BF268BF}" id="{8C6DD087-476A-4C57-960D-E2895732691A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5T06:47:05.4" personId="{1DABF6B7-B550-4FBD-B0D4-EE8D5BF268BF}" id="{B47EBC4F-9B31-E559-6ED9-AAC1C334946A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5T06:47:05.4" personId="{1DABF6B7-B550-4FBD-B0D4-EE8D5BF268BF}" id="{58727869-8ACA-389D-CD7D-8FBA1F5DE493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5T06:47:05.4" personId="{1DABF6B7-B550-4FBD-B0D4-EE8D5BF268BF}" id="{62B5311B-9855-6101-F68A-04824B833B3D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5T06:47:05.4" personId="{1DABF6B7-B550-4FBD-B0D4-EE8D5BF268BF}" id="{BBE37CF9-417B-8492-B4BC-F67A0FB38F22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5T06:47:05.4" personId="{1DABF6B7-B550-4FBD-B0D4-EE8D5BF268BF}" id="{11CAB389-76D8-7602-E738-77CB6C823411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5T06:47:05.4" personId="{1DABF6B7-B550-4FBD-B0D4-EE8D5BF268BF}" id="{53C4CB1B-0E8D-3634-8EB7-DFF2141C14F3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5T06:47:05.4" personId="{1DABF6B7-B550-4FBD-B0D4-EE8D5BF268BF}" id="{52C4F871-DAB1-FC43-B689-E83208D5BDC2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5T06:47:05.4" personId="{1DABF6B7-B550-4FBD-B0D4-EE8D5BF268BF}" id="{5A8F28C0-DCAF-9B4F-60C2-B5519288078D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5T06:47:05.4" personId="{1DABF6B7-B550-4FBD-B0D4-EE8D5BF268BF}" id="{BC440591-751F-ADDA-3E20-D28B53716826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5T06:47:05.4" personId="{1DABF6B7-B550-4FBD-B0D4-EE8D5BF268BF}" id="{129D4D19-7FD2-1FAB-C3F2-3D85C2143407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5T06:47:05.4" personId="{1DABF6B7-B550-4FBD-B0D4-EE8D5BF268BF}" id="{C00BE146-1A1C-DE84-6CEC-66E28A34FB62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5T06:47:05.4" personId="{1DABF6B7-B550-4FBD-B0D4-EE8D5BF268BF}" id="{B2453065-6EF2-25EE-C743-1AF12D44A7E2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5T06:47:05.4" personId="{1DABF6B7-B550-4FBD-B0D4-EE8D5BF268BF}" id="{42F5722C-BA58-306D-7716-E7DB46B06E1C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5T06:47:05.4" personId="{1DABF6B7-B550-4FBD-B0D4-EE8D5BF268BF}" id="{308E1DA8-4C3B-C720-C61A-B4FD5B863D5A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5T06:47:05.4" personId="{1DABF6B7-B550-4FBD-B0D4-EE8D5BF268BF}" id="{575A735C-1490-C525-7FDA-D0D6CC2167F3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5T06:47:05.4" personId="{1DABF6B7-B550-4FBD-B0D4-EE8D5BF268BF}" id="{F04ECB4C-E296-D7B7-16F0-976919B7E452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5T06:47:05.4" personId="{1DABF6B7-B550-4FBD-B0D4-EE8D5BF268BF}" id="{890C7111-93D9-523E-D457-71A4254BA04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5T06:47:05.4" personId="{1DABF6B7-B550-4FBD-B0D4-EE8D5BF268BF}" id="{73A6DDDE-3DDB-F0A0-8427-697A1F7CA9D6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5T06:47:05.4" personId="{1DABF6B7-B550-4FBD-B0D4-EE8D5BF268BF}" id="{F8EC0B12-3474-AF0F-5A97-A40007A76C72}">
    <xltc:text>Source: https://www.shopriteholdings.co.za/docs/shp-afs-2025.pdf
Page: 18
Available: 2025-10-13
SHA-256: seed-register-hash:SHP-2025-AP-CLOSE</xltc:text>
  </xltc:threadedComment>
  <xltc:threadedComment ref="P44" dT="2026-08-15T06:47:05.4" personId="{1DABF6B7-B550-4FBD-B0D4-EE8D5BF268BF}" id="{835BEA1E-53F0-17E6-E7D7-DBD14ED53706}">
    <xltc:text>Source: https://www.shopriteholdings.co.za/docs/shp-afs-2025.pdf
Page: 18
Available: 2025-10-13
SHA-256: seed-register-hash:SHP-2025-AP-OPEN</xltc:text>
  </xltc:threadedComment>
  <xltc:threadedComment ref="P45" dT="2026-08-15T06:47:05.4" personId="{1DABF6B7-B550-4FBD-B0D4-EE8D5BF268BF}" id="{CA531C19-FD45-25C9-0D70-197E1279C769}">
    <xltc:text>Source: https://www.shopriteholdings.co.za/docs/shp-afs-2025.pdf
Page: 18
Available: 2025-10-13
SHA-256: seed-register-hash:SHP-2025-AR-CLOSE</xltc:text>
  </xltc:threadedComment>
  <xltc:threadedComment ref="P46" dT="2026-08-15T06:47:05.401" personId="{1DABF6B7-B550-4FBD-B0D4-EE8D5BF268BF}" id="{8774F1F6-5214-2114-2D61-8456D5360289}">
    <xltc:text>Source: https://www.shopriteholdings.co.za/docs/shp-afs-2025.pdf
Page: 18
Available: 2025-10-13
SHA-256: seed-register-hash:SHP-2025-AR-OPEN</xltc:text>
  </xltc:threadedComment>
  <xltc:threadedComment ref="P47" dT="2026-08-15T06:47:05.401" personId="{1DABF6B7-B550-4FBD-B0D4-EE8D5BF268BF}" id="{30902EAC-5720-96A7-8284-3D2CCAB7443B}">
    <xltc:text>Source: https://www.shopriteholdings.co.za/docs/shp-afs-2025.pdf
Page: 19
Available: 2025-10-13
SHA-256: seed-register-hash:SHP-2025-COST</xltc:text>
  </xltc:threadedComment>
  <xltc:threadedComment ref="P48" dT="2026-08-15T06:47:05.401" personId="{1DABF6B7-B550-4FBD-B0D4-EE8D5BF268BF}" id="{0CB4A533-3016-5908-0FCF-23076D4239A8}">
    <xltc:text>Source: https://www.shopriteholdings.co.za/docs/shp-afs-2025.pdf
Page: 18
Available: 2025-10-13
SHA-256: seed-register-hash:SHP-2025-DEBT</xltc:text>
  </xltc:threadedComment>
  <xltc:threadedComment ref="P49" dT="2026-08-15T06:47:05.401" personId="{1DABF6B7-B550-4FBD-B0D4-EE8D5BF268BF}" id="{E740C3D1-D9F7-5D7D-AFF3-68BEEEF5AFB6}">
    <xltc:text>Source: https://www.shopriteholdings.co.za/docs/shp-afs-2025.pdf
Page: 118
Available: 2025-10-13
SHA-256: seed-register-hash:SHP-2025-FX</xltc:text>
  </xltc:threadedComment>
  <xltc:threadedComment ref="P50" dT="2026-08-15T06:47:05.401" personId="{1DABF6B7-B550-4FBD-B0D4-EE8D5BF268BF}" id="{F69FF8B4-C804-AEE4-CB67-276CB58FECC3}">
    <xltc:text>Source: https://www.shopriteholdings.co.za/docs/shp-afs-2025.pdf
Page: 18
Available: 2025-10-13
SHA-256: seed-register-hash:SHP-2025-INV-CLOSE</xltc:text>
  </xltc:threadedComment>
  <xltc:threadedComment ref="P51" dT="2026-08-15T06:47:05.401" personId="{1DABF6B7-B550-4FBD-B0D4-EE8D5BF268BF}" id="{C43B89C3-9376-EAD3-76C9-17647D15CCF5}">
    <xltc:text>Source: https://www.shopriteholdings.co.za/docs/shp-afs-2025.pdf
Page: 18
Available: 2025-10-13
SHA-256: seed-register-hash:SHP-2025-INV-OPEN</xltc:text>
  </xltc:threadedComment>
  <xltc:threadedComment ref="P52" dT="2026-08-15T06:47:05.401" personId="{1DABF6B7-B550-4FBD-B0D4-EE8D5BF268BF}" id="{E454CB3F-C1C8-45BE-B525-60EFF4CDE1A6}">
    <xltc:text>Source: https://www.shopriteholdings.co.za/docs/shp-afs-2025.pdf
Page: 19
Available: 2025-10-13
SHA-256: seed-register-hash:SHP-2025-REV</xltc:text>
  </xltc:threadedComment>
  <xltc:threadedComment ref="P53" dT="2026-08-15T06:47:05.401" personId="{1DABF6B7-B550-4FBD-B0D4-EE8D5BF268BF}" id="{676951D3-752E-15EF-F207-A9C4AD907FBD}">
    <xltc:text>Source: https://www.shopriteholdings.co.za/docs/shp-afs-2025.pdf
Page: 18
Available: 2025-10-13
SHA-256: seed-register-hash:SHP-2025-STF</xltc:text>
  </xltc:threadedComment>
  <xltc:threadedComment ref="P54" dT="2026-08-15T06:47:05.401" personId="{1DABF6B7-B550-4FBD-B0D4-EE8D5BF268BF}" id="{B43928D3-C753-0831-5261-410F7BBF0732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5T06:47:05.401" personId="{1DABF6B7-B550-4FBD-B0D4-EE8D5BF268BF}" id="{7AEC7DF7-C2FC-5FD1-43E7-E31427E0CB4D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5T06:47:05.401" personId="{1DABF6B7-B550-4FBD-B0D4-EE8D5BF268BF}" id="{483F7CB9-A550-4C88-F30A-79F3465B8236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5T06:47:05.401" personId="{1DABF6B7-B550-4FBD-B0D4-EE8D5BF268BF}" id="{57E4D7D6-EAC9-3255-FC08-228D23302E8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5T06:47:05.401" personId="{1DABF6B7-B550-4FBD-B0D4-EE8D5BF268BF}" id="{63285F2A-DBA1-0A5B-0BD2-5CF8872592B7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5T06:47:05.401" personId="{1DABF6B7-B550-4FBD-B0D4-EE8D5BF268BF}" id="{5E490997-C386-5F07-4415-3BF718F6583D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5T06:47:05.401" personId="{1DABF6B7-B550-4FBD-B0D4-EE8D5BF268BF}" id="{530EEE62-CA06-D2AD-47F5-B427C42F71A7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5T06:47:05.401" personId="{1DABF6B7-B550-4FBD-B0D4-EE8D5BF268BF}" id="{D3192F1B-D4AE-761E-78F3-B7200E4D78DD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5T06:47:05.401" personId="{1DABF6B7-B550-4FBD-B0D4-EE8D5BF268BF}" id="{5ECB39A3-6CD9-BC08-DE2C-8BC987C1390A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5T06:47:05.401" personId="{1DABF6B7-B550-4FBD-B0D4-EE8D5BF268BF}" id="{83C028C4-B49A-845A-F950-45971513DB9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5T06:47:05.401" personId="{1DABF6B7-B550-4FBD-B0D4-EE8D5BF268BF}" id="{14DD0686-1E74-4983-CD5F-91C8010BF879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5T06:47:05.401" personId="{1DABF6B7-B550-4FBD-B0D4-EE8D5BF268BF}" id="{42144CB2-40A1-FE82-EC8C-D7B918D43B31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5T06:47:05.401" personId="{1DABF6B7-B550-4FBD-B0D4-EE8D5BF268BF}" id="{175AC13F-5A05-534D-C6C5-368C220513B3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5T06:47:05.401" personId="{1DABF6B7-B550-4FBD-B0D4-EE8D5BF268BF}" id="{98B1FE03-8508-60EB-FB28-AC6EB4FF17EC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5T06:47:05.401" personId="{1DABF6B7-B550-4FBD-B0D4-EE8D5BF268BF}" id="{CA1C4C92-831F-ADC4-1168-DE41412AB513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5T06:47:05.401" personId="{1DABF6B7-B550-4FBD-B0D4-EE8D5BF268BF}" id="{66D08A53-A46F-B39D-BF8B-2F91FA5544EC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5T06:47:05.401" personId="{1DABF6B7-B550-4FBD-B0D4-EE8D5BF268BF}" id="{8253EE86-7926-8F10-8D36-CD8E983846E3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5T06:47:05.401" personId="{1DABF6B7-B550-4FBD-B0D4-EE8D5BF268BF}" id="{63C5B54E-3382-3032-03BC-A4D566E81015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5T06:47:05.401" personId="{1DABF6B7-B550-4FBD-B0D4-EE8D5BF268BF}" id="{19946973-1CB9-F97A-932A-4CDC93DA4076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5T06:47:05.401" personId="{1DABF6B7-B550-4FBD-B0D4-EE8D5BF268BF}" id="{502F2BD0-069C-A1CB-BE2A-316524EA0FE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5T06:47:05.401" personId="{1DABF6B7-B550-4FBD-B0D4-EE8D5BF268BF}" id="{8D3E5E07-996C-6FA2-B7D2-F0A38B3ECA78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5T06:47:05.401" personId="{1DABF6B7-B550-4FBD-B0D4-EE8D5BF268BF}" id="{8E3F859E-A8E6-CD0C-796D-3ABA463D042C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5T06:47:05.401" personId="{1DABF6B7-B550-4FBD-B0D4-EE8D5BF268BF}" id="{7598B2B6-A8FF-7FC1-B339-88714951EF7C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5T06:47:05.401" personId="{1DABF6B7-B550-4FBD-B0D4-EE8D5BF268BF}" id="{C5D97150-6CE8-0ED7-9C73-F66D04986243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5T06:47:05.401" personId="{1DABF6B7-B550-4FBD-B0D4-EE8D5BF268BF}" id="{18CF715D-516E-7251-B463-8CC3AF4028CF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5T06:47:05.401" personId="{1DABF6B7-B550-4FBD-B0D4-EE8D5BF268BF}" id="{75B47754-69C2-3985-00C8-8438A73DE06D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5T06:47:05.401" personId="{1DABF6B7-B550-4FBD-B0D4-EE8D5BF268BF}" id="{F799C9D6-E29B-DA0B-A2F7-63ADB832072B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5T06:47:05.401" personId="{1DABF6B7-B550-4FBD-B0D4-EE8D5BF268BF}" id="{2387B878-7100-9F16-32DA-86297144DD8C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5T06:47:05.401" personId="{1DABF6B7-B550-4FBD-B0D4-EE8D5BF268BF}" id="{059C83C8-6D8C-66EA-6ABF-D9624BFBCF3A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5T06:47:05.401" personId="{1DABF6B7-B550-4FBD-B0D4-EE8D5BF268BF}" id="{63C2F3AB-4FB1-6250-E0A7-BE401E20C4CB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5T06:47:05.401" personId="{1DABF6B7-B550-4FBD-B0D4-EE8D5BF268BF}" id="{162FEE63-E7EE-3E1C-C9D1-370CE352712E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5T06:47:05.401" personId="{1DABF6B7-B550-4FBD-B0D4-EE8D5BF268BF}" id="{E1DE05A5-76A2-0262-A273-87EDC9B8395D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5T06:47:05.401" personId="{1DABF6B7-B550-4FBD-B0D4-EE8D5BF268BF}" id="{EEA21B70-769F-D42F-BB3B-483AAC8DA47C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5T06:47:05.762" personId="{1DABF6B7-B550-4FBD-B0D4-EE8D5BF268BF}" id="{84E13648-C7F0-652B-D6D1-50FB9ABCAD46}">
    <xltc:text>Official source: https://www.bhp.com/-/media/documents/investors/annual-reports/2025/250819_bhpannualreport2025.pdf</xltc:text>
  </xltc:threadedComment>
  <xltc:threadedComment ref="J6" dT="2026-08-15T06:47:05.764" personId="{1DABF6B7-B550-4FBD-B0D4-EE8D5BF268BF}" id="{BAE23548-9F72-6653-9CCE-AB5D6CE12D22}">
    <xltc:text>Official source: https://www.glencore.com/.rest/api/v1/documents/static/9b103e11-72e7-40bf-ae7c-eabe57361522/GLEN-2025-Annual-Report.pdf</xltc:text>
  </xltc:threadedComment>
  <xltc:threadedComment ref="J7" dT="2026-08-15T06:47:05.766" personId="{1DABF6B7-B550-4FBD-B0D4-EE8D5BF268BF}" id="{7F7FC2C5-35C0-7E18-21CF-E7ABD151C178}">
    <xltc:text>Official source: https://www.angloamerican.com/~/media/Files/A/Anglo-American-Group-v9/PLC/investors/annual-reporting/2025/aa-annual-report-full-2025.pdf</xltc:text>
  </xltc:threadedComment>
  <xltc:threadedComment ref="J8" dT="2026-08-15T06:47:05.768" personId="{1DABF6B7-B550-4FBD-B0D4-EE8D5BF268BF}" id="{1C87D2BD-002E-EFEC-6449-F4CC621DAF19}">
    <xltc:text>Official source: https://reports.anglogoldashanti.com/25/download/AGA-AR25.pdf</xltc:text>
  </xltc:threadedComment>
  <xltc:threadedComment ref="J9" dT="2026-08-15T06:47:05.771" personId="{1DABF6B7-B550-4FBD-B0D4-EE8D5BF268BF}" id="{D82E1942-60FB-A94F-1231-55C186DFE77A}">
    <xltc:text>Official source: https://www.goldfields.com/pdf/investors/integrated-annual-reports/2025/afs-2025.pdf</xltc:text>
  </xltc:threadedComment>
  <xltc:threadedComment ref="J10" dT="2026-08-15T06:47:05.774" personId="{1DABF6B7-B550-4FBD-B0D4-EE8D5BF268BF}" id="{8C7CBC23-095B-389F-1CE9-66A020ED5F65}">
    <xltc:text>Official source: https://www.valterraplatinum.com/wp-content/uploads/2026/05/annual-financial-statements-2025.pdf</xltc:text>
  </xltc:threadedComment>
  <xltc:threadedComment ref="J11" dT="2026-08-15T06:47:05.776" personId="{1DABF6B7-B550-4FBD-B0D4-EE8D5BF268BF}" id="{FE08B92E-A8FF-1755-3A77-7296DB082B8F}">
    <xltc:text>Official source: https://group.outsurance.co.za/globalassets/documents/investor-relations/reports-and-results/2025/ogl-annual-financial-statements-2025.pdf</xltc:text>
  </xltc:threadedComment>
  <xltc:threadedComment ref="J12" dT="2026-08-15T06:47:05.778" personId="{1DABF6B7-B550-4FBD-B0D4-EE8D5BF268BF}" id="{17E4C51A-99FC-A26E-FA58-241D1896C185}">
    <xltc:text>Official source: https://www.sanlam.com/downloads/integrated-report-and-annual-financial-statements/2024/Sanlam-AFS-2024-spreads.pdf</xltc:text>
  </xltc:threadedComment>
  <xltc:threadedComment ref="J13" dT="2026-08-15T06:47:05.779" personId="{1DABF6B7-B550-4FBD-B0D4-EE8D5BF268BF}" id="{EB6DCDB8-08F5-2F6B-58D9-D67FEBC4BF08}">
    <xltc:text>Official source: https://www.shopriteholdings.co.za/docs/shp-afs-2025.pdf</xltc:text>
  </xltc:threadedComment>
  <xltc:threadedComment ref="J14" dT="2026-08-15T06:47:05.782" personId="{1DABF6B7-B550-4FBD-B0D4-EE8D5BF268BF}" id="{D1283C43-349C-5B77-B9BC-15E4F74CDBF7}">
    <xltc:text>Official source: https://www.bidcorpgroup.com/pdf/reports/2025/Bidcorp-2025-AIR.pdf</xltc:text>
  </xltc:threadedComment>
  <xltc:threadedComment ref="J15" dT="2026-08-15T06:47:05.784" personId="{1DABF6B7-B550-4FBD-B0D4-EE8D5BF268BF}" id="{22CEF8D1-497B-0746-E712-0902C2295F03}">
    <xltc:text>Official source: https://pepkor.co.za/wp-content/uploads/Pepkor-annual-financial-statements-2025.pdf</xltc:text>
  </xltc:threadedComment>
  <xltc:threadedComment ref="J16" dT="2026-08-15T06:47:05.786" personId="{1DABF6B7-B550-4FBD-B0D4-EE8D5BF268BF}" id="{80D5AC2B-9FE7-A4E9-D58C-4B8B483C5C5C}">
    <xltc:text>Official source: https://clicksgroup.co.za/iar2025/wp-content/uploads/CGL-YE25-Annual-financial-statements.pdf</xltc:text>
  </xltc:threadedComment>
  <xltc:threadedComment ref="J17" dT="2026-08-15T06:47:05.787" personId="{1DABF6B7-B550-4FBD-B0D4-EE8D5BF268BF}" id="{335B0CFE-336B-8BFF-E374-338B849103E5}">
    <xltc:text>Official source: https://nepirockcastle.com/wp-content/uploads/2026/03/NEPI_Rockcastle_Annual_Report_2025.pdf</xltc:text>
  </xltc:threadedComment>
  <xltc:threadedComment ref="J18" dT="2026-08-15T06:47:05.79" personId="{1DABF6B7-B550-4FBD-B0D4-EE8D5BF268BF}" id="{1A55DFCA-C281-6722-8F99-5EBA993935F7}">
    <xltc:text>Official source: https://www.prosus.com/~/media/Files/P/prosus-corp-v2/results-reports-and-events-archive/annual-report/2026/fy2026-annual-report.pdf</xltc:text>
  </xltc:threadedComment>
  <xltc:threadedComment ref="J19" dT="2026-08-15T06:47:05.795" personId="{1DABF6B7-B550-4FBD-B0D4-EE8D5BF268BF}" id="{ED05C87E-0A75-049A-05E7-96420E3A1BAD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5T06:47:05.797" personId="{1DABF6B7-B550-4FBD-B0D4-EE8D5BF268BF}" id="{5CCA1910-7668-C27B-F4A8-D382B08AB157}">
    <xltc:text>Official source: https://www.mtn.com/wp-content/uploads/2026/03/MTN-Group-FY-25-Annual-Financial-Statements.pdf</xltc:text>
  </xltc:threadedComment>
  <xltc:threadedComment ref="J21" dT="2026-08-15T06:47:05.798" personId="{1DABF6B7-B550-4FBD-B0D4-EE8D5BF268BF}" id="{66930877-5ABE-EA1E-A91D-1E239C1A010D}">
    <xltc:text>Official source: https://vodacom-reports.co.za/integrated-reports/ir-2026/documents/vodacom-consolidated-and-separate-financial-statements-2026.pdf</xltc:text>
  </xltc:threadedComment>
  <xltc:threadedComment ref="J22" dT="2026-08-15T06:47:05.8" personId="{1DABF6B7-B550-4FBD-B0D4-EE8D5BF268BF}" id="{BA48A1C2-E567-A40A-25BB-8868A2F95826}">
    <xltc:text>Official source: https://bidvest.co.za/pdf/annual-reports/2025/bidvest-iar-2025.pdf</xltc:text>
  </xltc:threadedComment>
  <xltc:threadedComment ref="J23" dT="2026-08-15T06:47:05.801" personId="{1DABF6B7-B550-4FBD-B0D4-EE8D5BF268BF}" id="{5362AA48-E0BF-4B27-6BFF-54D0DEDB7AE8}">
    <xltc:text>Official source: https://www.aspenpharma.com/download/annual-financial-statements-2/</xltc:text>
  </xltc:threadedComment>
  <xltc:threadedComment ref="J24" dT="2026-08-15T06:47:05.803" personId="{1DABF6B7-B550-4FBD-B0D4-EE8D5BF268BF}" id="{3831B5BD-3244-FA9B-D90E-2023EACB683C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eb01e89d773a4214" /><Relationship Type="http://schemas.openxmlformats.org/officeDocument/2006/relationships/vmlDrawing" Target="/xl/drawings/vmldrawing.vml" Id="Rbc977ac405e143db" /><Relationship Type="http://schemas.microsoft.com/office/2017/10/relationships/threadedComment" Target="/xl/threadedcomments/threadedcomment.xml" Id="R1c68f1a4cb5b49d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88cdafbb43b432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2.xml" Id="Rebf2e8f3cb0c4e21" /><Relationship Type="http://schemas.openxmlformats.org/officeDocument/2006/relationships/vmlDrawing" Target="/xl/drawings/vmldrawing2.vml" Id="R2f43e8fb0cb14fa4" /><Relationship Type="http://schemas.microsoft.com/office/2017/10/relationships/threadedComment" Target="/xl/threadedcomments/threadedcomment2.xml" Id="R9cca41b64ff74c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V3.2.0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Evidence, wallet impact and Promotion Readiness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V3.2.0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bc977ac405e143d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b88cdafbb43b432f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V3.2.0 preserves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V3.2.0 preserves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V3.2.0 preserves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V3.2.0 preserves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V3.2.0 preserves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V3.2.0 preserves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V3.2.0 preserves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V3.2.0 preserves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V3.2.0 preserves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V3.2.0 preserves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V3.2.0 preserves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V3.2.0 preserves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V3.2.0 preserves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V3.2.0 preserves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V3.2.0 preserves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V3.2.0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58" hidden="0" customWidth="1"/>
  </x:cols>
  <x:sheetData>
    <x:row r="1" ht="35" customHeight="1">
      <x:c r="A1" s="3" t="str">
        <x:v>Promotion Readiness Twin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7" t="str">
        <x:v>Blue is rehearsal evidence; green would require real bank evidence. Simulation can never authorize bank use.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</x:row>
    <x:row r="4" ht="30" customHeight="1">
      <x:c r="A4" s="71" t="str">
        <x:v>Real state</x:v>
      </x:c>
      <x:c r="B4" s="71" t="str">
        <x:v>Rehearsed state</x:v>
      </x:c>
      <x:c r="C4" s="71" t="str">
        <x:v>Bank shadow authorized</x:v>
      </x:c>
      <x:c r="D4" s="71" t="str">
        <x:v>PMR</x:v>
      </x:c>
      <x:c r="E4" s="71" t="str">
        <x:v>BER</x:v>
      </x:c>
      <x:c r="F4" s="71" t="str">
        <x:v>Rehearsal clean days</x:v>
      </x:c>
      <x:c r="G4" s="71" t="str">
        <x:v>Elapsed bank days</x:v>
      </x:c>
      <x:c r="H4" s="71" t="str">
        <x:v>Package status</x:v>
      </x:c>
      <x:c r="I4" s="71" t="str">
        <x:v>Bank status</x:v>
      </x:c>
      <x:c r="J4" s="71" t="str">
        <x:v>Real signer available</x:v>
      </x:c>
      <x:c r="K4" s="71" t="str">
        <x:v>Gate count</x:v>
      </x:c>
    </x:row>
    <x:row r="5">
      <x:c r="A5" s="58" t="str">
        <x:v>OFFLINE_CANDIDATE</x:v>
      </x:c>
      <x:c r="B5" s="58" t="str">
        <x:v>SHADOW_READY</x:v>
      </x:c>
      <x:c r="C5" s="58" t="str">
        <x:v>FALSE</x:v>
      </x:c>
      <x:c r="D5" s="60" t="n">
        <x:v>1</x:v>
      </x:c>
      <x:c r="E5" s="60" t="n">
        <x:v>0</x:v>
      </x:c>
      <x:c r="F5" s="58" t="n">
        <x:v>30</x:v>
      </x:c>
      <x:c r="G5" s="58" t="n">
        <x:v>0</x:v>
      </x:c>
      <x:c r="H5" s="58" t="str">
        <x:v>SHADOW_DEPLOYMENT_PACKAGE_READY</x:v>
      </x:c>
      <x:c r="I5" s="58" t="str">
        <x:v>NOT_PROMOTABLE</x:v>
      </x:c>
      <x:c r="J5" s="58" t="str">
        <x:v>FALSE</x:v>
      </x:c>
      <x:c r="K5" s="58" t="n">
        <x:v>30</x:v>
      </x:c>
    </x:row>
    <x:row r="8" ht="30" customHeight="1">
      <x:c r="A8" s="77" t="str">
        <x:v>Transition</x:v>
      </x:c>
      <x:c r="B8" s="77" t="str">
        <x:v>Gate ID</x:v>
      </x:c>
      <x:c r="C8" s="77" t="str">
        <x:v>Requirement</x:v>
      </x:c>
      <x:c r="D8" s="77" t="str">
        <x:v>Severity</x:v>
      </x:c>
      <x:c r="E8" s="77" t="str">
        <x:v>Blocking</x:v>
      </x:c>
      <x:c r="F8" s="77" t="str">
        <x:v>Real status</x:v>
      </x:c>
      <x:c r="G8" s="77" t="str">
        <x:v>Rehearsal status</x:v>
      </x:c>
      <x:c r="H8" s="77" t="str">
        <x:v>Evidence mode</x:v>
      </x:c>
      <x:c r="I8" s="77" t="str">
        <x:v>Signature</x:v>
      </x:c>
      <x:c r="J8" s="77" t="str">
        <x:v>Owner</x:v>
      </x:c>
      <x:c r="K8" s="77" t="str">
        <x:v>Approver</x:v>
      </x:c>
      <x:c r="L8" s="77" t="str">
        <x:v>What makes real pass</x:v>
      </x:c>
    </x:row>
    <x:row r="9">
      <x:c r="A9" s="58" t="str">
        <x:v>OFFLINE_CANDIDATE__TO__SHADOW_READY</x:v>
      </x:c>
      <x:c r="B9" s="58" t="str">
        <x:v>independent-reproduction</x:v>
      </x:c>
      <x:c r="C9" s="58" t="str">
        <x:v>A second party rebuilds every gated artifact byte-identically from the named commit.</x:v>
      </x:c>
      <x:c r="D9" s="58" t="str">
        <x:v>CRITICAL</x:v>
      </x:c>
      <x:c r="E9" s="58" t="str">
        <x:v>YES</x:v>
      </x:c>
      <x:c r="F9" s="58" t="str">
        <x:v>NOT_EVALUATED</x:v>
      </x:c>
      <x:c r="G9" s="58" t="str">
        <x:v>PASS</x:v>
      </x:c>
      <x:c r="H9" s="58" t="str">
        <x:v>SYNTHETIC_REHEARSAL</x:v>
      </x:c>
      <x:c r="I9" s="58" t="str">
        <x:v>SIGNED_REHEARSAL</x:v>
      </x:c>
      <x:c r="J9" s="58" t="str">
        <x:v>ENGINEERING</x:v>
      </x:c>
      <x:c r="K9" s="58" t="str">
        <x:v>MODEL_RISK</x:v>
      </x:c>
      <x:c r="L9" s="58" t="str">
        <x:v>A reviewer outside the build machine runs scripts/build_submission.py at the tagged commit and reports matching digests for all 74 gated artifacts.</x:v>
      </x:c>
    </x:row>
    <x:row r="10">
      <x:c r="A10" s="58" t="str">
        <x:v>OFFLINE_CANDIDATE__TO__SHADOW_READY</x:v>
      </x:c>
      <x:c r="B10" s="58" t="str">
        <x:v>point-in-time-zero-leakage</x:v>
      </x:c>
      <x:c r="C10" s="58" t="str">
        <x:v>No input dated after a record's as_of informs that record.</x:v>
      </x:c>
      <x:c r="D10" s="58" t="str">
        <x:v>CRITICAL</x:v>
      </x:c>
      <x:c r="E10" s="58" t="str">
        <x:v>YES</x:v>
      </x:c>
      <x:c r="F10" s="58" t="str">
        <x:v>NOT_EVALUATED</x:v>
      </x:c>
      <x:c r="G10" s="58" t="str">
        <x:v>PASS</x:v>
      </x:c>
      <x:c r="H10" s="58" t="str">
        <x:v>SYNTHETIC_REHEARSAL</x:v>
      </x:c>
      <x:c r="I10" s="58" t="str">
        <x:v>SIGNED_REHEARSAL</x:v>
      </x:c>
      <x:c r="J10" s="58" t="str">
        <x:v>DATA_ENGINEERING</x:v>
      </x:c>
      <x:c r="K10" s="58" t="str">
        <x:v>MODEL_RISK</x:v>
      </x:c>
      <x:c r="L10" s="58" t="str">
        <x:v>The V3 validation report shows point_in_time_violations = 0 on bank data rather than on the public fixture.</x:v>
      </x:c>
    </x:row>
    <x:row r="11">
      <x:c r="A11" s="58" t="str">
        <x:v>OFFLINE_CANDIDATE__TO__SHADOW_READY</x:v>
      </x:c>
      <x:c r="B11" s="58" t="str">
        <x:v>reconciliation-exact</x:v>
      </x:c>
      <x:c r="C11" s="58" t="str">
        <x:v>Shadow wallet mass balance reconciles exactly, with no tolerance.</x:v>
      </x:c>
      <x:c r="D11" s="58" t="str">
        <x:v>CRITICAL</x:v>
      </x:c>
      <x:c r="E11" s="58" t="str">
        <x:v>YES</x:v>
      </x:c>
      <x:c r="F11" s="58" t="str">
        <x:v>NOT_EVALUATED</x:v>
      </x:c>
      <x:c r="G11" s="58" t="str">
        <x:v>PASS</x:v>
      </x:c>
      <x:c r="H11" s="58" t="str">
        <x:v>SYNTHETIC_REHEARSAL</x:v>
      </x:c>
      <x:c r="I11" s="58" t="str">
        <x:v>SIGNED_REHEARSAL</x:v>
      </x:c>
      <x:c r="J11" s="58" t="str">
        <x:v>FINANCE_OPERATIONS</x:v>
      </x:c>
      <x:c r="K11" s="58" t="str">
        <x:v>FINANCE_CONTROLLER</x:v>
      </x:c>
      <x:c r="L11" s="58" t="str">
        <x:v>Reconciliation runs against real bank balances for a full cycle and reports a rate of exactly 1.0.</x:v>
      </x:c>
    </x:row>
    <x:row r="12">
      <x:c r="A12" s="58" t="str">
        <x:v>OFFLINE_CANDIDATE__TO__SHADOW_READY</x:v>
      </x:c>
      <x:c r="B12" s="58" t="str">
        <x:v>interval-coverage-90</x:v>
      </x:c>
      <x:c r="C12" s="58" t="str">
        <x:v>Empirical coverage of the nominal 90% interval falls within 0.85–0.95.</x:v>
      </x:c>
      <x:c r="D12" s="58" t="str">
        <x:v>HIGH</x:v>
      </x:c>
      <x:c r="E12" s="58" t="str">
        <x:v>YES</x:v>
      </x:c>
      <x:c r="F12" s="58" t="str">
        <x:v>NOT_EVALUATED</x:v>
      </x:c>
      <x:c r="G12" s="58" t="str">
        <x:v>PASS</x:v>
      </x:c>
      <x:c r="H12" s="58" t="str">
        <x:v>SYNTHETIC_REHEARSAL</x:v>
      </x:c>
      <x:c r="I12" s="58" t="str">
        <x:v>SIGNED_REHEARSAL</x:v>
      </x:c>
      <x:c r="J12" s="58" t="str">
        <x:v>DATA_SCIENCE</x:v>
      </x:c>
      <x:c r="K12" s="58" t="str">
        <x:v>MODEL_RISK</x:v>
      </x:c>
      <x:c r="L12" s="58" t="str">
        <x:v>Coverage is measured on held-out real bank outcomes, not on the synthetic calibration lab.</x:v>
      </x:c>
    </x:row>
    <x:row r="13">
      <x:c r="A13" s="58" t="str">
        <x:v>OFFLINE_CANDIDATE__TO__SHADOW_READY</x:v>
      </x:c>
      <x:c r="B13" s="58" t="str">
        <x:v>crps-improvement</x:v>
      </x:c>
      <x:c r="C13" s="58" t="str">
        <x:v>Continuous ranked probability score improves ≥10% against the registered baseline.</x:v>
      </x:c>
      <x:c r="D13" s="58" t="str">
        <x:v>HIGH</x:v>
      </x:c>
      <x:c r="E13" s="58" t="str">
        <x:v>YES</x:v>
      </x:c>
      <x:c r="F13" s="58" t="str">
        <x:v>NOT_EVALUATED</x:v>
      </x:c>
      <x:c r="G13" s="58" t="str">
        <x:v>PASS</x:v>
      </x:c>
      <x:c r="H13" s="58" t="str">
        <x:v>SYNTHETIC_REHEARSAL</x:v>
      </x:c>
      <x:c r="I13" s="58" t="str">
        <x:v>SIGNED_REHEARSAL</x:v>
      </x:c>
      <x:c r="J13" s="58" t="str">
        <x:v>DATA_SCIENCE</x:v>
      </x:c>
      <x:c r="K13" s="58" t="str">
        <x:v>MODEL_RISK</x:v>
      </x:c>
      <x:c r="L13" s="58" t="str">
        <x:v>The comparison is run on real bank outcomes with the baseline frozen before the comparison.</x:v>
      </x:c>
    </x:row>
    <x:row r="14">
      <x:c r="A14" s="58" t="str">
        <x:v>OFFLINE_CANDIDATE__TO__SHADOW_READY</x:v>
      </x:c>
      <x:c r="B14" s="58" t="str">
        <x:v>genai-schema-and-fidelity</x:v>
      </x:c>
      <x:c r="C14" s="58" t="str">
        <x:v>First-attempt schema compliance with no repair or retry; every critical fact traceable; no unsupported critical claim; numerics preserved.</x:v>
      </x:c>
      <x:c r="D14" s="58" t="str">
        <x:v>HIGH</x:v>
      </x:c>
      <x:c r="E14" s="58" t="str">
        <x:v>YES</x:v>
      </x:c>
      <x:c r="F14" s="58" t="str">
        <x:v>NOT_EVALUATED</x:v>
      </x:c>
      <x:c r="G14" s="58" t="str">
        <x:v>PASS</x:v>
      </x:c>
      <x:c r="H14" s="58" t="str">
        <x:v>SYNTHETIC_REHEARSAL</x:v>
      </x:c>
      <x:c r="I14" s="58" t="str">
        <x:v>SIGNED_REHEARSAL</x:v>
      </x:c>
      <x:c r="J14" s="58" t="str">
        <x:v>ENGINEERING</x:v>
      </x:c>
      <x:c r="K14" s="58" t="str">
        <x:v>MODEL_RISK</x:v>
      </x:c>
      <x:c r="L14" s="58" t="str">
        <x:v>At least three accepted live-provider briefs across providers, produced with rotated credentials injected at runtime.</x:v>
      </x:c>
    </x:row>
    <x:row r="15">
      <x:c r="A15" s="58" t="str">
        <x:v>OFFLINE_CANDIDATE__TO__SHADOW_READY</x:v>
      </x:c>
      <x:c r="B15" s="58" t="str">
        <x:v>prompt-injection-resistance</x:v>
      </x:c>
      <x:c r="C15" s="58" t="str">
        <x:v>No injection attempt in the registered corpus causes the model to exceed its closed fact pack.</x:v>
      </x:c>
      <x:c r="D15" s="58" t="str">
        <x:v>CRITICAL</x:v>
      </x:c>
      <x:c r="E15" s="58" t="str">
        <x:v>YES</x:v>
      </x:c>
      <x:c r="F15" s="58" t="str">
        <x:v>NOT_EVALUATED</x:v>
      </x:c>
      <x:c r="G15" s="58" t="str">
        <x:v>PASS</x:v>
      </x:c>
      <x:c r="H15" s="58" t="str">
        <x:v>SYNTHETIC_REHEARSAL</x:v>
      </x:c>
      <x:c r="I15" s="58" t="str">
        <x:v>SIGNED_REHEARSAL</x:v>
      </x:c>
      <x:c r="J15" s="58" t="str">
        <x:v>SECURITY</x:v>
      </x:c>
      <x:c r="K15" s="58" t="str">
        <x:v>SECURITY_OFFICER</x:v>
      </x:c>
      <x:c r="L15" s="58" t="str">
        <x:v>The injection corpus is run against the live provider path rather than the offline stub.</x:v>
      </x:c>
    </x:row>
    <x:row r="16">
      <x:c r="A16" s="58" t="str">
        <x:v>OFFLINE_CANDIDATE__TO__SHADOW_READY</x:v>
      </x:c>
      <x:c r="B16" s="58" t="str">
        <x:v>entitlement-negative-tests</x:v>
      </x:c>
      <x:c r="C16" s="58" t="str">
        <x:v>Every cross-client, cross-region and wrong-role request is denied.</x:v>
      </x:c>
      <x:c r="D16" s="58" t="str">
        <x:v>CRITICAL</x:v>
      </x:c>
      <x:c r="E16" s="58" t="str">
        <x:v>YES</x:v>
      </x:c>
      <x:c r="F16" s="58" t="str">
        <x:v>NOT_EVALUATED</x:v>
      </x:c>
      <x:c r="G16" s="58" t="str">
        <x:v>PASS</x:v>
      </x:c>
      <x:c r="H16" s="58" t="str">
        <x:v>SYNTHETIC_REHEARSAL</x:v>
      </x:c>
      <x:c r="I16" s="58" t="str">
        <x:v>SIGNED_REHEARSAL</x:v>
      </x:c>
      <x:c r="J16" s="58" t="str">
        <x:v>SECURITY</x:v>
      </x:c>
      <x:c r="K16" s="58" t="str">
        <x:v>SECURITY_OFFICER</x:v>
      </x:c>
      <x:c r="L16" s="58" t="str">
        <x:v>Denials are proven against the request path with OPA enforcing, not against in-process entitlement computation.</x:v>
      </x:c>
    </x:row>
    <x:row r="17">
      <x:c r="A17" s="58" t="str">
        <x:v>OFFLINE_CANDIDATE__TO__SHADOW_READY</x:v>
      </x:c>
      <x:c r="B17" s="58" t="str">
        <x:v>supply-chain-clean</x:v>
      </x:c>
      <x:c r="C17" s="58" t="str">
        <x:v>Container image signed, SBOM published, zero unresolved CRITICAL/HIGH findings.</x:v>
      </x:c>
      <x:c r="D17" s="58" t="str">
        <x:v>HIGH</x:v>
      </x:c>
      <x:c r="E17" s="58" t="str">
        <x:v>YES</x:v>
      </x:c>
      <x:c r="F17" s="58" t="str">
        <x:v>NOT_EVALUATED</x:v>
      </x:c>
      <x:c r="G17" s="58" t="str">
        <x:v>PASS</x:v>
      </x:c>
      <x:c r="H17" s="58" t="str">
        <x:v>SYNTHETIC_REHEARSAL</x:v>
      </x:c>
      <x:c r="I17" s="58" t="str">
        <x:v>SIGNED_REHEARSAL</x:v>
      </x:c>
      <x:c r="J17" s="58" t="str">
        <x:v>PLATFORM_ENGINEERING</x:v>
      </x:c>
      <x:c r="K17" s="58" t="str">
        <x:v>SECURITY_OFFICER</x:v>
      </x:c>
      <x:c r="L17" s="58" t="str">
        <x:v>CI publishes a cosign signature and SBOM for the released digest and Trivy reports zero unresolved CRITICAL/HIGH.</x:v>
      </x:c>
    </x:row>
    <x:row r="18">
      <x:c r="A18" s="58" t="str">
        <x:v>OFFLINE_CANDIDATE__TO__SHADOW_READY</x:v>
      </x:c>
      <x:c r="B18" s="58" t="str">
        <x:v>feasibility-gates-block-selection</x:v>
      </x:c>
      <x:c r="C18" s="58" t="str">
        <x:v>A failed material feasibility gate removes a solution from selection; an unknown one downgrades it to discovery.</x:v>
      </x:c>
      <x:c r="D18" s="58" t="str">
        <x:v>STANDARD</x:v>
      </x:c>
      <x:c r="E18" s="58" t="str">
        <x:v>YES</x:v>
      </x:c>
      <x:c r="F18" s="58" t="str">
        <x:v>NOT_EVALUATED</x:v>
      </x:c>
      <x:c r="G18" s="58" t="str">
        <x:v>PASS</x:v>
      </x:c>
      <x:c r="H18" s="58" t="str">
        <x:v>SYNTHETIC_REHEARSAL</x:v>
      </x:c>
      <x:c r="I18" s="58" t="str">
        <x:v>SIGNED_REHEARSAL</x:v>
      </x:c>
      <x:c r="J18" s="58" t="str">
        <x:v>DATA_SCIENCE</x:v>
      </x:c>
      <x:c r="K18" s="58" t="str">
        <x:v>PRODUCT_OWNER</x:v>
      </x:c>
      <x:c r="L18" s="58" t="str">
        <x:v>The rule is exercised against real client feasibility data rather than the fixture.</x:v>
      </x:c>
    </x:row>
    <x:row r="19">
      <x:c r="A19" s="58" t="str">
        <x:v>SHADOW_READY__TO__PILOT_READY</x:v>
      </x:c>
      <x:c r="B19" s="58" t="str">
        <x:v>elapsed-clean-shadow-days</x:v>
      </x:c>
      <x:c r="C19" s="58" t="str">
        <x:v>Thirty consecutive calendar days of shadow operation with no critical incident, measured in elapsed bank time.</x:v>
      </x:c>
      <x:c r="D19" s="58" t="str">
        <x:v>CRITICAL</x:v>
      </x:c>
      <x:c r="E19" s="58" t="str">
        <x:v>YES</x:v>
      </x:c>
      <x:c r="F19" s="58" t="str">
        <x:v>NOT_EVALUATED</x:v>
      </x:c>
      <x:c r="G19" s="58" t="str">
        <x:v>PASS</x:v>
      </x:c>
      <x:c r="H19" s="58" t="str">
        <x:v>SYNTHETIC_REHEARSAL</x:v>
      </x:c>
      <x:c r="I19" s="58" t="str">
        <x:v>SIGNED_REHEARSAL</x:v>
      </x:c>
      <x:c r="J19" s="58" t="str">
        <x:v>PRODUCTION_OPERATIONS</x:v>
      </x:c>
      <x:c r="K19" s="58" t="str">
        <x:v>HEAD_OF_OPERATIONS</x:v>
      </x:c>
      <x:c r="L19" s="58" t="str">
        <x:v>The bank runs the system in shadow for thirty consecutive clean calendar days. No rehearsal can substitute; this gate is why elapsed_bank_shadow_days is published beside every rehearsal count.</x:v>
      </x:c>
    </x:row>
    <x:row r="20">
      <x:c r="A20" s="58" t="str">
        <x:v>SHADOW_READY__TO__PILOT_READY</x:v>
      </x:c>
      <x:c r="B20" s="58" t="str">
        <x:v>service-availability</x:v>
      </x:c>
      <x:c r="C20" s="58" t="str">
        <x:v>Measured availability ≥ 0.999 over the shadow period.</x:v>
      </x:c>
      <x:c r="D20" s="58" t="str">
        <x:v>HIGH</x:v>
      </x:c>
      <x:c r="E20" s="58" t="str">
        <x:v>YES</x:v>
      </x:c>
      <x:c r="F20" s="58" t="str">
        <x:v>NOT_EVALUATED</x:v>
      </x:c>
      <x:c r="G20" s="58" t="str">
        <x:v>PASS</x:v>
      </x:c>
      <x:c r="H20" s="58" t="str">
        <x:v>SYNTHETIC_REHEARSAL</x:v>
      </x:c>
      <x:c r="I20" s="58" t="str">
        <x:v>SIGNED_REHEARSAL</x:v>
      </x:c>
      <x:c r="J20" s="58" t="str">
        <x:v>PRODUCTION_OPERATIONS</x:v>
      </x:c>
      <x:c r="K20" s="58" t="str">
        <x:v>HEAD_OF_OPERATIONS</x:v>
      </x:c>
      <x:c r="L20" s="58" t="str">
        <x:v>Availability is measured from bank monitoring over the elapsed shadow window.</x:v>
      </x:c>
    </x:row>
    <x:row r="21">
      <x:c r="A21" s="58" t="str">
        <x:v>SHADOW_READY__TO__PILOT_READY</x:v>
      </x:c>
      <x:c r="B21" s="58" t="str">
        <x:v>read-latency-p95</x:v>
      </x:c>
      <x:c r="C21" s="58" t="str">
        <x:v>p95 read latency &lt; 750 ms under bank load.</x:v>
      </x:c>
      <x:c r="D21" s="58" t="str">
        <x:v>STANDARD</x:v>
      </x:c>
      <x:c r="E21" s="58" t="str">
        <x:v>YES</x:v>
      </x:c>
      <x:c r="F21" s="58" t="str">
        <x:v>NOT_EVALUATED</x:v>
      </x:c>
      <x:c r="G21" s="58" t="str">
        <x:v>PASS</x:v>
      </x:c>
      <x:c r="H21" s="58" t="str">
        <x:v>SYNTHETIC_REHEARSAL</x:v>
      </x:c>
      <x:c r="I21" s="58" t="str">
        <x:v>SIGNED_REHEARSAL</x:v>
      </x:c>
      <x:c r="J21" s="58" t="str">
        <x:v>PLATFORM_ENGINEERING</x:v>
      </x:c>
      <x:c r="K21" s="58" t="str">
        <x:v>HEAD_OF_OPERATIONS</x:v>
      </x:c>
      <x:c r="L21" s="58" t="str">
        <x:v>p95 is measured on bank infrastructure under production-shaped load, not on the build machine.</x:v>
      </x:c>
    </x:row>
    <x:row r="22">
      <x:c r="A22" s="58" t="str">
        <x:v>SHADOW_READY__TO__PILOT_READY</x:v>
      </x:c>
      <x:c r="B22" s="58" t="str">
        <x:v>event-latency</x:v>
      </x:c>
      <x:c r="C22" s="58" t="str">
        <x:v>Domain events reach consumers in under 300 seconds.</x:v>
      </x:c>
      <x:c r="D22" s="58" t="str">
        <x:v>STANDARD</x:v>
      </x:c>
      <x:c r="E22" s="58" t="str">
        <x:v>YES</x:v>
      </x:c>
      <x:c r="F22" s="58" t="str">
        <x:v>NOT_EVALUATED</x:v>
      </x:c>
      <x:c r="G22" s="58" t="str">
        <x:v>PASS</x:v>
      </x:c>
      <x:c r="H22" s="58" t="str">
        <x:v>SYNTHETIC_REHEARSAL</x:v>
      </x:c>
      <x:c r="I22" s="58" t="str">
        <x:v>SIGNED_REHEARSAL</x:v>
      </x:c>
      <x:c r="J22" s="58" t="str">
        <x:v>PLATFORM_ENGINEERING</x:v>
      </x:c>
      <x:c r="K22" s="58" t="str">
        <x:v>HEAD_OF_OPERATIONS</x:v>
      </x:c>
      <x:c r="L22" s="58" t="str">
        <x:v>Latency is measured across the bank's actual broker.</x:v>
      </x:c>
    </x:row>
    <x:row r="23">
      <x:c r="A23" s="58" t="str">
        <x:v>SHADOW_READY__TO__PILOT_READY</x:v>
      </x:c>
      <x:c r="B23" s="58" t="str">
        <x:v>refresh-by-0600-sast</x:v>
      </x:c>
      <x:c r="C23" s="58" t="str">
        <x:v>The overnight refresh completes before 06:00 SAST.</x:v>
      </x:c>
      <x:c r="D23" s="58" t="str">
        <x:v>STANDARD</x:v>
      </x:c>
      <x:c r="E23" s="58" t="str">
        <x:v>YES</x:v>
      </x:c>
      <x:c r="F23" s="58" t="str">
        <x:v>NOT_EVALUATED</x:v>
      </x:c>
      <x:c r="G23" s="58" t="str">
        <x:v>PASS</x:v>
      </x:c>
      <x:c r="H23" s="58" t="str">
        <x:v>SYNTHETIC_REHEARSAL</x:v>
      </x:c>
      <x:c r="I23" s="58" t="str">
        <x:v>SIGNED_REHEARSAL</x:v>
      </x:c>
      <x:c r="J23" s="58" t="str">
        <x:v>PRODUCTION_OPERATIONS</x:v>
      </x:c>
      <x:c r="K23" s="58" t="str">
        <x:v>HEAD_OF_OPERATIONS</x:v>
      </x:c>
      <x:c r="L23" s="58" t="str">
        <x:v>Completion time is observed over the elapsed shadow window.</x:v>
      </x:c>
    </x:row>
    <x:row r="24">
      <x:c r="A24" s="58" t="str">
        <x:v>SHADOW_READY__TO__PILOT_READY</x:v>
      </x:c>
      <x:c r="B24" s="58" t="str">
        <x:v>no-unresolved-sev1-sev2</x:v>
      </x:c>
      <x:c r="C24" s="58" t="str">
        <x:v>Zero unresolved Sev-1/Sev-2 at the promotion decision point.</x:v>
      </x:c>
      <x:c r="D24" s="58" t="str">
        <x:v>CRITICAL</x:v>
      </x:c>
      <x:c r="E24" s="58" t="str">
        <x:v>YES</x:v>
      </x:c>
      <x:c r="F24" s="58" t="str">
        <x:v>NOT_EVALUATED</x:v>
      </x:c>
      <x:c r="G24" s="58" t="str">
        <x:v>PASS</x:v>
      </x:c>
      <x:c r="H24" s="58" t="str">
        <x:v>SYNTHETIC_REHEARSAL</x:v>
      </x:c>
      <x:c r="I24" s="58" t="str">
        <x:v>SIGNED_REHEARSAL</x:v>
      </x:c>
      <x:c r="J24" s="58" t="str">
        <x:v>PRODUCTION_OPERATIONS</x:v>
      </x:c>
      <x:c r="K24" s="58" t="str">
        <x:v>HEAD_OF_OPERATIONS</x:v>
      </x:c>
      <x:c r="L24" s="58" t="str">
        <x:v>The bank incident register shows none open against this system.</x:v>
      </x:c>
    </x:row>
    <x:row r="25">
      <x:c r="A25" s="58" t="str">
        <x:v>SHADOW_READY__TO__PILOT_READY</x:v>
      </x:c>
      <x:c r="B25" s="58" t="str">
        <x:v>model-risk-approval</x:v>
      </x:c>
      <x:c r="C25" s="58" t="str">
        <x:v>Model risk management approves the model card, limitations and monitoring plan.</x:v>
      </x:c>
      <x:c r="D25" s="58" t="str">
        <x:v>CRITICAL</x:v>
      </x:c>
      <x:c r="E25" s="58" t="str">
        <x:v>YES</x:v>
      </x:c>
      <x:c r="F25" s="58" t="str">
        <x:v>NOT_EVALUATED</x:v>
      </x:c>
      <x:c r="G25" s="58" t="str">
        <x:v>PASS</x:v>
      </x:c>
      <x:c r="H25" s="58" t="str">
        <x:v>SYNTHETIC_REHEARSAL</x:v>
      </x:c>
      <x:c r="I25" s="58" t="str">
        <x:v>SIGNED_REHEARSAL</x:v>
      </x:c>
      <x:c r="J25" s="58" t="str">
        <x:v>MODEL_RISK</x:v>
      </x:c>
      <x:c r="K25" s="58" t="str">
        <x:v>CHIEF_RISK_OFFICER</x:v>
      </x:c>
      <x:c r="L25" s="58" t="str">
        <x:v>Model risk reviews the V3.2 model card and records an approval with a named accountable owner.</x:v>
      </x:c>
    </x:row>
    <x:row r="26">
      <x:c r="A26" s="58" t="str">
        <x:v>SHADOW_READY__TO__PILOT_READY</x:v>
      </x:c>
      <x:c r="B26" s="58" t="str">
        <x:v>selected-critical-path-evidence-complete</x:v>
      </x:c>
      <x:c r="C26" s="58" t="str">
        <x:v>Every selected opportunity has approved support for every fact on the path from signal to proposed action.</x:v>
      </x:c>
      <x:c r="D26" s="58" t="str">
        <x:v>CRITICAL</x:v>
      </x:c>
      <x:c r="E26" s="58" t="str">
        <x:v>YES</x:v>
      </x:c>
      <x:c r="F26" s="58" t="str">
        <x:v>NOT_EVALUATED</x:v>
      </x:c>
      <x:c r="G26" s="58" t="str">
        <x:v>PASS</x:v>
      </x:c>
      <x:c r="H26" s="58" t="str">
        <x:v>SYNTHETIC_REHEARSAL</x:v>
      </x:c>
      <x:c r="I26" s="58" t="str">
        <x:v>SIGNED_REHEARSAL</x:v>
      </x:c>
      <x:c r="J26" s="58" t="str">
        <x:v>EVIDENCE_GOVERNANCE</x:v>
      </x:c>
      <x:c r="K26" s="58" t="str">
        <x:v>FINANCE_CONTROLLER</x:v>
      </x:c>
      <x:c r="L26" s="58" t="str">
        <x:v>The selected plan reports 100% critical-path coverage after independent review; fact counts alone do not satisfy this gate.</x:v>
      </x:c>
    </x:row>
    <x:row r="27">
      <x:c r="A27" s="58" t="str">
        <x:v>SHADOW_READY__TO__PILOT_READY</x:v>
      </x:c>
      <x:c r="B27" s="58" t="str">
        <x:v>selected-value-e2-coverage</x:v>
      </x:c>
      <x:c r="C27" s="58" t="str">
        <x:v>The value-weighted evidence coverage of the selected portfolio is at least 0.80 using approved E2, E3 or E4 evidence.</x:v>
      </x:c>
      <x:c r="D27" s="58" t="str">
        <x:v>HIGH</x:v>
      </x:c>
      <x:c r="E27" s="58" t="str">
        <x:v>YES</x:v>
      </x:c>
      <x:c r="F27" s="58" t="str">
        <x:v>NOT_EVALUATED</x:v>
      </x:c>
      <x:c r="G27" s="58" t="str">
        <x:v>PASS</x:v>
      </x:c>
      <x:c r="H27" s="58" t="str">
        <x:v>SYNTHETIC_REHEARSAL</x:v>
      </x:c>
      <x:c r="I27" s="58" t="str">
        <x:v>SIGNED_REHEARSAL</x:v>
      </x:c>
      <x:c r="J27" s="58" t="str">
        <x:v>EVIDENCE_GOVERNANCE</x:v>
      </x:c>
      <x:c r="K27" s="58" t="str">
        <x:v>MODEL_RISK</x:v>
      </x:c>
      <x:c r="L27" s="58" t="str">
        <x:v>The point-in-time selected portfolio is recomputed and its E2-or-better supported value share is independently attested at or above 80%.</x:v>
      </x:c>
    </x:row>
    <x:row r="28">
      <x:c r="A28" s="58" t="str">
        <x:v>SHADOW_READY__TO__PILOT_READY</x:v>
      </x:c>
      <x:c r="B28" s="58" t="str">
        <x:v>genai-bank-approved</x:v>
      </x:c>
      <x:c r="C28" s="58" t="str">
        <x:v>Provider, model, endpoint, residency, retention, contract, credential boundary and sealed evaluation are approved.</x:v>
      </x:c>
      <x:c r="D28" s="58" t="str">
        <x:v>HIGH</x:v>
      </x:c>
      <x:c r="E28" s="58" t="str">
        <x:v>NO</x:v>
      </x:c>
      <x:c r="F28" s="58" t="str">
        <x:v>NOT_EVALUATED</x:v>
      </x:c>
      <x:c r="G28" s="58" t="str">
        <x:v>PASS</x:v>
      </x:c>
      <x:c r="H28" s="58" t="str">
        <x:v>SYNTHETIC_REHEARSAL</x:v>
      </x:c>
      <x:c r="I28" s="58" t="str">
        <x:v>SIGNED_REHEARSAL</x:v>
      </x:c>
      <x:c r="J28" s="58" t="str">
        <x:v>THIRD_PARTY_RISK</x:v>
      </x:c>
      <x:c r="K28" s="58" t="str">
        <x:v>CHIEF_RISK_OFFICER</x:v>
      </x:c>
      <x:c r="L28" s="58" t="str">
        <x:v>The bank records provider, privacy, residency, retention and model-version approval. If absent, deterministic narration remains the only permitted path.</x:v>
      </x:c>
    </x:row>
    <x:row r="29">
      <x:c r="A29" s="58" t="str">
        <x:v>SHADOW_READY__TO__PILOT_READY</x:v>
      </x:c>
      <x:c r="B29" s="58" t="str">
        <x:v>rm-pilot-protocol-approved</x:v>
      </x:c>
      <x:c r="C29" s="58" t="str">
        <x:v>A named cohort, consent basis, training, support, exclusions and incident protocol are approved before exposure.</x:v>
      </x:c>
      <x:c r="D29" s="58" t="str">
        <x:v>CRITICAL</x:v>
      </x:c>
      <x:c r="E29" s="58" t="str">
        <x:v>YES</x:v>
      </x:c>
      <x:c r="F29" s="58" t="str">
        <x:v>NOT_EVALUATED</x:v>
      </x:c>
      <x:c r="G29" s="58" t="str">
        <x:v>PASS</x:v>
      </x:c>
      <x:c r="H29" s="58" t="str">
        <x:v>SYNTHETIC_REHEARSAL</x:v>
      </x:c>
      <x:c r="I29" s="58" t="str">
        <x:v>SIGNED_REHEARSAL</x:v>
      </x:c>
      <x:c r="J29" s="58" t="str">
        <x:v>COMMERCIAL_BANKING</x:v>
      </x:c>
      <x:c r="K29" s="58" t="str">
        <x:v>HEAD_OF_COVERAGE</x:v>
      </x:c>
      <x:c r="L29" s="58" t="str">
        <x:v>Business, Risk and Operations approve the cohort and protocol, with no automated client contact, pricing, credit or booking.</x:v>
      </x:c>
    </x:row>
    <x:row r="30">
      <x:c r="A30" s="58" t="str">
        <x:v>PILOT_READY__TO__SCALE_READY</x:v>
      </x:c>
      <x:c r="B30" s="58" t="str">
        <x:v>supervised-pilot-completed</x:v>
      </x:c>
      <x:c r="C30" s="58" t="str">
        <x:v>A named RM cohort completes at least five real supervised sessions each, with recorded outcomes.</x:v>
      </x:c>
      <x:c r="D30" s="58" t="str">
        <x:v>CRITICAL</x:v>
      </x:c>
      <x:c r="E30" s="58" t="str">
        <x:v>YES</x:v>
      </x:c>
      <x:c r="F30" s="58" t="str">
        <x:v>NOT_EVALUATED</x:v>
      </x:c>
      <x:c r="G30" s="58" t="str">
        <x:v>PASS</x:v>
      </x:c>
      <x:c r="H30" s="58" t="str">
        <x:v>SYNTHETIC_REHEARSAL</x:v>
      </x:c>
      <x:c r="I30" s="58" t="str">
        <x:v>SIGNED_REHEARSAL</x:v>
      </x:c>
      <x:c r="J30" s="58" t="str">
        <x:v>COMMERCIAL_BANKING</x:v>
      </x:c>
      <x:c r="K30" s="58" t="str">
        <x:v>HEAD_OF_COVERAGE</x:v>
      </x:c>
      <x:c r="L30" s="58" t="str">
        <x:v>Real RMs run real client sessions. Fixture persona sessions carry real_participant=False by construction and can never satisfy this.</x:v>
      </x:c>
    </x:row>
    <x:row r="31">
      <x:c r="A31" s="58" t="str">
        <x:v>PILOT_READY__TO__SCALE_READY</x:v>
      </x:c>
      <x:c r="B31" s="58" t="str">
        <x:v>bank-approved-economics-registered</x:v>
      </x:c>
      <x:c r="C31" s="58" t="str">
        <x:v>Every monetised value traces to a bank-approved, in-date rate card.</x:v>
      </x:c>
      <x:c r="D31" s="58" t="str">
        <x:v>CRITICAL</x:v>
      </x:c>
      <x:c r="E31" s="58" t="str">
        <x:v>YES</x:v>
      </x:c>
      <x:c r="F31" s="58" t="str">
        <x:v>NOT_EVALUATED</x:v>
      </x:c>
      <x:c r="G31" s="58" t="str">
        <x:v>PASS</x:v>
      </x:c>
      <x:c r="H31" s="58" t="str">
        <x:v>SYNTHETIC_REHEARSAL</x:v>
      </x:c>
      <x:c r="I31" s="58" t="str">
        <x:v>SIGNED_REHEARSAL</x:v>
      </x:c>
      <x:c r="J31" s="58" t="str">
        <x:v>PRODUCT_FINANCE</x:v>
      </x:c>
      <x:c r="K31" s="58" t="str">
        <x:v>FINANCE_CONTROLLER</x:v>
      </x:c>
      <x:c r="L31" s="58" t="str">
        <x:v>Product finance approves rate cards covering every product in the grid and registers them with expiry dates.</x:v>
      </x:c>
    </x:row>
    <x:row r="32">
      <x:c r="A32" s="58" t="str">
        <x:v>PILOT_READY__TO__SCALE_READY</x:v>
      </x:c>
      <x:c r="B32" s="58" t="str">
        <x:v>rollback-restores-prior-state</x:v>
      </x:c>
      <x:c r="C32" s="58" t="str">
        <x:v>A rehearsed rollback restores the previous model alias and its outputs exactly.</x:v>
      </x:c>
      <x:c r="D32" s="58" t="str">
        <x:v>HIGH</x:v>
      </x:c>
      <x:c r="E32" s="58" t="str">
        <x:v>YES</x:v>
      </x:c>
      <x:c r="F32" s="58" t="str">
        <x:v>NOT_EVALUATED</x:v>
      </x:c>
      <x:c r="G32" s="58" t="str">
        <x:v>PASS</x:v>
      </x:c>
      <x:c r="H32" s="58" t="str">
        <x:v>SYNTHETIC_REHEARSAL</x:v>
      </x:c>
      <x:c r="I32" s="58" t="str">
        <x:v>SIGNED_REHEARSAL</x:v>
      </x:c>
      <x:c r="J32" s="58" t="str">
        <x:v>PLATFORM_ENGINEERING</x:v>
      </x:c>
      <x:c r="K32" s="58" t="str">
        <x:v>HEAD_OF_OPERATIONS</x:v>
      </x:c>
      <x:c r="L32" s="58" t="str">
        <x:v>A rollback is exercised in the bank environment and the restored outputs are compared digest-for-digest.</x:v>
      </x:c>
    </x:row>
    <x:row r="33">
      <x:c r="A33" s="58" t="str">
        <x:v>PILOT_READY__TO__SCALE_READY</x:v>
      </x:c>
      <x:c r="B33" s="58" t="str">
        <x:v>e3-multibank-observation-approved</x:v>
      </x:c>
      <x:c r="C33" s="58" t="str">
        <x:v>An approved panel provides multibank observation sufficient to identify competitor share.</x:v>
      </x:c>
      <x:c r="D33" s="58" t="str">
        <x:v>HIGH</x:v>
      </x:c>
      <x:c r="E33" s="58" t="str">
        <x:v>NO</x:v>
      </x:c>
      <x:c r="F33" s="58" t="str">
        <x:v>NOT_EVALUATED</x:v>
      </x:c>
      <x:c r="G33" s="58" t="str">
        <x:v>PASS</x:v>
      </x:c>
      <x:c r="H33" s="58" t="str">
        <x:v>SYNTHETIC_REHEARSAL</x:v>
      </x:c>
      <x:c r="I33" s="58" t="str">
        <x:v>SIGNED_REHEARSAL</x:v>
      </x:c>
      <x:c r="J33" s="58" t="str">
        <x:v>DATA_STRATEGY</x:v>
      </x:c>
      <x:c r="K33" s="58" t="str">
        <x:v>CHIEF_DATA_OFFICER</x:v>
      </x:c>
      <x:c r="L33" s="58" t="str">
        <x:v>A multibank data source is contracted, approved and calibrated. Until then MEASURED_SHARE_REPORTING stays refused — this gate does not block hidden shadow scoring, which needs no share measurement.</x:v>
      </x:c>
    </x:row>
    <x:row r="34">
      <x:c r="A34" s="58" t="str">
        <x:v>PILOT_READY__TO__SCALE_READY</x:v>
      </x:c>
      <x:c r="B34" s="58" t="str">
        <x:v>pilot-findings-remediated</x:v>
      </x:c>
      <x:c r="C34" s="58" t="str">
        <x:v>Every critical or high pilot finding is closed or carries an accountable, time-bound accepted risk decision.</x:v>
      </x:c>
      <x:c r="D34" s="58" t="str">
        <x:v>CRITICAL</x:v>
      </x:c>
      <x:c r="E34" s="58" t="str">
        <x:v>YES</x:v>
      </x:c>
      <x:c r="F34" s="58" t="str">
        <x:v>NOT_EVALUATED</x:v>
      </x:c>
      <x:c r="G34" s="58" t="str">
        <x:v>PASS</x:v>
      </x:c>
      <x:c r="H34" s="58" t="str">
        <x:v>SYNTHETIC_REHEARSAL</x:v>
      </x:c>
      <x:c r="I34" s="58" t="str">
        <x:v>SIGNED_REHEARSAL</x:v>
      </x:c>
      <x:c r="J34" s="58" t="str">
        <x:v>PRODUCT_OWNER</x:v>
      </x:c>
      <x:c r="K34" s="58" t="str">
        <x:v>MODEL_RISK</x:v>
      </x:c>
      <x:c r="L34" s="58" t="str">
        <x:v>The pilot issue register is reconciled to zero unresolved critical/high findings and the closure is independently checked.</x:v>
      </x:c>
    </x:row>
    <x:row r="35">
      <x:c r="A35" s="58" t="str">
        <x:v>PILOT_READY__TO__SCALE_READY</x:v>
      </x:c>
      <x:c r="B35" s="58" t="str">
        <x:v>scale-operating-model-approved</x:v>
      </x:c>
      <x:c r="C35" s="58" t="str">
        <x:v>On-call ownership, change controls, incident response, capacity, disaster recovery and rollback are approved for controlled scale.</x:v>
      </x:c>
      <x:c r="D35" s="58" t="str">
        <x:v>CRITICAL</x:v>
      </x:c>
      <x:c r="E35" s="58" t="str">
        <x:v>YES</x:v>
      </x:c>
      <x:c r="F35" s="58" t="str">
        <x:v>NOT_EVALUATED</x:v>
      </x:c>
      <x:c r="G35" s="58" t="str">
        <x:v>PASS</x:v>
      </x:c>
      <x:c r="H35" s="58" t="str">
        <x:v>SYNTHETIC_REHEARSAL</x:v>
      </x:c>
      <x:c r="I35" s="58" t="str">
        <x:v>SIGNED_REHEARSAL</x:v>
      </x:c>
      <x:c r="J35" s="58" t="str">
        <x:v>PRODUCTION_OPERATIONS</x:v>
      </x:c>
      <x:c r="K35" s="58" t="str">
        <x:v>HEAD_OF_OPERATIONS</x:v>
      </x:c>
      <x:c r="L35" s="58" t="str">
        <x:v>Operations, Security and Business approve the runbook and independently observe a production-shaped restore, failover and rollback test.</x:v>
      </x:c>
    </x:row>
    <x:row r="36">
      <x:c r="A36" s="58" t="str">
        <x:v>SCALE_READY__TO__CAUSAL_CHAMPION</x:v>
      </x:c>
      <x:c r="B36" s="58" t="str">
        <x:v>randomised-trial-validated</x:v>
      </x:c>
      <x:c r="C36" s="58" t="str">
        <x:v>A pre-registered cluster-randomised trial reports an ITT effect with cluster-robust inference and randomization-inference confirmation.</x:v>
      </x:c>
      <x:c r="D36" s="58" t="str">
        <x:v>CRITICAL</x:v>
      </x:c>
      <x:c r="E36" s="58" t="str">
        <x:v>YES</x:v>
      </x:c>
      <x:c r="F36" s="58" t="str">
        <x:v>NOT_EVALUATED</x:v>
      </x:c>
      <x:c r="G36" s="58" t="str">
        <x:v>PASS</x:v>
      </x:c>
      <x:c r="H36" s="58" t="str">
        <x:v>SYNTHETIC_REHEARSAL</x:v>
      </x:c>
      <x:c r="I36" s="58" t="str">
        <x:v>SIGNED_REHEARSAL</x:v>
      </x:c>
      <x:c r="J36" s="58" t="str">
        <x:v>DATA_SCIENCE</x:v>
      </x:c>
      <x:c r="K36" s="58" t="str">
        <x:v>CHIEF_RISK_OFFICER</x:v>
      </x:c>
      <x:c r="L36" s="58" t="str">
        <x:v>The bank runs a pre-registered cluster-randomised trial to its planned sample size and the analysis is independently reviewed.</x:v>
      </x:c>
    </x:row>
    <x:row r="37">
      <x:c r="A37" s="58" t="str">
        <x:v>SCALE_READY__TO__CAUSAL_CHAMPION</x:v>
      </x:c>
      <x:c r="B37" s="58" t="str">
        <x:v>trial-first-stage-strength-adequate</x:v>
      </x:c>
      <x:c r="C37" s="58" t="str">
        <x:v>First-stage compliance strength is at or above 0.10.</x:v>
      </x:c>
      <x:c r="D37" s="58" t="str">
        <x:v>CRITICAL</x:v>
      </x:c>
      <x:c r="E37" s="58" t="str">
        <x:v>YES</x:v>
      </x:c>
      <x:c r="F37" s="58" t="str">
        <x:v>NOT_EVALUATED</x:v>
      </x:c>
      <x:c r="G37" s="58" t="str">
        <x:v>PASS</x:v>
      </x:c>
      <x:c r="H37" s="58" t="str">
        <x:v>SYNTHETIC_REHEARSAL</x:v>
      </x:c>
      <x:c r="I37" s="58" t="str">
        <x:v>SIGNED_REHEARSAL</x:v>
      </x:c>
      <x:c r="J37" s="58" t="str">
        <x:v>DATA_SCIENCE</x:v>
      </x:c>
      <x:c r="K37" s="58" t="str">
        <x:v>MODEL_RISK</x:v>
      </x:c>
      <x:c r="L37" s="58" t="str">
        <x:v>Observed compliance in the trial reaches the pre-registered strength threshold. If it does not, the honest outcome is a null result and the system stays SCALE_READY.</x:v>
      </x:c>
    </x:row>
    <x:row r="38">
      <x:c r="A38" s="58" t="str">
        <x:v>SCALE_READY__TO__CAUSAL_CHAMPION</x:v>
      </x:c>
      <x:c r="B38" s="58" t="str">
        <x:v>sustained-adoption</x:v>
      </x:c>
      <x:c r="C38" s="58" t="str">
        <x:v>The RM cohort sustains use beyond the supervised period without prompting.</x:v>
      </x:c>
      <x:c r="D38" s="58" t="str">
        <x:v>HIGH</x:v>
      </x:c>
      <x:c r="E38" s="58" t="str">
        <x:v>YES</x:v>
      </x:c>
      <x:c r="F38" s="58" t="str">
        <x:v>NOT_EVALUATED</x:v>
      </x:c>
      <x:c r="G38" s="58" t="str">
        <x:v>PASS</x:v>
      </x:c>
      <x:c r="H38" s="58" t="str">
        <x:v>SYNTHETIC_REHEARSAL</x:v>
      </x:c>
      <x:c r="I38" s="58" t="str">
        <x:v>SIGNED_REHEARSAL</x:v>
      </x:c>
      <x:c r="J38" s="58" t="str">
        <x:v>COMMERCIAL_BANKING</x:v>
      </x:c>
      <x:c r="K38" s="58" t="str">
        <x:v>HEAD_OF_COVERAGE</x:v>
      </x:c>
      <x:c r="L38" s="58" t="str">
        <x:v>Adoption is measured from real RM sessions over a sustained window.</x:v>
      </x:c>
    </x:row>
  </x:sheetData>
  <x:mergeCells>
    <x:mergeCell ref="A1:L1"/>
    <x:mergeCell ref="A2:L2"/>
  </x:mergeCells>
  <x:conditionalFormatting sqref="F9:F38">
    <x:cfRule type="containsText" dxfId="6" priority="1" operator="containsText" text="PASS"/>
  </x:conditionalFormatting>
  <x:conditionalFormatting sqref="G9:G38">
    <x:cfRule type="containsText" dxfId="7" priority="2" operator="containsText" text="PASS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V3.2 Register Control Checks</x:v>
      </x:c>
      <x:c r="B1" s="3"/>
      <x:c r="C1" s="3"/>
      <x:c r="D1" s="3"/>
      <x:c r="E1" s="3"/>
      <x:c r="F1" s="3"/>
    </x:row>
    <x:row r="2" ht="26" customHeight="1">
      <x:c r="A2" s="7" t="str">
        <x:v>Workbook checks validate artifact integrity; they do not authorize bank promotion.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  <x:row r="20">
      <x:c r="A20" s="58" t="str">
        <x:v>Promotion gate count</x:v>
      </x:c>
      <x:c r="B20" s="58" t="n">
        <x:v>30</x:v>
      </x:c>
      <x:c r="C20" s="58" t="n">
        <x:f>COUNTA('Promotion Readiness'!B9:B200)</x:f>
        <x:v>30</x:v>
      </x:c>
      <x:c r="D20" s="58" t="str">
        <x:f>IF(ABS(C20-B20)&lt;0.0001,"PASS","FAIL")</x:f>
        <x:v>PASS</x:v>
      </x:c>
      <x:c r="E20" s="58" t="str">
        <x:v>Every governed promotion gate is visible</x:v>
      </x:c>
      <x:c r="F20" s="58" t="str">
        <x:v>Model risk</x:v>
      </x:c>
    </x:row>
    <x:row r="21">
      <x:c r="A21" s="58" t="str">
        <x:v>Elapsed bank shadow days</x:v>
      </x:c>
      <x:c r="B21" s="58" t="n">
        <x:v>0</x:v>
      </x:c>
      <x:c r="C21" s="58" t="n">
        <x:f>'Promotion Readiness'!G5</x:f>
        <x:v>0</x:v>
      </x:c>
      <x:c r="D21" s="58" t="str">
        <x:f>IF(ABS(C21-B21)&lt;0.0001,"PASS","FAIL")</x:f>
        <x:v>PASS</x:v>
      </x:c>
      <x:c r="E21" s="58" t="str">
        <x:v>Virtual time never becomes bank time</x:v>
      </x:c>
      <x:c r="F21" s="58" t="str">
        <x:v>Operations</x:v>
      </x:c>
    </x:row>
    <x:row r="22">
      <x:c r="A22" s="58" t="str">
        <x:v>Bank evidence readiness</x:v>
      </x:c>
      <x:c r="B22" s="58" t="n">
        <x:v>0</x:v>
      </x:c>
      <x:c r="C22" s="58" t="n">
        <x:f>'Promotion Readiness'!E5</x:f>
        <x:v>0</x:v>
      </x:c>
      <x:c r="D22" s="58" t="str">
        <x:f>IF(ABS(C22-B22)&lt;0.0001,"PASS","FAIL")</x:f>
        <x:v>PASS</x:v>
      </x:c>
      <x:c r="E22" s="58" t="str">
        <x:v>Synthetic evidence contributes zero to BER</x:v>
      </x:c>
      <x:c r="F22" s="58" t="str">
        <x:v>Model risk</x:v>
      </x:c>
    </x:row>
  </x:sheetData>
  <x:mergeCells>
    <x:mergeCell ref="A1:F1"/>
    <x:mergeCell ref="A2:F2"/>
  </x:mergeCells>
  <x:conditionalFormatting sqref="D5:D22">
    <x:cfRule type="containsText" dxfId="8" priority="1" operator="containsText" text="PASS"/>
    <x:cfRule type="containsText" dxfId="9" priority="2" operator="containsText" text="FAIL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2f43e8fb0cb14fa4"/>
</x:worksheet>
</file>