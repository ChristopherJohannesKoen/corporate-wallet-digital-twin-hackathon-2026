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f89c17b24544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380f9c27d3944774"/>
    <x:sheet xmlns:r="http://schemas.openxmlformats.org/officeDocument/2006/relationships" name="Public Facts" sheetId="2" r:id="Rfffcb405ec464c1c"/>
    <x:sheet xmlns:r="http://schemas.openxmlformats.org/officeDocument/2006/relationships" name="Client Coverage" sheetId="3" r:id="R48c193a887c4416e"/>
    <x:sheet xmlns:r="http://schemas.openxmlformats.org/officeDocument/2006/relationships" name="Approved Anchors" sheetId="4" r:id="Rd66998ed3cc04402"/>
    <x:sheet xmlns:r="http://schemas.openxmlformats.org/officeDocument/2006/relationships" name="Wallet Decision Impact" sheetId="5" r:id="R49c40c130e0d45ea"/>
    <x:sheet xmlns:r="http://schemas.openxmlformats.org/officeDocument/2006/relationships" name="Evidence Queue" sheetId="6" r:id="R631bd8a5e6674ca9"/>
    <x:sheet xmlns:r="http://schemas.openxmlformats.org/officeDocument/2006/relationships" name="Sensitivity" sheetId="7" r:id="Rde69964a6bf84944"/>
    <x:sheet xmlns:r="http://schemas.openxmlformats.org/officeDocument/2006/relationships" name="Promotion Readiness" sheetId="8" r:id="R858c58fbb73144bb"/>
    <x:sheet xmlns:r="http://schemas.openxmlformats.org/officeDocument/2006/relationships" name="Checks" sheetId="9" r:id="Rf02af7084cc44489"/>
    <x:sheet xmlns:r="http://schemas.openxmlformats.org/officeDocument/2006/relationships" name="Sources" sheetId="10" r:id="R85030ef8203c4a51"/>
  </x:sheets>
</x:workbook>
</file>

<file path=xl/comments1.xml><?xml version="1.0" encoding="utf-8"?>
<x:comments xmlns:x="http://schemas.openxmlformats.org/spreadsheetml/2006/main">
  <x:authors>
    <x:author>tc={0AF4FEDA-AC03-3F9A-4677-E614750C0BE6}</x:author>
    <x:author>tc={7B13601B-A686-D1F6-E2C3-2DEAACC41826}</x:author>
    <x:author>tc={10B9DE82-DAAF-597E-4424-E67283E9A4F8}</x:author>
    <x:author>tc={9DDF9D19-AAB7-35C6-6EAB-ADE447886907}</x:author>
    <x:author>tc={CEC6EDDA-4333-DE39-19A1-CD6C28B0071E}</x:author>
    <x:author>tc={9E0A3C03-F7F7-40B8-594C-1134A321AF12}</x:author>
    <x:author>tc={6A469CC5-9E84-42E7-A4A2-5046B5EB797A}</x:author>
    <x:author>tc={49F38930-D4FC-9148-B4AB-7B8868A6B1C4}</x:author>
    <x:author>tc={6AE471B8-00A6-D8CA-E30E-F2F43B242CB2}</x:author>
    <x:author>tc={070A3F26-F4D3-3501-5B26-B76E24181EE6}</x:author>
    <x:author>tc={DB4AA7DC-83F7-AA9C-6650-AC0FBB081C37}</x:author>
    <x:author>tc={E8A6B8CE-ACDD-0EA3-3036-3FEA4BE387E5}</x:author>
    <x:author>tc={F5132FA4-62BD-C63C-B25A-A7E1FE946B04}</x:author>
    <x:author>tc={924A75EC-79F9-BE2D-03E1-123D59F3BF71}</x:author>
    <x:author>tc={7DFAAAEE-9F37-70B4-1295-82F48891DA0C}</x:author>
    <x:author>tc={E2EA446D-49CF-67B3-25D3-448163193339}</x:author>
    <x:author>tc={130AC7D8-E99A-FB9E-EC90-C0CC209F65EE}</x:author>
    <x:author>tc={DFEDA6A7-98B9-D90B-F8E4-87463C1ABE71}</x:author>
    <x:author>tc={F908D626-E856-7A2E-B578-6FFFAF10A067}</x:author>
    <x:author>tc={4691BC9F-FA65-4FBB-BE88-C3485B37BF5B}</x:author>
    <x:author>tc={54D1659D-A9A9-797D-09FE-9CCD3046EB3B}</x:author>
    <x:author>tc={32021335-239B-D7CF-C593-02492073755E}</x:author>
    <x:author>tc={2D4C52F2-DF0E-98A8-DBAD-465EFEA6430C}</x:author>
    <x:author>tc={4F673CEB-0DB2-16EC-1BF9-E9916FC0D89C}</x:author>
    <x:author>tc={8C766CE4-DCA4-0227-2719-EC43FBE4EB3E}</x:author>
    <x:author>tc={030B07FB-3D16-4698-B4D5-9BFD808ED081}</x:author>
    <x:author>tc={BB835A0A-AC15-BD40-37D2-BB2D5D7D1A29}</x:author>
    <x:author>tc={ACE1C8E0-F10B-F24B-C4C3-09990BA1EAF5}</x:author>
    <x:author>tc={89E2F11B-ECCC-3429-226F-74770117AB92}</x:author>
    <x:author>tc={FE94A6DE-84F6-0201-3EFF-69B3D6B7D622}</x:author>
    <x:author>tc={5FADB78B-442A-2857-7CCC-D525C440BCCF}</x:author>
    <x:author>tc={33238565-3127-12AD-ACAF-5A83E4E3101E}</x:author>
    <x:author>tc={DBA819E1-2CFB-40C0-8E60-4EBBB4963742}</x:author>
    <x:author>tc={831BC617-DC59-E847-0D3A-95946FD8D988}</x:author>
    <x:author>tc={9625D7E8-9A23-1EEE-66C1-3D1F41528532}</x:author>
    <x:author>tc={36A13555-305E-B2C5-2B7A-87476C5BA766}</x:author>
    <x:author>tc={69541CEA-6E11-BC48-6898-36AE3D548AB4}</x:author>
    <x:author>tc={12AFE746-FDD9-963F-DCFD-DC968D22FFA6}</x:author>
    <x:author>tc={425C83BD-D4DC-BDED-071D-487523F8AC3F}</x:author>
    <x:author>tc={2D72A011-0216-7D35-09A3-D704E88BAEE3}</x:author>
    <x:author>tc={86FBCAB8-88A0-F97B-4FA1-13C4BEAA369D}</x:author>
    <x:author>tc={9185AC7C-5FA5-8BAE-5D74-F86F31883FC5}</x:author>
    <x:author>tc={8F348568-9728-931E-D9B2-061F382ED13A}</x:author>
    <x:author>tc={E5746BEC-90A8-ABA0-16B5-A6A9F11A2C96}</x:author>
    <x:author>tc={4B1E6C62-4809-1469-5784-9EA7A65F2E2D}</x:author>
    <x:author>tc={271EEFA8-492B-5EC5-67E3-8B28D1AE9871}</x:author>
    <x:author>tc={3430FD27-2DAA-4633-A322-0688F2FCD467}</x:author>
    <x:author>tc={8D7DF3C9-36A9-2E8C-6160-11B116238A97}</x:author>
    <x:author>tc={31933AFB-CA47-471A-E7EB-D7E5B693D87A}</x:author>
    <x:author>tc={CEB8E96A-F9CE-D6E4-1345-25BEA6D4853C}</x:author>
    <x:author>tc={CE8B63E6-EC70-4885-EBBF-C61B84B9BD02}</x:author>
    <x:author>tc={1236AB2A-50DD-58C5-F0CF-0A77396ECCB9}</x:author>
    <x:author>tc={23B809AB-666E-3843-AA8B-2E06C9D6735C}</x:author>
    <x:author>tc={F9218197-D7D7-96FC-5DEE-19E1B89C6668}</x:author>
    <x:author>tc={49C564EF-C6E1-AA3E-BAE6-F9B6B7DAF702}</x:author>
    <x:author>tc={6A34B57F-09E3-5DA4-9CDF-BDD9AFC15C62}</x:author>
    <x:author>tc={EA67CC0C-3B7B-6001-4E9C-C907CB9A2E41}</x:author>
    <x:author>tc={2C705125-9621-DC7B-9356-1AFFFB014183}</x:author>
    <x:author>tc={4127462E-7049-10C8-6E6D-2726FCAFA040}</x:author>
    <x:author>tc={DDC7860C-4BF8-FE8E-AB94-BF36F51E4742}</x:author>
    <x:author>tc={355CD349-BEF2-1F91-3717-B7779FC267B7}</x:author>
    <x:author>tc={BE707954-D4F8-3036-E784-0F6EF373E3B1}</x:author>
    <x:author>tc={30C17E09-F415-E5D5-1412-983D6592AE59}</x:author>
    <x:author>tc={946D1FE7-F4AA-6563-A358-3F55219C3AED}</x:author>
    <x:author>tc={FF9DEADC-5F2B-2C71-0EDD-31A65A1DAC80}</x:author>
    <x:author>tc={99FA21E2-86C5-2A76-2880-8215954AA3D4}</x:author>
    <x:author>tc={901E21A1-49DD-A0DA-0A10-1EDE8076C1B3}</x:author>
    <x:author>tc={FCB3C38E-B0AF-A412-700D-4D9A9D2C2741}</x:author>
    <x:author>tc={9382A565-2A1D-550E-54B1-678F98943EC6}</x:author>
    <x:author>tc={40576489-4A24-6AA0-06F2-24F75770098B}</x:author>
    <x:author>tc={D80EF366-6BBD-D5AC-E71F-5666ED857ED8}</x:author>
    <x:author>tc={8E28E375-5E9B-B43C-02D8-1D69B6DBCCB7}</x:author>
    <x:author>tc={C52D303F-E26F-AEB2-82AD-C196257D053A}</x:author>
    <x:author>tc={AD3CBF1C-654B-022F-1CCE-E3B6B02846E3}</x:author>
    <x:author>tc={2EEF0622-B8D5-960E-069D-57BC28C46AE4}</x:author>
    <x:author>tc={C7A17400-8C3D-04F3-BB45-75623A8D8379}</x:author>
    <x:author>tc={9CB15BCB-A81F-4C51-B6D7-CA70F830A75F}</x:author>
    <x:author>tc={9CDE5188-52E3-BEBE-AC4D-8F98AC717AA6}</x:author>
    <x:author>tc={96D773F7-6FC9-4DF1-46BC-3C5A65EBE44A}</x:author>
    <x:author>tc={69BF4FC0-9856-F2BC-F517-9DC02348AB96}</x:author>
    <x:author>tc={EF1A8A33-3E41-8002-8157-23C7596AF4CA}</x:author>
    <x:author>tc={CBA415B4-31A9-6F43-882D-D511ADAA6836}</x:author>
  </x:authors>
  <x:commentList>
    <x:comment ref="P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https://www.bhp.com/-/media/documents/investors/annual-reports/2025/250819_bhpannualreport2025.pdf
Page: 139
Available: 2025-08-19
SHA-256: seed-register-hash:BHP-2025-AP-CLOSE</x:t>
        </x:r>
      </x:text>
    </x:comment>
    <x:comment ref="P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https://www.bhp.com/-/media/documents/investors/annual-reports/2025/250819_bhpannualreport2025.pdf
Page: 139
Available: 2025-08-19
SHA-256: seed-register-hash:BHP-2025-AP-OPEN</x:t>
        </x:r>
      </x:text>
    </x:comment>
    <x:comment ref="P7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https://www.bhp.com/-/media/documents/investors/annual-reports/2025/250819_bhpannualreport2025.pdf
Page: 139
Available: 2025-08-19
SHA-256: seed-register-hash:BHP-2025-AR-CLOSE</x:t>
        </x:r>
      </x:text>
    </x:comment>
    <x:comment ref="P8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https://www.bhp.com/-/media/documents/investors/annual-reports/2025/250819_bhpannualreport2025.pdf
Page: 139
Available: 2025-08-19
SHA-256: seed-register-hash:BHP-2025-AR-OPEN</x:t>
        </x:r>
      </x:text>
    </x:comment>
    <x:comment ref="P9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https://www.bhp.com/-/media/documents/investors/annual-reports/2025/250819_bhpannualreport2025.pdf
Page: 118
Available: 2025-08-19
SHA-256: seed-register-hash:BHP-2025-COST</x:t>
        </x:r>
      </x:text>
    </x:comment>
    <x:comment ref="P10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https://www.bhp.com/-/media/documents/investors/annual-reports/2025/250819_bhpannualreport2025.pdf
Page: 119
Available: 2025-08-19
SHA-256: seed-register-hash:BHP-2025-DEBT</x:t>
        </x:r>
      </x:text>
    </x:comment>
    <x:comment ref="P1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https://www.bhp.com/-/media/documents/investors/annual-reports/2025/250819_bhpannualreport2025.pdf
Page: 160
Available: 2025-08-19
SHA-256: seed-register-hash:BHP-2025-FX</x:t>
        </x:r>
      </x:text>
    </x:comment>
    <x:comment ref="P12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https://www.bhp.com/-/media/documents/investors/annual-reports/2025/250819_bhpannualreport2025.pdf
Page: 139
Available: 2025-08-19
SHA-256: seed-register-hash:BHP-2025-INV-CLOSE</x:t>
        </x:r>
      </x:text>
    </x:comment>
    <x:comment ref="P13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https://www.bhp.com/-/media/documents/investors/annual-reports/2025/250819_bhpannualreport2025.pdf
Page: 139
Available: 2025-08-19
SHA-256: seed-register-hash:BHP-2025-INV-OPEN</x:t>
        </x:r>
      </x:text>
    </x:comment>
    <x:comment ref="P14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https://www.bhp.com/-/media/documents/investors/annual-reports/2025/250819_bhpannualreport2025.pdf
Page: 118
Available: 2025-08-19
SHA-256: seed-register-hash:BHP-2025-REV</x:t>
        </x:r>
      </x:text>
    </x:comment>
    <x:comment ref="P15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https://www.glencore.com/.rest/api/v1/documents/static/9b103e11-72e7-40bf-ae7c-eabe57361522/GLEN-2025-Annual-Report.pdf
Page: 205
Available: 2026-03-10
SHA-256: seed-register-hash:GLEN-2025-AP-CLOSE</x:t>
        </x:r>
      </x:text>
    </x:comment>
    <x:comment ref="P16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https://www.glencore.com/.rest/api/v1/documents/static/9b103e11-72e7-40bf-ae7c-eabe57361522/GLEN-2025-Annual-Report.pdf
Page: 205
Available: 2026-03-10
SHA-256: seed-register-hash:GLEN-2025-AP-OPEN</x:t>
        </x:r>
      </x:text>
    </x:comment>
    <x:comment ref="P17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https://www.glencore.com/.rest/api/v1/documents/static/9b103e11-72e7-40bf-ae7c-eabe57361522/GLEN-2025-Annual-Report.pdf
Page: 186
Available: 2026-03-10
SHA-256: seed-register-hash:GLEN-2025-AR-CLOSE</x:t>
        </x:r>
      </x:text>
    </x:comment>
    <x:comment ref="P18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https://www.glencore.com/.rest/api/v1/documents/static/9b103e11-72e7-40bf-ae7c-eabe57361522/GLEN-2025-Annual-Report.pdf
Page: 186
Available: 2026-03-10
SHA-256: seed-register-hash:GLEN-2025-AR-OPEN</x:t>
        </x:r>
      </x:text>
    </x:comment>
    <x:comment ref="P19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https://www.glencore.com/.rest/api/v1/documents/static/9b103e11-72e7-40bf-ae7c-eabe57361522/GLEN-2025-Annual-Report.pdf
Page: 136
Available: 2026-03-10
SHA-256: seed-register-hash:GLEN-2025-COST</x:t>
        </x:r>
      </x:text>
    </x:comment>
    <x:comment ref="P20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https://www.glencore.com/.rest/api/v1/documents/static/9b103e11-72e7-40bf-ae7c-eabe57361522/GLEN-2025-Annual-Report.pdf
Page: 138
Available: 2026-03-10
SHA-256: seed-register-hash:GLEN-2025-DEBT</x:t>
        </x:r>
      </x:text>
    </x:comment>
    <x:comment ref="P21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https://www.glencore.com/.rest/api/v1/documents/static/9b103e11-72e7-40bf-ae7c-eabe57361522/GLEN-2025-Annual-Report.pdf
Page: 212
Available: 2026-03-10
SHA-256: seed-register-hash:GLEN-2025-FX</x:t>
        </x:r>
      </x:text>
    </x:comment>
    <x:comment ref="P22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https://www.glencore.com/.rest/api/v1/documents/static/9b103e11-72e7-40bf-ae7c-eabe57361522/GLEN-2025-Annual-Report.pdf
Page: 185
Available: 2026-03-10
SHA-256: seed-register-hash:GLEN-2025-INV-CLOSE</x:t>
        </x:r>
      </x:text>
    </x:comment>
    <x:comment ref="P23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https://www.glencore.com/.rest/api/v1/documents/static/9b103e11-72e7-40bf-ae7c-eabe57361522/GLEN-2025-Annual-Report.pdf
Page: 185
Available: 2026-03-10
SHA-256: seed-register-hash:GLEN-2025-INV-OPEN</x:t>
        </x:r>
      </x:text>
    </x:comment>
    <x:comment ref="P24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https://www.glencore.com/.rest/api/v1/documents/static/9b103e11-72e7-40bf-ae7c-eabe57361522/GLEN-2025-Annual-Report.pdf
Page: 136
Available: 2026-03-10
SHA-256: seed-register-hash:GLEN-2025-REV</x:t>
        </x:r>
      </x:text>
    </x:comment>
    <x:comment ref="P25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https://www.angloamerican.com/~/media/Files/A/Anglo-American-Group-v9/PLC/investors/annual-reporting/2025/aa-annual-report-full-2025.pdf
Page: 274
Available: 2026-03-02
SHA-256: 362b9ebb43ca8ce3cf0a87f5ba174047ab499c4cd8f5a48eeb1bf83530a176fb</x:t>
        </x:r>
      </x:text>
    </x:comment>
    <x:comment ref="P26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https://www.angloamerican.com/~/media/Files/A/Anglo-American-Group-v9/PLC/investors/annual-reporting/2025/aa-annual-report-full-2025.pdf
Page: 274
Available: 2026-03-02
SHA-256: 362b9ebb43ca8ce3cf0a87f5ba174047ab499c4cd8f5a48eeb1bf83530a176fb</x:t>
        </x:r>
      </x:text>
    </x:comment>
    <x:comment ref="P27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https://www.angloamerican.com/~/media/Files/A/Anglo-American-Group-v9/PLC/investors/annual-reporting/2025/aa-annual-report-full-2025.pdf
Page: 272
Available: 2026-03-02
SHA-256: 362b9ebb43ca8ce3cf0a87f5ba174047ab499c4cd8f5a48eeb1bf83530a176fb</x:t>
        </x:r>
      </x:text>
    </x:comment>
    <x:comment ref="P28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https://reports.anglogoldashanti.com/25/download/AGA-AR25.pdf
Page: 160
Available: 2026-03-26
SHA-256: 958d89150d1125af3eb9032ac7f3c9da2c22c8bfd67e8447c688c8ad0c21dd35</x:t>
        </x:r>
      </x:text>
    </x:comment>
    <x:comment ref="P29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https://reports.anglogoldashanti.com/25/download/AGA-AR25.pdf
Page: 160
Available: 2026-03-26
SHA-256: 958d89150d1125af3eb9032ac7f3c9da2c22c8bfd67e8447c688c8ad0c21dd35</x:t>
        </x:r>
      </x:text>
    </x:comment>
    <x:comment ref="P30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https://reports.anglogoldashanti.com/25/download/AGA-AR25.pdf
Page: 158
Available: 2026-03-26
SHA-256: 958d89150d1125af3eb9032ac7f3c9da2c22c8bfd67e8447c688c8ad0c21dd35</x:t>
        </x:r>
      </x:text>
    </x:comment>
    <x:comment ref="P31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https://www.goldfields.com/pdf/investors/integrated-annual-reports/2025/afs-2025.pdf
Page: 74
Available: 2026-03-27
SHA-256: 0819d8e37085aaa5adb8305c3bcdd5b5a9631cf40f594950beaeb6c77077fc0a</x:t>
        </x:r>
      </x:text>
    </x:comment>
    <x:comment ref="P32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https://www.goldfields.com/pdf/investors/integrated-annual-reports/2025/afs-2025.pdf
Page: 74
Available: 2026-03-27
SHA-256: 0819d8e37085aaa5adb8305c3bcdd5b5a9631cf40f594950beaeb6c77077fc0a</x:t>
        </x:r>
      </x:text>
    </x:comment>
    <x:comment ref="P33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https://www.goldfields.com/pdf/investors/integrated-annual-reports/2025/afs-2025.pdf
Page: 72
Available: 2026-03-27
SHA-256: 0819d8e37085aaa5adb8305c3bcdd5b5a9631cf40f594950beaeb6c77077fc0a</x:t>
        </x:r>
      </x:text>
    </x:comment>
    <x:comment ref="P34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https://www.valterraplatinum.com/wp-content/uploads/2026/05/annual-financial-statements-2025.pdf
Page: 25
Available: 2026-03-27
SHA-256: 84ab45295a07c93d3fa39a24962c05ac600f45ed2c9683b16b4dc2cc7ba170f8</x:t>
        </x:r>
      </x:text>
    </x:comment>
    <x:comment ref="P35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https://www.valterraplatinum.com/wp-content/uploads/2026/05/annual-financial-statements-2025.pdf
Page: 25
Available: 2026-03-27
SHA-256: 84ab45295a07c93d3fa39a24962c05ac600f45ed2c9683b16b4dc2cc7ba170f8</x:t>
        </x:r>
      </x:text>
    </x:comment>
    <x:comment ref="P36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https://www.valterraplatinum.com/wp-content/uploads/2026/05/annual-financial-statements-2025.pdf
Page: 24
Available: 2026-03-27
SHA-256: 84ab45295a07c93d3fa39a24962c05ac600f45ed2c9683b16b4dc2cc7ba170f8</x:t>
        </x:r>
      </x:text>
    </x:comment>
    <x:comment ref="P37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https://group.outsurance.co.za/globalassets/documents/investor-relations/reports-and-results/2025/ogl-annual-financial-statements-2025.pdf
Page: 21
Available: 2025-09-15
SHA-256: 3f03545e101a357d73e3f26863473adc341b4b0382ab2b8248b322900ef38b3c</x:t>
        </x:r>
      </x:text>
    </x:comment>
    <x:comment ref="P38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https://group.outsurance.co.za/globalassets/documents/investor-relations/reports-and-results/2025/ogl-annual-financial-statements-2025.pdf
Page: 21
Available: 2025-09-15
SHA-256: 3f03545e101a357d73e3f26863473adc341b4b0382ab2b8248b322900ef38b3c</x:t>
        </x:r>
      </x:text>
    </x:comment>
    <x:comment ref="P39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https://group.outsurance.co.za/globalassets/documents/investor-relations/reports-and-results/2025/ogl-annual-financial-statements-2025.pdf
Page: 19
Available: 2025-09-15
SHA-256: 3f03545e101a357d73e3f26863473adc341b4b0382ab2b8248b322900ef38b3c</x:t>
        </x:r>
      </x:text>
    </x:comment>
    <x:comment ref="P40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https://www.sanlam.com/downloads/integrated-report-and-annual-financial-statements/2024/Sanlam-AFS-2024-spreads.pdf
Page: 42
Available: 2025-03-07
SHA-256: fc2487f72420917e9c52f78bc4a7800a1e4270781aa2117632f69680b4ca14da</x:t>
        </x:r>
      </x:text>
    </x:comment>
    <x:comment ref="P41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https://www.sanlam.com/downloads/integrated-report-and-annual-financial-statements/2024/Sanlam-AFS-2024-spreads.pdf
Page: 42
Available: 2025-03-07
SHA-256: fc2487f72420917e9c52f78bc4a7800a1e4270781aa2117632f69680b4ca14da</x:t>
        </x:r>
      </x:text>
    </x:comment>
    <x:comment ref="P42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https://www.sanlam.com/downloads/integrated-report-and-annual-financial-statements/2024/Sanlam-AFS-2024-spreads.pdf
Page: 42
Available: 2025-03-07
SHA-256: fc2487f72420917e9c52f78bc4a7800a1e4270781aa2117632f69680b4ca14da</x:t>
        </x:r>
      </x:text>
    </x:comment>
    <x:comment ref="P43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https://www.shopriteholdings.co.za/docs/shp-afs-2025.pdf
Page: 18
Available: 2025-10-13
SHA-256: seed-register-hash:SHP-2025-AP-CLOSE</x:t>
        </x:r>
      </x:text>
    </x:comment>
    <x:comment ref="P44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https://www.shopriteholdings.co.za/docs/shp-afs-2025.pdf
Page: 18
Available: 2025-10-13
SHA-256: seed-register-hash:SHP-2025-AP-OPEN</x:t>
        </x:r>
      </x:text>
    </x:comment>
    <x:comment ref="P45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https://www.shopriteholdings.co.za/docs/shp-afs-2025.pdf
Page: 18
Available: 2025-10-13
SHA-256: seed-register-hash:SHP-2025-AR-CLOSE</x:t>
        </x:r>
      </x:text>
    </x:comment>
    <x:comment ref="P46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https://www.shopriteholdings.co.za/docs/shp-afs-2025.pdf
Page: 18
Available: 2025-10-13
SHA-256: seed-register-hash:SHP-2025-AR-OPEN</x:t>
        </x:r>
      </x:text>
    </x:comment>
    <x:comment ref="P47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https://www.shopriteholdings.co.za/docs/shp-afs-2025.pdf
Page: 19
Available: 2025-10-13
SHA-256: seed-register-hash:SHP-2025-COST</x:t>
        </x:r>
      </x:text>
    </x:comment>
    <x:comment ref="P48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https://www.shopriteholdings.co.za/docs/shp-afs-2025.pdf
Page: 18
Available: 2025-10-13
SHA-256: seed-register-hash:SHP-2025-DEBT</x:t>
        </x:r>
      </x:text>
    </x:comment>
    <x:comment ref="P49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https://www.shopriteholdings.co.za/docs/shp-afs-2025.pdf
Page: 118
Available: 2025-10-13
SHA-256: seed-register-hash:SHP-2025-FX</x:t>
        </x:r>
      </x:text>
    </x:comment>
    <x:comment ref="P50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https://www.shopriteholdings.co.za/docs/shp-afs-2025.pdf
Page: 18
Available: 2025-10-13
SHA-256: seed-register-hash:SHP-2025-INV-CLOSE</x:t>
        </x:r>
      </x:text>
    </x:comment>
    <x:comment ref="P51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https://www.shopriteholdings.co.za/docs/shp-afs-2025.pdf
Page: 18
Available: 2025-10-13
SHA-256: seed-register-hash:SHP-2025-INV-OPEN</x:t>
        </x:r>
      </x:text>
    </x:comment>
    <x:comment ref="P52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https://www.shopriteholdings.co.za/docs/shp-afs-2025.pdf
Page: 19
Available: 2025-10-13
SHA-256: seed-register-hash:SHP-2025-REV</x:t>
        </x:r>
      </x:text>
    </x:comment>
    <x:comment ref="P53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https://www.shopriteholdings.co.za/docs/shp-afs-2025.pdf
Page: 18
Available: 2025-10-13
SHA-256: seed-register-hash:SHP-2025-STF</x:t>
        </x:r>
      </x:text>
    </x:comment>
    <x:comment ref="P54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https://www.bidcorpgroup.com/pdf/reports/2025/Bidcorp-2025-AIR.pdf
Page: 19
Available: 2025-10-30
SHA-256: f2516d780aff52d4a5de8be9a2f02e753e948e13450e77f2b1603784b5215c9f</x:t>
        </x:r>
      </x:text>
    </x:comment>
    <x:comment ref="P55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https://www.bidcorpgroup.com/pdf/reports/2025/Bidcorp-2025-AIR.pdf
Page: 19
Available: 2025-10-30
SHA-256: f2516d780aff52d4a5de8be9a2f02e753e948e13450e77f2b1603784b5215c9f</x:t>
        </x:r>
      </x:text>
    </x:comment>
    <x:comment ref="P56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https://www.bidcorpgroup.com/pdf/reports/2025/Bidcorp-2025-AIR.pdf
Page: 18
Available: 2025-10-30
SHA-256: f2516d780aff52d4a5de8be9a2f02e753e948e13450e77f2b1603784b5215c9f</x:t>
        </x:r>
      </x:text>
    </x:comment>
    <x:comment ref="P57" authorId="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https://pepkor.co.za/wp-content/uploads/Pepkor-annual-financial-statements-2025.pdf
Page: 23
Available: 2025-12-15
SHA-256: 7715894a86e0e6b06b26b90b6e5bad3ffb85b8cd6166701bf52ddf8e053193d3</x:t>
        </x:r>
      </x:text>
    </x:comment>
    <x:comment ref="P58" authorId="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https://pepkor.co.za/wp-content/uploads/Pepkor-annual-financial-statements-2025.pdf
Page: 23
Available: 2025-12-15
SHA-256: 7715894a86e0e6b06b26b90b6e5bad3ffb85b8cd6166701bf52ddf8e053193d3</x:t>
        </x:r>
      </x:text>
    </x:comment>
    <x:comment ref="P59" authorId="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https://pepkor.co.za/wp-content/uploads/Pepkor-annual-financial-statements-2025.pdf
Page: 21
Available: 2025-12-15
SHA-256: 7715894a86e0e6b06b26b90b6e5bad3ffb85b8cd6166701bf52ddf8e053193d3</x:t>
        </x:r>
      </x:text>
    </x:comment>
    <x:comment ref="P60" authorId="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https://clicksgroup.co.za/iar2025/wp-content/uploads/CGL-YE25-Annual-financial-statements.pdf
Page: 10
Available: 2025-11-06
SHA-256: 664c3ce033c0d36157277ae5ef9f28a933edd4acebc8cec649069cd20d9c576d</x:t>
        </x:r>
      </x:text>
    </x:comment>
    <x:comment ref="P61" authorId="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https://clicksgroup.co.za/iar2025/wp-content/uploads/CGL-YE25-Annual-financial-statements.pdf
Page: 10
Available: 2025-11-06
SHA-256: 664c3ce033c0d36157277ae5ef9f28a933edd4acebc8cec649069cd20d9c576d</x:t>
        </x:r>
      </x:text>
    </x:comment>
    <x:comment ref="P62" authorId="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https://clicksgroup.co.za/iar2025/wp-content/uploads/CGL-YE25-Annual-financial-statements.pdf
Page: 10
Available: 2025-11-06
SHA-256: 664c3ce033c0d36157277ae5ef9f28a933edd4acebc8cec649069cd20d9c576d</x:t>
        </x:r>
      </x:text>
    </x:comment>
    <x:comment ref="P63" authorId="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https://nepirockcastle.com/wp-content/uploads/2026/03/NEPI_Rockcastle_Annual_Report_2025.pdf
Page: 310
Available: 2026-03-18
SHA-256: 4124bee2bfb55a181cda56963bd733605a2cc53a7882b1d6108358b33da479f3</x:t>
        </x:r>
      </x:text>
    </x:comment>
    <x:comment ref="P64" authorId="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https://nepirockcastle.com/wp-content/uploads/2026/03/NEPI_Rockcastle_Annual_Report_2025.pdf
Page: 310
Available: 2026-03-18
SHA-256: 4124bee2bfb55a181cda56963bd733605a2cc53a7882b1d6108358b33da479f3</x:t>
        </x:r>
      </x:text>
    </x:comment>
    <x:comment ref="P65" authorId="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https://nepirockcastle.com/wp-content/uploads/2026/03/NEPI_Rockcastle_Annual_Report_2025.pdf
Page: 311
Available: 2026-03-18
SHA-256: 4124bee2bfb55a181cda56963bd733605a2cc53a7882b1d6108358b33da479f3</x:t>
        </x:r>
      </x:text>
    </x:comment>
    <x:comment ref="P66" authorId="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https://www.prosus.com/~/media/Files/P/prosus-corp-v2/results-reports-and-events-archive/annual-report/2026/fy2026-annual-report.pdf
Page: 140
Available: 2026-06-29
SHA-256: 3ea6278d374118f72fe41ac635d4b622bc1b59be44f5db9c0a7bc321ceabf077</x:t>
        </x:r>
      </x:text>
    </x:comment>
    <x:comment ref="P67" authorId="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https://www.prosus.com/~/media/Files/P/prosus-corp-v2/results-reports-and-events-archive/annual-report/2026/fy2026-annual-report.pdf
Page: 140
Available: 2026-06-29
SHA-256: 3ea6278d374118f72fe41ac635d4b622bc1b59be44f5db9c0a7bc321ceabf077</x:t>
        </x:r>
      </x:text>
    </x:comment>
    <x:comment ref="P68" authorId="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https://www.prosus.com/~/media/Files/P/prosus-corp-v2/results-reports-and-events-archive/annual-report/2026/fy2026-annual-report.pdf
Page: 141
Available: 2026-06-29
SHA-256: 3ea6278d374118f72fe41ac635d4b622bc1b59be44f5db9c0a7bc321ceabf077</x:t>
        </x:r>
      </x:text>
    </x:comment>
    <x:comment ref="P69" authorId="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https://www.naspers.com/~/media/Files/N/Naspers-Corp-V2/results-reports-and-events-archive/latest-results/fy-2026/naspers-annual-financial-statements-2026.pdf
Page: 32
Available: 2026-06-29
SHA-256: e0d23733f611c2b81f2b8c7362c492178fe52b3109472db1e08efe824298f17b</x:t>
        </x:r>
      </x:text>
    </x:comment>
    <x:comment ref="P70" authorId="6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https://www.naspers.com/~/media/Files/N/Naspers-Corp-V2/results-reports-and-events-archive/latest-results/fy-2026/naspers-annual-financial-statements-2026.pdf
Page: 32
Available: 2026-06-29
SHA-256: e0d23733f611c2b81f2b8c7362c492178fe52b3109472db1e08efe824298f17b</x:t>
        </x:r>
      </x:text>
    </x:comment>
    <x:comment ref="P71" authorId="6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https://www.naspers.com/~/media/Files/N/Naspers-Corp-V2/results-reports-and-events-archive/latest-results/fy-2026/naspers-annual-financial-statements-2026.pdf
Page: 33
Available: 2026-06-29
SHA-256: e0d23733f611c2b81f2b8c7362c492178fe52b3109472db1e08efe824298f17b</x:t>
        </x:r>
      </x:text>
    </x:comment>
    <x:comment ref="P72" authorId="6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https://www.mtn.com/wp-content/uploads/2026/03/MTN-Group-FY-25-Annual-Financial-Statements.pdf
Page: 23
Available: 2026-03-16
SHA-256: bea72f5adefd24ecb4dd8ed36e523730e19a3efb2fa9f79b63567bc4fac2e59b</x:t>
        </x:r>
      </x:text>
    </x:comment>
    <x:comment ref="P73" authorId="6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https://www.mtn.com/wp-content/uploads/2026/03/MTN-Group-FY-25-Annual-Financial-Statements.pdf
Page: 23
Available: 2026-03-16
SHA-256: bea72f5adefd24ecb4dd8ed36e523730e19a3efb2fa9f79b63567bc4fac2e59b</x:t>
        </x:r>
      </x:text>
    </x:comment>
    <x:comment ref="P74" authorId="6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https://www.mtn.com/wp-content/uploads/2026/03/MTN-Group-FY-25-Annual-Financial-Statements.pdf
Page: 21
Available: 2026-03-16
SHA-256: bea72f5adefd24ecb4dd8ed36e523730e19a3efb2fa9f79b63567bc4fac2e59b</x:t>
        </x:r>
      </x:text>
    </x:comment>
    <x:comment ref="P75" authorId="7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https://vodacom-reports.co.za/integrated-reports/ir-2026/documents/vodacom-consolidated-and-separate-financial-statements-2026.pdf
Page: 21
Available: 2026-06-12
SHA-256: d6f149d15a1e7a0edc82acd536f2d59644e2c9acce621a65878aa322390fd896</x:t>
        </x:r>
      </x:text>
    </x:comment>
    <x:comment ref="P76" authorId="7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https://vodacom-reports.co.za/integrated-reports/ir-2026/documents/vodacom-consolidated-and-separate-financial-statements-2026.pdf
Page: 21
Available: 2026-06-12
SHA-256: d6f149d15a1e7a0edc82acd536f2d59644e2c9acce621a65878aa322390fd896</x:t>
        </x:r>
      </x:text>
    </x:comment>
    <x:comment ref="P77" authorId="7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https://vodacom-reports.co.za/integrated-reports/ir-2026/documents/vodacom-consolidated-and-separate-financial-statements-2026.pdf
Page: 19
Available: 2026-06-12
SHA-256: d6f149d15a1e7a0edc82acd536f2d59644e2c9acce621a65878aa322390fd896</x:t>
        </x:r>
      </x:text>
    </x:comment>
    <x:comment ref="P78" authorId="7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https://bidvest.co.za/pdf/annual-reports/2025/bidvest-iar-2025.pdf
Page: 43
Available: 2025-10-24
SHA-256: 2a44e26a70a3c05c45814de4aba756ef39bfa15e05137f49edd3ec22b722260a</x:t>
        </x:r>
      </x:text>
    </x:comment>
    <x:comment ref="P79" authorId="7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https://bidvest.co.za/pdf/annual-reports/2025/bidvest-iar-2025.pdf
Page: 44
Available: 2025-10-24
SHA-256: 2a44e26a70a3c05c45814de4aba756ef39bfa15e05137f49edd3ec22b722260a</x:t>
        </x:r>
      </x:text>
    </x:comment>
    <x:comment ref="P80" authorId="7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https://bidvest.co.za/pdf/annual-reports/2025/bidvest-iar-2025.pdf
Page: 40
Available: 2025-10-24
SHA-256: 2a44e26a70a3c05c45814de4aba756ef39bfa15e05137f49edd3ec22b722260a</x:t>
        </x:r>
      </x:text>
    </x:comment>
    <x:comment ref="P81" authorId="7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https://www.aspenpharma.com/download/annual-financial-statements-2/
Page: 15
Available: 2025-10-02
SHA-256: a091fee4d4b575781836440b929291617c128f8f857b2dd0a7e0dfb4c1bcc53d</x:t>
        </x:r>
      </x:text>
    </x:comment>
    <x:comment ref="P82" authorId="7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https://www.aspenpharma.com/download/annual-financial-statements-2/
Page: 15
Available: 2025-10-02
SHA-256: a091fee4d4b575781836440b929291617c128f8f857b2dd0a7e0dfb4c1bcc53d</x:t>
        </x:r>
      </x:text>
    </x:comment>
    <x:comment ref="P83" authorId="7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https://www.aspenpharma.com/download/annual-financial-statements-2/
Page: 16
Available: 2025-10-02
SHA-256: a091fee4d4b575781836440b929291617c128f8f857b2dd0a7e0dfb4c1bcc53d</x:t>
        </x:r>
      </x:text>
    </x:comment>
    <x:comment ref="P84" authorId="7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https://senspdf.jse.co.za/documents/2026/JSE/isse/SHCE/FY25Result.pdf
Page: 22
Available: 2026-02-25
SHA-256: 71bcff13a20668eea8842f5ef28273ba787b0042b2fe7e1ea9faeb03b581ed53</x:t>
        </x:r>
      </x:text>
    </x:comment>
    <x:comment ref="P85" authorId="8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https://senspdf.jse.co.za/documents/2026/JSE/isse/SHCE/FY25Result.pdf
Page: 22
Available: 2026-02-25
SHA-256: 71bcff13a20668eea8842f5ef28273ba787b0042b2fe7e1ea9faeb03b581ed53</x:t>
        </x:r>
      </x:text>
    </x:comment>
    <x:comment ref="P86" authorId="8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https://senspdf.jse.co.za/documents/2026/JSE/isse/SHCE/FY25Result.pdf
Page: 21
Available: 2026-02-25
SHA-256: 71bcff13a20668eea8842f5ef28273ba787b0042b2fe7e1ea9faeb03b581ed53</x:t>
        </x:r>
      </x:text>
    </x:comment>
  </x:commentList>
</x:comments>
</file>

<file path=xl/comments2.xml><?xml version="1.0" encoding="utf-8"?>
<x:comments xmlns:x="http://schemas.openxmlformats.org/spreadsheetml/2006/main">
  <x:authors>
    <x:author>tc={B01406AF-5C54-1385-E93F-8BC31DCEF046}</x:author>
    <x:author>tc={6DD7D282-4D5B-6CEA-034D-91D0362B1489}</x:author>
    <x:author>tc={B744CA31-60A8-7C0A-67C6-4F7042734E04}</x:author>
    <x:author>tc={2CBFDB07-DAC4-1F7C-80B7-A9AE350E67F7}</x:author>
    <x:author>tc={C6FFBF76-75E5-A885-90FC-7A4822669D85}</x:author>
    <x:author>tc={48B6FC78-C54C-A341-9A8A-BAE4F532FF12}</x:author>
    <x:author>tc={40834F88-B44F-30F0-0C1E-7A7EA53D4250}</x:author>
    <x:author>tc={8C86F84D-BA29-E3DB-77BF-71A0444405B8}</x:author>
    <x:author>tc={E119E111-72FF-3D54-C250-0ADC5886F9C3}</x:author>
    <x:author>tc={82842CDD-4566-2F54-CBEE-B39CF6B61B97}</x:author>
    <x:author>tc={87E8F4DE-0F6B-C100-170D-96C85EA2694F}</x:author>
    <x:author>tc={327772B5-06F7-BF98-168C-1F90F7D50CBB}</x:author>
    <x:author>tc={36BE7540-24E4-876F-B0E7-5753CB3F9B1F}</x:author>
    <x:author>tc={3977E859-D6B3-767C-5E5F-B7BC8DA6835F}</x:author>
    <x:author>tc={0EEA68E2-7763-CC47-F71C-8F260986727F}</x:author>
    <x:author>tc={2E5078F9-9194-8A06-23A5-2ACD828EBE10}</x:author>
    <x:author>tc={7D7BDFB5-CE3D-259A-6186-A2557641EECC}</x:author>
    <x:author>tc={E14E0F78-126D-771B-A1F2-85F72686862D}</x:author>
    <x:author>tc={9669977D-6EF4-2826-924E-2C0BB9D74365}</x:author>
    <x:author>tc={0D86104F-0064-7B27-F768-D1C5A87ABBBB}</x:author>
  </x:authors>
  <x:commentList>
    <x:comment ref="J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source: https://www.bhp.com/-/media/documents/investors/annual-reports/2025/250819_bhpannualreport2025.pdf</x:t>
        </x:r>
      </x:text>
    </x:comment>
    <x:comment ref="J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source: https://www.glencore.com/.rest/api/v1/documents/static/9b103e11-72e7-40bf-ae7c-eabe57361522/GLEN-2025-Annual-Report.pdf</x:t>
        </x:r>
      </x:text>
    </x:comment>
    <x:comment ref="J7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source: https://www.angloamerican.com/~/media/Files/A/Anglo-American-Group-v9/PLC/investors/annual-reporting/2025/aa-annual-report-full-2025.pdf</x:t>
        </x:r>
      </x:text>
    </x:comment>
    <x:comment ref="J8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source: https://reports.anglogoldashanti.com/25/download/AGA-AR25.pdf</x:t>
        </x:r>
      </x:text>
    </x:comment>
    <x:comment ref="J9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source: https://www.goldfields.com/pdf/investors/integrated-annual-reports/2025/afs-2025.pdf</x:t>
        </x:r>
      </x:text>
    </x:comment>
    <x:comment ref="J10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source: https://www.valterraplatinum.com/wp-content/uploads/2026/05/annual-financial-statements-2025.pdf</x:t>
        </x:r>
      </x:text>
    </x:comment>
    <x:comment ref="J1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source: https://group.outsurance.co.za/globalassets/documents/investor-relations/reports-and-results/2025/ogl-annual-financial-statements-2025.pdf</x:t>
        </x:r>
      </x:text>
    </x:comment>
    <x:comment ref="J12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source: https://www.sanlam.com/downloads/integrated-report-and-annual-financial-statements/2024/Sanlam-AFS-2024-spreads.pdf</x:t>
        </x:r>
      </x:text>
    </x:comment>
    <x:comment ref="J13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source: https://www.shopriteholdings.co.za/docs/shp-afs-2025.pdf</x:t>
        </x:r>
      </x:text>
    </x:comment>
    <x:comment ref="J14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source: https://www.bidcorpgroup.com/pdf/reports/2025/Bidcorp-2025-AIR.pdf</x:t>
        </x:r>
      </x:text>
    </x:comment>
    <x:comment ref="J15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source: https://pepkor.co.za/wp-content/uploads/Pepkor-annual-financial-statements-2025.pdf</x:t>
        </x:r>
      </x:text>
    </x:comment>
    <x:comment ref="J16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source: https://clicksgroup.co.za/iar2025/wp-content/uploads/CGL-YE25-Annual-financial-statements.pdf</x:t>
        </x:r>
      </x:text>
    </x:comment>
    <x:comment ref="J17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source: https://nepirockcastle.com/wp-content/uploads/2026/03/NEPI_Rockcastle_Annual_Report_2025.pdf</x:t>
        </x:r>
      </x:text>
    </x:comment>
    <x:comment ref="J18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source: https://www.prosus.com/~/media/Files/P/prosus-corp-v2/results-reports-and-events-archive/annual-report/2026/fy2026-annual-report.pdf</x:t>
        </x:r>
      </x:text>
    </x:comment>
    <x:comment ref="J19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source: https://www.naspers.com/~/media/Files/N/Naspers-Corp-V2/results-reports-and-events-archive/latest-results/fy-2026/naspers-annual-financial-statements-2026.pdf</x:t>
        </x:r>
      </x:text>
    </x:comment>
    <x:comment ref="J20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source: https://www.mtn.com/wp-content/uploads/2026/03/MTN-Group-FY-25-Annual-Financial-Statements.pdf</x:t>
        </x:r>
      </x:text>
    </x:comment>
    <x:comment ref="J21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source: https://vodacom-reports.co.za/integrated-reports/ir-2026/documents/vodacom-consolidated-and-separate-financial-statements-2026.pdf</x:t>
        </x:r>
      </x:text>
    </x:comment>
    <x:comment ref="J22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source: https://bidvest.co.za/pdf/annual-reports/2025/bidvest-iar-2025.pdf</x:t>
        </x:r>
      </x:text>
    </x:comment>
    <x:comment ref="J23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source: https://www.aspenpharma.com/download/annual-financial-statements-2/</x:t>
        </x:r>
      </x:text>
    </x:comment>
    <x:comment ref="J24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source: https://senspdf.jse.co.za/documents/2026/JSE/isse/SHCE/FY25Result.pdf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#,##0.00"/>
    <x:numFmt numFmtId="202" formatCode="R#,##0"/>
    <x:numFmt numFmtId="203" formatCode="#,##0"/>
    <x:numFmt numFmtId="204" formatCode="0%"/>
    <x:numFmt numFmtId="205" formatCode="0.0000"/>
  </x:numFmts>
  <x:fonts count="12">
    <x:font>
      <x:sz val="11"/>
      <x:name val="Carlito"/>
    </x:font>
    <x:font>
      <x:b/>
      <x:sz val="20"/>
      <x:color rgb="FFFFFFFF"/>
      <x:name val="Carlito"/>
    </x:font>
    <x:font>
      <x:sz val="10"/>
      <x:color rgb="FF5E6C7C"/>
      <x:name val="Carlito"/>
    </x:font>
    <x:font>
      <x:b/>
      <x:sz val="12"/>
      <x:color rgb="FFFFFFFF"/>
      <x:name val="Carlito"/>
    </x:font>
    <x:font>
      <x:b/>
      <x:sz val="11"/>
      <x:color rgb="FF07182A"/>
      <x:name val="Carlito"/>
    </x:font>
    <x:font>
      <x:b/>
      <x:sz val="14"/>
      <x:color rgb="FF0A8F77"/>
      <x:name val="Carlito"/>
    </x:font>
    <x:font>
      <x:b/>
      <x:sz val="14"/>
      <x:color rgb="FF7256C7"/>
      <x:name val="Carlito"/>
    </x:font>
    <x:font>
      <x:b/>
      <x:sz val="11"/>
      <x:color rgb="FFFFFFFF"/>
      <x:name val="Carlito"/>
    </x:font>
    <x:font>
      <x:sz val="10"/>
      <x:color rgb="FF72520C"/>
      <x:name val="Carlito"/>
    </x:font>
    <x:font>
      <x:b/>
      <x:sz val="10"/>
      <x:color rgb="FF0A8F77"/>
      <x:name val="Carlito"/>
    </x:font>
    <x:font>
      <x:b/>
      <x:sz val="9"/>
      <x:color rgb="FFFFFFFF"/>
      <x:name val="Carlito"/>
    </x:font>
    <x:font>
      <x:sz val="9"/>
      <x:color rgb="FF07182A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07182A"/>
      </x:patternFill>
    </x:fill>
    <x:fill>
      <x:patternFill patternType="solid">
        <x:fgColor rgb="FFF5F8FC"/>
      </x:patternFill>
    </x:fill>
    <x:fill>
      <x:patternFill patternType="solid">
        <x:fgColor rgb="FF0B63E5"/>
      </x:patternFill>
    </x:fill>
    <x:fill>
      <x:patternFill patternType="solid">
        <x:fgColor rgb="FFEEF5FF"/>
      </x:patternFill>
    </x:fill>
    <x:fill>
      <x:patternFill patternType="solid">
        <x:fgColor rgb="FFF1EDFF"/>
      </x:patternFill>
    </x:fill>
    <x:fill>
      <x:patternFill patternType="solid">
        <x:fgColor rgb="FFD99A1B"/>
      </x:patternFill>
    </x:fill>
    <x:fill>
      <x:patternFill patternType="solid">
        <x:fgColor rgb="FFFFF6E3"/>
      </x:patternFill>
    </x:fill>
    <x:fill>
      <x:patternFill patternType="solid">
        <x:fgColor rgb="FFEAF8F3"/>
      </x:patternFill>
    </x:fill>
    <x:fill>
      <x:patternFill patternType="solid">
        <x:fgColor rgb="FF0A8F77"/>
      </x:patternFill>
    </x:fill>
    <x:fill>
      <x:patternFill patternType="solid">
        <x:fgColor rgb="FF7256C7"/>
      </x:patternFill>
    </x:fill>
  </x:fills>
  <x:borders count="10">
    <x:border/>
    <x:border>
      <x:left style="thin">
        <x:color rgb="FFE8C97D"/>
      </x:left>
      <x:top style="thin">
        <x:color rgb="FFE8C97D"/>
      </x:top>
    </x:border>
    <x:border>
      <x:top style="thin">
        <x:color rgb="FFE8C97D"/>
      </x:top>
    </x:border>
    <x:border>
      <x:right style="thin">
        <x:color rgb="FFE8C97D"/>
      </x:right>
      <x:top style="thin">
        <x:color rgb="FFE8C97D"/>
      </x:top>
    </x:border>
    <x:border>
      <x:left style="thin">
        <x:color rgb="FFE8C97D"/>
      </x:left>
    </x:border>
    <x:border>
      <x:right style="thin">
        <x:color rgb="FFE8C97D"/>
      </x:right>
    </x:border>
    <x:border>
      <x:left style="thin">
        <x:color rgb="FFE8C97D"/>
      </x:left>
      <x:bottom style="thin">
        <x:color rgb="FFE8C97D"/>
      </x:bottom>
    </x:border>
    <x:border>
      <x:bottom style="thin">
        <x:color rgb="FFE8C97D"/>
      </x:bottom>
    </x:border>
    <x:border>
      <x:right style="thin">
        <x:color rgb="FFE8C97D"/>
      </x:right>
      <x:bottom style="thin">
        <x:color rgb="FFE8C97D"/>
      </x:bottom>
    </x:border>
    <x:border>
      <x:left style="thin">
        <x:color rgb="FFDCE4EE"/>
      </x:left>
      <x:right style="thin">
        <x:color rgb="FFDCE4EE"/>
      </x:right>
      <x:top style="thin">
        <x:color rgb="FFDCE4EE"/>
      </x:top>
      <x:bottom style="thin">
        <x:color rgb="FFDCE4EE"/>
      </x:bottom>
    </x:border>
  </x:borders>
  <x:cellStyleXfs count="1">
    <x:xf numFmtId="0" fontId="0" fillId="0" borderId="0"/>
  </x:cellStyleXfs>
  <x:cellXfs count="8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1" xfId="0" applyNumberFormat="1" applyFont="1" applyFill="1" applyBorder="1"/>
    <x:xf numFmtId="0" fontId="8" fillId="8" borderId="2" xfId="0" applyNumberFormat="1" applyFont="1" applyFill="1" applyBorder="1"/>
    <x:xf numFmtId="0" fontId="8" fillId="8" borderId="3" xfId="0" applyNumberFormat="1" applyFont="1" applyFill="1" applyBorder="1"/>
    <x:xf numFmtId="0" fontId="8" fillId="8" borderId="4" xfId="0" applyNumberFormat="1" applyFont="1" applyFill="1" applyBorder="1"/>
    <x:xf numFmtId="0" fontId="8" fillId="8" borderId="5" xfId="0" applyNumberFormat="1" applyFont="1" applyFill="1" applyBorder="1"/>
    <x:xf numFmtId="0" fontId="8" fillId="8" borderId="6" xfId="0" applyNumberFormat="1" applyFont="1" applyFill="1" applyBorder="1"/>
    <x:xf numFmtId="0" fontId="8" fillId="8" borderId="7" xfId="0" applyNumberFormat="1" applyFont="1" applyFill="1" applyBorder="1"/>
    <x:xf numFmtId="0" fontId="8" fillId="8" borderId="8" xfId="0" applyNumberFormat="1" applyFont="1" applyFill="1" applyBorder="1"/>
    <x:xf numFmtId="0" fontId="8" fillId="8" borderId="1" xfId="0" applyNumberFormat="1" applyFont="1" applyFill="1" applyBorder="1" applyAlignment="1">
      <x:alignment wrapText="1"/>
    </x:xf>
    <x:xf numFmtId="0" fontId="8" fillId="8" borderId="2" xfId="0" applyNumberFormat="1" applyFont="1" applyFill="1" applyBorder="1" applyAlignment="1">
      <x:alignment wrapText="1"/>
    </x:xf>
    <x:xf numFmtId="0" fontId="8" fillId="8" borderId="3" xfId="0" applyNumberFormat="1" applyFont="1" applyFill="1" applyBorder="1" applyAlignment="1">
      <x:alignment wrapText="1"/>
    </x:xf>
    <x:xf numFmtId="0" fontId="8" fillId="8" borderId="4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8" fillId="8" borderId="5" xfId="0" applyNumberFormat="1" applyFont="1" applyFill="1" applyBorder="1" applyAlignment="1">
      <x:alignment wrapText="1"/>
    </x:xf>
    <x:xf numFmtId="0" fontId="8" fillId="8" borderId="6" xfId="0" applyNumberFormat="1" applyFont="1" applyFill="1" applyBorder="1" applyAlignment="1">
      <x:alignment wrapText="1"/>
    </x:xf>
    <x:xf numFmtId="0" fontId="8" fillId="8" borderId="7" xfId="0" applyNumberFormat="1" applyFont="1" applyFill="1" applyBorder="1" applyAlignment="1">
      <x:alignment wrapText="1"/>
    </x:xf>
    <x:xf numFmtId="0" fontId="8" fillId="8" borderId="8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8" fillId="8" borderId="3" xfId="0" applyNumberFormat="1" applyFont="1" applyFill="1" applyBorder="1" applyAlignment="1">
      <x:alignment vertical="top" wrapText="1"/>
    </x:xf>
    <x:xf numFmtId="0" fontId="8" fillId="8" borderId="4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vertical="top" wrapText="1"/>
    </x:xf>
    <x:xf numFmtId="0" fontId="8" fillId="8" borderId="5" xfId="0" applyNumberFormat="1" applyFont="1" applyFill="1" applyBorder="1" applyAlignment="1">
      <x:alignment vertical="top" wrapText="1"/>
    </x:xf>
    <x:xf numFmtId="0" fontId="8" fillId="8" borderId="6" xfId="0" applyNumberFormat="1" applyFont="1" applyFill="1" applyBorder="1" applyAlignment="1">
      <x:alignment vertical="top" wrapText="1"/>
    </x:xf>
    <x:xf numFmtId="0" fontId="8" fillId="8" borderId="7" xfId="0" applyNumberFormat="1" applyFont="1" applyFill="1" applyBorder="1" applyAlignment="1">
      <x:alignment vertical="top" wrapText="1"/>
    </x:xf>
    <x:xf numFmtId="0" fontId="8" fillId="8" borderId="8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/>
    <x:xf numFmtId="0" fontId="10" fillId="4" borderId="9" xfId="0" applyNumberFormat="1" applyFont="1" applyFill="1" applyBorder="1"/>
    <x:xf numFmtId="0" fontId="10" fillId="4" borderId="9" xfId="0" applyNumberFormat="1" applyFont="1" applyFill="1" applyBorder="1" applyAlignment="1">
      <x:alignment wrapText="1"/>
    </x:xf>
    <x:xf numFmtId="0" fontId="10" fillId="4" borderId="9" xfId="0" applyNumberFormat="1" applyFont="1" applyFill="1" applyBorder="1" applyAlignment="1">
      <x:alignment horizontal="left" wrapText="1"/>
    </x:xf>
    <x:xf numFmtId="0" fontId="10" fillId="4" borderId="9" xfId="0" applyNumberFormat="1" applyFont="1" applyFill="1" applyBorder="1" applyAlignment="1">
      <x:alignment horizontal="left" vertical="center" wrapText="1"/>
    </x:xf>
    <x:xf numFmtId="0" fontId="11" fillId="0" borderId="0" xfId="0" applyNumberFormat="1" applyFont="1" applyFill="1" applyBorder="1"/>
    <x:xf numFmtId="0" fontId="11" fillId="0" borderId="9" xfId="0" applyNumberFormat="1" applyFont="1" applyFill="1" applyBorder="1"/>
    <x:xf numFmtId="0" fontId="11" fillId="0" borderId="9" xfId="0" applyNumberFormat="1" applyFont="1" applyFill="1" applyBorder="1" applyAlignment="1">
      <x:alignment wrapText="1"/>
    </x:xf>
    <x:xf numFmtId="0" fontId="11" fillId="0" borderId="9" xfId="0" applyNumberFormat="1" applyFont="1" applyFill="1" applyBorder="1" applyAlignment="1">
      <x:alignment vertical="top" wrapText="1"/>
    </x:xf>
    <x:xf numFmtId="201" fontId="11" fillId="0" borderId="9" xfId="0" applyNumberFormat="1" applyFont="1" applyFill="1" applyBorder="1" applyAlignment="1">
      <x:alignment vertical="top" wrapText="1"/>
    </x:xf>
    <x:xf numFmtId="200" fontId="11" fillId="0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9" xfId="0" applyNumberFormat="1" applyFont="1" applyFill="1" applyBorder="1"/>
    <x:xf numFmtId="0" fontId="10" fillId="10" borderId="9" xfId="0" applyNumberFormat="1" applyFont="1" applyFill="1" applyBorder="1" applyAlignment="1">
      <x:alignment wrapText="1"/>
    </x:xf>
    <x:xf numFmtId="0" fontId="10" fillId="10" borderId="9" xfId="0" applyNumberFormat="1" applyFont="1" applyFill="1" applyBorder="1" applyAlignment="1">
      <x:alignment horizontal="left" wrapText="1"/>
    </x:xf>
    <x:xf numFmtId="0" fontId="10" fillId="10" borderId="9" xfId="0" applyNumberFormat="1" applyFont="1" applyFill="1" applyBorder="1" applyAlignment="1">
      <x:alignment horizontal="left" vertical="center" wrapText="1"/>
    </x:xf>
    <x:xf numFmtId="0" fontId="10" fillId="2" borderId="0" xfId="0" applyNumberFormat="1" applyFont="1" applyFill="1" applyBorder="1"/>
    <x:xf numFmtId="0" fontId="10" fillId="2" borderId="9" xfId="0" applyNumberFormat="1" applyFont="1" applyFill="1" applyBorder="1"/>
    <x:xf numFmtId="0" fontId="10" fillId="2" borderId="9" xfId="0" applyNumberFormat="1" applyFont="1" applyFill="1" applyBorder="1" applyAlignment="1">
      <x:alignment wrapText="1"/>
    </x:xf>
    <x:xf numFmtId="0" fontId="10" fillId="2" borderId="9" xfId="0" applyNumberFormat="1" applyFont="1" applyFill="1" applyBorder="1" applyAlignment="1">
      <x:alignment horizontal="left" wrapText="1"/>
    </x:xf>
    <x:xf numFmtId="0" fontId="10" fillId="2" borderId="9" xfId="0" applyNumberFormat="1" applyFont="1" applyFill="1" applyBorder="1" applyAlignment="1">
      <x:alignment horizontal="left" vertical="center" wrapText="1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9" xfId="0" applyNumberFormat="1" applyFont="1" applyFill="1" applyBorder="1"/>
    <x:xf numFmtId="0" fontId="10" fillId="11" borderId="9" xfId="0" applyNumberFormat="1" applyFont="1" applyFill="1" applyBorder="1" applyAlignment="1">
      <x:alignment wrapText="1"/>
    </x:xf>
    <x:xf numFmtId="0" fontId="10" fillId="11" borderId="9" xfId="0" applyNumberFormat="1" applyFont="1" applyFill="1" applyBorder="1" applyAlignment="1">
      <x:alignment horizontal="left" wrapText="1"/>
    </x:xf>
    <x:xf numFmtId="0" fontId="10" fillId="11" borderId="9" xfId="0" applyNumberFormat="1" applyFont="1" applyFill="1" applyBorder="1" applyAlignment="1">
      <x:alignment horizontal="left" vertical="center" wrapText="1"/>
    </x:xf>
    <x:xf numFmtId="202" fontId="11" fillId="0" borderId="9" xfId="0" applyNumberFormat="1" applyFont="1" applyFill="1" applyBorder="1" applyAlignment="1">
      <x:alignment vertical="top" wrapText="1"/>
    </x:xf>
    <x:xf numFmtId="203" fontId="11" fillId="0" borderId="9" xfId="0" applyNumberFormat="1" applyFont="1" applyFill="1" applyBorder="1" applyAlignment="1">
      <x:alignment vertical="top" wrapText="1"/>
    </x:xf>
    <x:xf numFmtId="0" fontId="10" fillId="7" borderId="0" xfId="0" applyNumberFormat="1" applyFont="1" applyFill="1" applyBorder="1"/>
    <x:xf numFmtId="0" fontId="10" fillId="7" borderId="9" xfId="0" applyNumberFormat="1" applyFont="1" applyFill="1" applyBorder="1"/>
    <x:xf numFmtId="0" fontId="10" fillId="7" borderId="9" xfId="0" applyNumberFormat="1" applyFont="1" applyFill="1" applyBorder="1" applyAlignment="1">
      <x:alignment wrapText="1"/>
    </x:xf>
    <x:xf numFmtId="0" fontId="10" fillId="7" borderId="9" xfId="0" applyNumberFormat="1" applyFont="1" applyFill="1" applyBorder="1" applyAlignment="1">
      <x:alignment horizontal="left" wrapText="1"/>
    </x:xf>
    <x:xf numFmtId="0" fontId="10" fillId="7" borderId="9" xfId="0" applyNumberFormat="1" applyFont="1" applyFill="1" applyBorder="1" applyAlignment="1">
      <x:alignment horizontal="left" vertical="center" wrapText="1"/>
    </x:xf>
    <x:xf numFmtId="204" fontId="11" fillId="0" borderId="9" xfId="0" applyNumberFormat="1" applyFont="1" applyFill="1" applyBorder="1" applyAlignment="1">
      <x:alignment vertical="top" wrapText="1"/>
    </x:xf>
    <x:xf numFmtId="205" fontId="11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ill>
        <x:patternFill patternType="solid">
          <x:bgColor rgb="FFEAF8F3"/>
        </x:patternFill>
      </x:fill>
    </x:dxf>
    <x:dxf>
      <x:fill>
        <x:patternFill patternType="solid">
          <x:bgColor rgb="FFFFF6E3"/>
        </x:patternFill>
      </x:fill>
    </x:dxf>
    <x:dxf>
      <x:font>
        <x:b/>
        <x:color rgb="FF0A8F77"/>
      </x:font>
      <x:fill>
        <x:patternFill patternType="solid">
          <x:bgColor rgb="FFEAF8F3"/>
        </x:patternFill>
      </x:fill>
    </x:dxf>
    <x:dxf>
      <x:font>
        <x:b/>
        <x:color rgb="FF805B0C"/>
      </x:font>
      <x:fill>
        <x:patternFill patternType="solid">
          <x:bgColor rgb="FFFFF6E3"/>
        </x:patternFill>
      </x:fill>
    </x:dxf>
    <x:dxf>
      <x:fill>
        <x:patternFill patternType="solid">
          <x:bgColor rgb="FFEAF8F3"/>
        </x:patternFill>
      </x:fill>
    </x:dxf>
    <x:dxf>
      <x:fill>
        <x:patternFill patternType="solid">
          <x:bgColor rgb="FFEAF8F3"/>
        </x:patternFill>
      </x:fill>
    </x:dxf>
    <x:dxf>
      <x:font>
        <x:b/>
        <x:color rgb="FF0A8F77"/>
      </x:font>
      <x:fill>
        <x:patternFill patternType="solid">
          <x:bgColor rgb="FFEAF8F3"/>
        </x:patternFill>
      </x:fill>
    </x:dxf>
    <x:dxf>
      <x:font>
        <x:b/>
        <x:color rgb="FF0B63E5"/>
      </x:font>
      <x:fill>
        <x:patternFill patternType="solid">
          <x:bgColor rgb="FFEEF5FF"/>
        </x:patternFill>
      </x:fill>
    </x:dxf>
    <x:dxf>
      <x:font>
        <x:b/>
        <x:color rgb="FF0A8F77"/>
      </x:font>
      <x:fill>
        <x:patternFill patternType="solid">
          <x:bgColor rgb="FFEAF8F3"/>
        </x:patternFill>
      </x:fill>
    </x:dxf>
    <x:dxf>
      <x:font>
        <x:b/>
        <x:color rgb="FFB33A3A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fd4b0704aa4426" /><Relationship Type="http://schemas.openxmlformats.org/officeDocument/2006/relationships/theme" Target="/xl/theme/theme1.xml" Id="R7b1a0882669e47b9" /><Relationship Type="http://schemas.openxmlformats.org/officeDocument/2006/relationships/sharedStrings" Target="/xl/sharedStrings.xml" Id="R9c5974f23cbd45be" /><Relationship Type="http://schemas.openxmlformats.org/officeDocument/2006/relationships/worksheet" Target="/xl/worksheets/sheet1.xml" Id="R380f9c27d3944774" /><Relationship Type="http://schemas.openxmlformats.org/officeDocument/2006/relationships/worksheet" Target="/xl/worksheets/sheet2.xml" Id="Rfffcb405ec464c1c" /><Relationship Type="http://schemas.openxmlformats.org/officeDocument/2006/relationships/worksheet" Target="/xl/worksheets/sheet3.xml" Id="R48c193a887c4416e" /><Relationship Type="http://schemas.openxmlformats.org/officeDocument/2006/relationships/worksheet" Target="/xl/worksheets/sheet4.xml" Id="Rd66998ed3cc04402" /><Relationship Type="http://schemas.openxmlformats.org/officeDocument/2006/relationships/worksheet" Target="/xl/worksheets/sheet5.xml" Id="R49c40c130e0d45ea" /><Relationship Type="http://schemas.openxmlformats.org/officeDocument/2006/relationships/worksheet" Target="/xl/worksheets/sheet6.xml" Id="R631bd8a5e6674ca9" /><Relationship Type="http://schemas.openxmlformats.org/officeDocument/2006/relationships/worksheet" Target="/xl/worksheets/sheet7.xml" Id="Rde69964a6bf84944" /><Relationship Type="http://schemas.openxmlformats.org/officeDocument/2006/relationships/worksheet" Target="/xl/worksheets/sheet8.xml" Id="R858c58fbb73144bb" /><Relationship Type="http://schemas.openxmlformats.org/officeDocument/2006/relationships/worksheet" Target="/xl/worksheets/sheet9.xml" Id="Rf02af7084cc44489" /><Relationship Type="http://schemas.openxmlformats.org/officeDocument/2006/relationships/worksheet" Target="/xl/worksheets/sheet10.xml" Id="R85030ef8203c4a51" /><Relationship Type="http://schemas.microsoft.com/office/2017/10/relationships/person" Target="/xl/persons/person.xml" Id="R470934308b5441b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c3b9377a8c6422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Approval coverage by client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Approved</c:v>
          </c:tx>
          <c:cat>
            <c:strRef>
              <c:f>'Client Coverage'!$L$5:$L$24</c:f>
              <c:strCache>
                <c:ptCount val="0"/>
              </c:strCache>
            </c:strRef>
          </c:cat>
          <c:val>
            <c:numRef>
              <c:f>'Client Coverage'!$M$5:$M$24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Pending</c:v>
          </c:tx>
          <c:cat>
            <c:strRef>
              <c:f>'Client Coverage'!$L$5:$L$24</c:f>
              <c:strCache>
                <c:ptCount val="0"/>
              </c:strCache>
            </c:strRef>
          </c:cat>
          <c:val>
            <c:numRef>
              <c:f>'Client Coverage'!$N$5:$N$24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26</xdr:row>
      <xdr:rowOff>0</xdr:rowOff>
    </xdr:from>
    <xdr:to>
      <xdr:col>20</xdr:col>
      <xdr:colOff>0</xdr:colOff>
      <xdr:row>47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3b9377a8c64228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Corporate Wallet Digital Twin V3.2.0" id="{B2145340-41FB-4BFA-8AFB-959C37CD5CDE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P5" dT="2026-08-15T06:51:35.606" personId="{B2145340-41FB-4BFA-8AFB-959C37CD5CDE}" id="{0AF4FEDA-AC03-3F9A-4677-E614750C0BE6}">
    <xltc:text>Source: https://www.bhp.com/-/media/documents/investors/annual-reports/2025/250819_bhpannualreport2025.pdf
Page: 139
Available: 2025-08-19
SHA-256: seed-register-hash:BHP-2025-AP-CLOSE</xltc:text>
  </xltc:threadedComment>
  <xltc:threadedComment ref="P6" dT="2026-08-15T06:51:35.608" personId="{B2145340-41FB-4BFA-8AFB-959C37CD5CDE}" id="{7B13601B-A686-D1F6-E2C3-2DEAACC41826}">
    <xltc:text>Source: https://www.bhp.com/-/media/documents/investors/annual-reports/2025/250819_bhpannualreport2025.pdf
Page: 139
Available: 2025-08-19
SHA-256: seed-register-hash:BHP-2025-AP-OPEN</xltc:text>
  </xltc:threadedComment>
  <xltc:threadedComment ref="P7" dT="2026-08-15T06:51:35.608" personId="{B2145340-41FB-4BFA-8AFB-959C37CD5CDE}" id="{10B9DE82-DAAF-597E-4424-E67283E9A4F8}">
    <xltc:text>Source: https://www.bhp.com/-/media/documents/investors/annual-reports/2025/250819_bhpannualreport2025.pdf
Page: 139
Available: 2025-08-19
SHA-256: seed-register-hash:BHP-2025-AR-CLOSE</xltc:text>
  </xltc:threadedComment>
  <xltc:threadedComment ref="P8" dT="2026-08-15T06:51:35.609" personId="{B2145340-41FB-4BFA-8AFB-959C37CD5CDE}" id="{9DDF9D19-AAB7-35C6-6EAB-ADE447886907}">
    <xltc:text>Source: https://www.bhp.com/-/media/documents/investors/annual-reports/2025/250819_bhpannualreport2025.pdf
Page: 139
Available: 2025-08-19
SHA-256: seed-register-hash:BHP-2025-AR-OPEN</xltc:text>
  </xltc:threadedComment>
  <xltc:threadedComment ref="P9" dT="2026-08-15T06:51:35.609" personId="{B2145340-41FB-4BFA-8AFB-959C37CD5CDE}" id="{CEC6EDDA-4333-DE39-19A1-CD6C28B0071E}">
    <xltc:text>Source: https://www.bhp.com/-/media/documents/investors/annual-reports/2025/250819_bhpannualreport2025.pdf
Page: 118
Available: 2025-08-19
SHA-256: seed-register-hash:BHP-2025-COST</xltc:text>
  </xltc:threadedComment>
  <xltc:threadedComment ref="P10" dT="2026-08-15T06:51:35.609" personId="{B2145340-41FB-4BFA-8AFB-959C37CD5CDE}" id="{9E0A3C03-F7F7-40B8-594C-1134A321AF12}">
    <xltc:text>Source: https://www.bhp.com/-/media/documents/investors/annual-reports/2025/250819_bhpannualreport2025.pdf
Page: 119
Available: 2025-08-19
SHA-256: seed-register-hash:BHP-2025-DEBT</xltc:text>
  </xltc:threadedComment>
  <xltc:threadedComment ref="P11" dT="2026-08-15T06:51:35.609" personId="{B2145340-41FB-4BFA-8AFB-959C37CD5CDE}" id="{6A469CC5-9E84-42E7-A4A2-5046B5EB797A}">
    <xltc:text>Source: https://www.bhp.com/-/media/documents/investors/annual-reports/2025/250819_bhpannualreport2025.pdf
Page: 160
Available: 2025-08-19
SHA-256: seed-register-hash:BHP-2025-FX</xltc:text>
  </xltc:threadedComment>
  <xltc:threadedComment ref="P12" dT="2026-08-15T06:51:35.609" personId="{B2145340-41FB-4BFA-8AFB-959C37CD5CDE}" id="{49F38930-D4FC-9148-B4AB-7B8868A6B1C4}">
    <xltc:text>Source: https://www.bhp.com/-/media/documents/investors/annual-reports/2025/250819_bhpannualreport2025.pdf
Page: 139
Available: 2025-08-19
SHA-256: seed-register-hash:BHP-2025-INV-CLOSE</xltc:text>
  </xltc:threadedComment>
  <xltc:threadedComment ref="P13" dT="2026-08-15T06:51:35.609" personId="{B2145340-41FB-4BFA-8AFB-959C37CD5CDE}" id="{6AE471B8-00A6-D8CA-E30E-F2F43B242CB2}">
    <xltc:text>Source: https://www.bhp.com/-/media/documents/investors/annual-reports/2025/250819_bhpannualreport2025.pdf
Page: 139
Available: 2025-08-19
SHA-256: seed-register-hash:BHP-2025-INV-OPEN</xltc:text>
  </xltc:threadedComment>
  <xltc:threadedComment ref="P14" dT="2026-08-15T06:51:35.609" personId="{B2145340-41FB-4BFA-8AFB-959C37CD5CDE}" id="{070A3F26-F4D3-3501-5B26-B76E24181EE6}">
    <xltc:text>Source: https://www.bhp.com/-/media/documents/investors/annual-reports/2025/250819_bhpannualreport2025.pdf
Page: 118
Available: 2025-08-19
SHA-256: seed-register-hash:BHP-2025-REV</xltc:text>
  </xltc:threadedComment>
  <xltc:threadedComment ref="P15" dT="2026-08-15T06:51:35.61" personId="{B2145340-41FB-4BFA-8AFB-959C37CD5CDE}" id="{DB4AA7DC-83F7-AA9C-6650-AC0FBB081C37}">
    <xltc:text>Source: https://www.glencore.com/.rest/api/v1/documents/static/9b103e11-72e7-40bf-ae7c-eabe57361522/GLEN-2025-Annual-Report.pdf
Page: 205
Available: 2026-03-10
SHA-256: seed-register-hash:GLEN-2025-AP-CLOSE</xltc:text>
  </xltc:threadedComment>
  <xltc:threadedComment ref="P16" dT="2026-08-15T06:51:35.61" personId="{B2145340-41FB-4BFA-8AFB-959C37CD5CDE}" id="{E8A6B8CE-ACDD-0EA3-3036-3FEA4BE387E5}">
    <xltc:text>Source: https://www.glencore.com/.rest/api/v1/documents/static/9b103e11-72e7-40bf-ae7c-eabe57361522/GLEN-2025-Annual-Report.pdf
Page: 205
Available: 2026-03-10
SHA-256: seed-register-hash:GLEN-2025-AP-OPEN</xltc:text>
  </xltc:threadedComment>
  <xltc:threadedComment ref="P17" dT="2026-08-15T06:51:35.61" personId="{B2145340-41FB-4BFA-8AFB-959C37CD5CDE}" id="{F5132FA4-62BD-C63C-B25A-A7E1FE946B04}">
    <xltc:text>Source: https://www.glencore.com/.rest/api/v1/documents/static/9b103e11-72e7-40bf-ae7c-eabe57361522/GLEN-2025-Annual-Report.pdf
Page: 186
Available: 2026-03-10
SHA-256: seed-register-hash:GLEN-2025-AR-CLOSE</xltc:text>
  </xltc:threadedComment>
  <xltc:threadedComment ref="P18" dT="2026-08-15T06:51:35.61" personId="{B2145340-41FB-4BFA-8AFB-959C37CD5CDE}" id="{924A75EC-79F9-BE2D-03E1-123D59F3BF71}">
    <xltc:text>Source: https://www.glencore.com/.rest/api/v1/documents/static/9b103e11-72e7-40bf-ae7c-eabe57361522/GLEN-2025-Annual-Report.pdf
Page: 186
Available: 2026-03-10
SHA-256: seed-register-hash:GLEN-2025-AR-OPEN</xltc:text>
  </xltc:threadedComment>
  <xltc:threadedComment ref="P19" dT="2026-08-15T06:51:35.61" personId="{B2145340-41FB-4BFA-8AFB-959C37CD5CDE}" id="{7DFAAAEE-9F37-70B4-1295-82F48891DA0C}">
    <xltc:text>Source: https://www.glencore.com/.rest/api/v1/documents/static/9b103e11-72e7-40bf-ae7c-eabe57361522/GLEN-2025-Annual-Report.pdf
Page: 136
Available: 2026-03-10
SHA-256: seed-register-hash:GLEN-2025-COST</xltc:text>
  </xltc:threadedComment>
  <xltc:threadedComment ref="P20" dT="2026-08-15T06:51:35.61" personId="{B2145340-41FB-4BFA-8AFB-959C37CD5CDE}" id="{E2EA446D-49CF-67B3-25D3-448163193339}">
    <xltc:text>Source: https://www.glencore.com/.rest/api/v1/documents/static/9b103e11-72e7-40bf-ae7c-eabe57361522/GLEN-2025-Annual-Report.pdf
Page: 138
Available: 2026-03-10
SHA-256: seed-register-hash:GLEN-2025-DEBT</xltc:text>
  </xltc:threadedComment>
  <xltc:threadedComment ref="P21" dT="2026-08-15T06:51:35.61" personId="{B2145340-41FB-4BFA-8AFB-959C37CD5CDE}" id="{130AC7D8-E99A-FB9E-EC90-C0CC209F65EE}">
    <xltc:text>Source: https://www.glencore.com/.rest/api/v1/documents/static/9b103e11-72e7-40bf-ae7c-eabe57361522/GLEN-2025-Annual-Report.pdf
Page: 212
Available: 2026-03-10
SHA-256: seed-register-hash:GLEN-2025-FX</xltc:text>
  </xltc:threadedComment>
  <xltc:threadedComment ref="P22" dT="2026-08-15T06:51:35.61" personId="{B2145340-41FB-4BFA-8AFB-959C37CD5CDE}" id="{DFEDA6A7-98B9-D90B-F8E4-87463C1ABE71}">
    <xltc:text>Source: https://www.glencore.com/.rest/api/v1/documents/static/9b103e11-72e7-40bf-ae7c-eabe57361522/GLEN-2025-Annual-Report.pdf
Page: 185
Available: 2026-03-10
SHA-256: seed-register-hash:GLEN-2025-INV-CLOSE</xltc:text>
  </xltc:threadedComment>
  <xltc:threadedComment ref="P23" dT="2026-08-15T06:51:35.61" personId="{B2145340-41FB-4BFA-8AFB-959C37CD5CDE}" id="{F908D626-E856-7A2E-B578-6FFFAF10A067}">
    <xltc:text>Source: https://www.glencore.com/.rest/api/v1/documents/static/9b103e11-72e7-40bf-ae7c-eabe57361522/GLEN-2025-Annual-Report.pdf
Page: 185
Available: 2026-03-10
SHA-256: seed-register-hash:GLEN-2025-INV-OPEN</xltc:text>
  </xltc:threadedComment>
  <xltc:threadedComment ref="P24" dT="2026-08-15T06:51:35.61" personId="{B2145340-41FB-4BFA-8AFB-959C37CD5CDE}" id="{4691BC9F-FA65-4FBB-BE88-C3485B37BF5B}">
    <xltc:text>Source: https://www.glencore.com/.rest/api/v1/documents/static/9b103e11-72e7-40bf-ae7c-eabe57361522/GLEN-2025-Annual-Report.pdf
Page: 136
Available: 2026-03-10
SHA-256: seed-register-hash:GLEN-2025-REV</xltc:text>
  </xltc:threadedComment>
  <xltc:threadedComment ref="P25" dT="2026-08-15T06:51:35.61" personId="{B2145340-41FB-4BFA-8AFB-959C37CD5CDE}" id="{54D1659D-A9A9-797D-09FE-9CCD3046EB3B}">
    <xltc:text>Source: https://www.angloamerican.com/~/media/Files/A/Anglo-American-Group-v9/PLC/investors/annual-reporting/2025/aa-annual-report-full-2025.pdf
Page: 274
Available: 2026-03-02
SHA-256: 362b9ebb43ca8ce3cf0a87f5ba174047ab499c4cd8f5a48eeb1bf83530a176fb</xltc:text>
  </xltc:threadedComment>
  <xltc:threadedComment ref="P26" dT="2026-08-15T06:51:35.61" personId="{B2145340-41FB-4BFA-8AFB-959C37CD5CDE}" id="{32021335-239B-D7CF-C593-02492073755E}">
    <xltc:text>Source: https://www.angloamerican.com/~/media/Files/A/Anglo-American-Group-v9/PLC/investors/annual-reporting/2025/aa-annual-report-full-2025.pdf
Page: 274
Available: 2026-03-02
SHA-256: 362b9ebb43ca8ce3cf0a87f5ba174047ab499c4cd8f5a48eeb1bf83530a176fb</xltc:text>
  </xltc:threadedComment>
  <xltc:threadedComment ref="P27" dT="2026-08-15T06:51:35.61" personId="{B2145340-41FB-4BFA-8AFB-959C37CD5CDE}" id="{2D4C52F2-DF0E-98A8-DBAD-465EFEA6430C}">
    <xltc:text>Source: https://www.angloamerican.com/~/media/Files/A/Anglo-American-Group-v9/PLC/investors/annual-reporting/2025/aa-annual-report-full-2025.pdf
Page: 272
Available: 2026-03-02
SHA-256: 362b9ebb43ca8ce3cf0a87f5ba174047ab499c4cd8f5a48eeb1bf83530a176fb</xltc:text>
  </xltc:threadedComment>
  <xltc:threadedComment ref="P28" dT="2026-08-15T06:51:35.61" personId="{B2145340-41FB-4BFA-8AFB-959C37CD5CDE}" id="{4F673CEB-0DB2-16EC-1BF9-E9916FC0D89C}">
    <xltc:text>Source: https://reports.anglogoldashanti.com/25/download/AGA-AR25.pdf
Page: 160
Available: 2026-03-26
SHA-256: 958d89150d1125af3eb9032ac7f3c9da2c22c8bfd67e8447c688c8ad0c21dd35</xltc:text>
  </xltc:threadedComment>
  <xltc:threadedComment ref="P29" dT="2026-08-15T06:51:35.61" personId="{B2145340-41FB-4BFA-8AFB-959C37CD5CDE}" id="{8C766CE4-DCA4-0227-2719-EC43FBE4EB3E}">
    <xltc:text>Source: https://reports.anglogoldashanti.com/25/download/AGA-AR25.pdf
Page: 160
Available: 2026-03-26
SHA-256: 958d89150d1125af3eb9032ac7f3c9da2c22c8bfd67e8447c688c8ad0c21dd35</xltc:text>
  </xltc:threadedComment>
  <xltc:threadedComment ref="P30" dT="2026-08-15T06:51:35.61" personId="{B2145340-41FB-4BFA-8AFB-959C37CD5CDE}" id="{030B07FB-3D16-4698-B4D5-9BFD808ED081}">
    <xltc:text>Source: https://reports.anglogoldashanti.com/25/download/AGA-AR25.pdf
Page: 158
Available: 2026-03-26
SHA-256: 958d89150d1125af3eb9032ac7f3c9da2c22c8bfd67e8447c688c8ad0c21dd35</xltc:text>
  </xltc:threadedComment>
  <xltc:threadedComment ref="P31" dT="2026-08-15T06:51:35.61" personId="{B2145340-41FB-4BFA-8AFB-959C37CD5CDE}" id="{BB835A0A-AC15-BD40-37D2-BB2D5D7D1A29}">
    <xltc:text>Source: https://www.goldfields.com/pdf/investors/integrated-annual-reports/2025/afs-2025.pdf
Page: 74
Available: 2026-03-27
SHA-256: 0819d8e37085aaa5adb8305c3bcdd5b5a9631cf40f594950beaeb6c77077fc0a</xltc:text>
  </xltc:threadedComment>
  <xltc:threadedComment ref="P32" dT="2026-08-15T06:51:35.61" personId="{B2145340-41FB-4BFA-8AFB-959C37CD5CDE}" id="{ACE1C8E0-F10B-F24B-C4C3-09990BA1EAF5}">
    <xltc:text>Source: https://www.goldfields.com/pdf/investors/integrated-annual-reports/2025/afs-2025.pdf
Page: 74
Available: 2026-03-27
SHA-256: 0819d8e37085aaa5adb8305c3bcdd5b5a9631cf40f594950beaeb6c77077fc0a</xltc:text>
  </xltc:threadedComment>
  <xltc:threadedComment ref="P33" dT="2026-08-15T06:51:35.61" personId="{B2145340-41FB-4BFA-8AFB-959C37CD5CDE}" id="{89E2F11B-ECCC-3429-226F-74770117AB92}">
    <xltc:text>Source: https://www.goldfields.com/pdf/investors/integrated-annual-reports/2025/afs-2025.pdf
Page: 72
Available: 2026-03-27
SHA-256: 0819d8e37085aaa5adb8305c3bcdd5b5a9631cf40f594950beaeb6c77077fc0a</xltc:text>
  </xltc:threadedComment>
  <xltc:threadedComment ref="P34" dT="2026-08-15T06:51:35.61" personId="{B2145340-41FB-4BFA-8AFB-959C37CD5CDE}" id="{FE94A6DE-84F6-0201-3EFF-69B3D6B7D622}">
    <xltc:text>Source: https://www.valterraplatinum.com/wp-content/uploads/2026/05/annual-financial-statements-2025.pdf
Page: 25
Available: 2026-03-27
SHA-256: 84ab45295a07c93d3fa39a24962c05ac600f45ed2c9683b16b4dc2cc7ba170f8</xltc:text>
  </xltc:threadedComment>
  <xltc:threadedComment ref="P35" dT="2026-08-15T06:51:35.61" personId="{B2145340-41FB-4BFA-8AFB-959C37CD5CDE}" id="{5FADB78B-442A-2857-7CCC-D525C440BCCF}">
    <xltc:text>Source: https://www.valterraplatinum.com/wp-content/uploads/2026/05/annual-financial-statements-2025.pdf
Page: 25
Available: 2026-03-27
SHA-256: 84ab45295a07c93d3fa39a24962c05ac600f45ed2c9683b16b4dc2cc7ba170f8</xltc:text>
  </xltc:threadedComment>
  <xltc:threadedComment ref="P36" dT="2026-08-15T06:51:35.61" personId="{B2145340-41FB-4BFA-8AFB-959C37CD5CDE}" id="{33238565-3127-12AD-ACAF-5A83E4E3101E}">
    <xltc:text>Source: https://www.valterraplatinum.com/wp-content/uploads/2026/05/annual-financial-statements-2025.pdf
Page: 24
Available: 2026-03-27
SHA-256: 84ab45295a07c93d3fa39a24962c05ac600f45ed2c9683b16b4dc2cc7ba170f8</xltc:text>
  </xltc:threadedComment>
  <xltc:threadedComment ref="P37" dT="2026-08-15T06:51:35.61" personId="{B2145340-41FB-4BFA-8AFB-959C37CD5CDE}" id="{DBA819E1-2CFB-40C0-8E60-4EBBB4963742}">
    <xltc:text>Source: https://group.outsurance.co.za/globalassets/documents/investor-relations/reports-and-results/2025/ogl-annual-financial-statements-2025.pdf
Page: 21
Available: 2025-09-15
SHA-256: 3f03545e101a357d73e3f26863473adc341b4b0382ab2b8248b322900ef38b3c</xltc:text>
  </xltc:threadedComment>
  <xltc:threadedComment ref="P38" dT="2026-08-15T06:51:35.61" personId="{B2145340-41FB-4BFA-8AFB-959C37CD5CDE}" id="{831BC617-DC59-E847-0D3A-95946FD8D988}">
    <xltc:text>Source: https://group.outsurance.co.za/globalassets/documents/investor-relations/reports-and-results/2025/ogl-annual-financial-statements-2025.pdf
Page: 21
Available: 2025-09-15
SHA-256: 3f03545e101a357d73e3f26863473adc341b4b0382ab2b8248b322900ef38b3c</xltc:text>
  </xltc:threadedComment>
  <xltc:threadedComment ref="P39" dT="2026-08-15T06:51:35.61" personId="{B2145340-41FB-4BFA-8AFB-959C37CD5CDE}" id="{9625D7E8-9A23-1EEE-66C1-3D1F41528532}">
    <xltc:text>Source: https://group.outsurance.co.za/globalassets/documents/investor-relations/reports-and-results/2025/ogl-annual-financial-statements-2025.pdf
Page: 19
Available: 2025-09-15
SHA-256: 3f03545e101a357d73e3f26863473adc341b4b0382ab2b8248b322900ef38b3c</xltc:text>
  </xltc:threadedComment>
  <xltc:threadedComment ref="P40" dT="2026-08-15T06:51:35.61" personId="{B2145340-41FB-4BFA-8AFB-959C37CD5CDE}" id="{36A13555-305E-B2C5-2B7A-87476C5BA766}">
    <xltc:text>Source: https://www.sanlam.com/downloads/integrated-report-and-annual-financial-statements/2024/Sanlam-AFS-2024-spreads.pdf
Page: 42
Available: 2025-03-07
SHA-256: fc2487f72420917e9c52f78bc4a7800a1e4270781aa2117632f69680b4ca14da</xltc:text>
  </xltc:threadedComment>
  <xltc:threadedComment ref="P41" dT="2026-08-15T06:51:35.61" personId="{B2145340-41FB-4BFA-8AFB-959C37CD5CDE}" id="{69541CEA-6E11-BC48-6898-36AE3D548AB4}">
    <xltc:text>Source: https://www.sanlam.com/downloads/integrated-report-and-annual-financial-statements/2024/Sanlam-AFS-2024-spreads.pdf
Page: 42
Available: 2025-03-07
SHA-256: fc2487f72420917e9c52f78bc4a7800a1e4270781aa2117632f69680b4ca14da</xltc:text>
  </xltc:threadedComment>
  <xltc:threadedComment ref="P42" dT="2026-08-15T06:51:35.611" personId="{B2145340-41FB-4BFA-8AFB-959C37CD5CDE}" id="{12AFE746-FDD9-963F-DCFD-DC968D22FFA6}">
    <xltc:text>Source: https://www.sanlam.com/downloads/integrated-report-and-annual-financial-statements/2024/Sanlam-AFS-2024-spreads.pdf
Page: 42
Available: 2025-03-07
SHA-256: fc2487f72420917e9c52f78bc4a7800a1e4270781aa2117632f69680b4ca14da</xltc:text>
  </xltc:threadedComment>
  <xltc:threadedComment ref="P43" dT="2026-08-15T06:51:35.611" personId="{B2145340-41FB-4BFA-8AFB-959C37CD5CDE}" id="{425C83BD-D4DC-BDED-071D-487523F8AC3F}">
    <xltc:text>Source: https://www.shopriteholdings.co.za/docs/shp-afs-2025.pdf
Page: 18
Available: 2025-10-13
SHA-256: seed-register-hash:SHP-2025-AP-CLOSE</xltc:text>
  </xltc:threadedComment>
  <xltc:threadedComment ref="P44" dT="2026-08-15T06:51:35.611" personId="{B2145340-41FB-4BFA-8AFB-959C37CD5CDE}" id="{2D72A011-0216-7D35-09A3-D704E88BAEE3}">
    <xltc:text>Source: https://www.shopriteholdings.co.za/docs/shp-afs-2025.pdf
Page: 18
Available: 2025-10-13
SHA-256: seed-register-hash:SHP-2025-AP-OPEN</xltc:text>
  </xltc:threadedComment>
  <xltc:threadedComment ref="P45" dT="2026-08-15T06:51:35.611" personId="{B2145340-41FB-4BFA-8AFB-959C37CD5CDE}" id="{86FBCAB8-88A0-F97B-4FA1-13C4BEAA369D}">
    <xltc:text>Source: https://www.shopriteholdings.co.za/docs/shp-afs-2025.pdf
Page: 18
Available: 2025-10-13
SHA-256: seed-register-hash:SHP-2025-AR-CLOSE</xltc:text>
  </xltc:threadedComment>
  <xltc:threadedComment ref="P46" dT="2026-08-15T06:51:35.611" personId="{B2145340-41FB-4BFA-8AFB-959C37CD5CDE}" id="{9185AC7C-5FA5-8BAE-5D74-F86F31883FC5}">
    <xltc:text>Source: https://www.shopriteholdings.co.za/docs/shp-afs-2025.pdf
Page: 18
Available: 2025-10-13
SHA-256: seed-register-hash:SHP-2025-AR-OPEN</xltc:text>
  </xltc:threadedComment>
  <xltc:threadedComment ref="P47" dT="2026-08-15T06:51:35.611" personId="{B2145340-41FB-4BFA-8AFB-959C37CD5CDE}" id="{8F348568-9728-931E-D9B2-061F382ED13A}">
    <xltc:text>Source: https://www.shopriteholdings.co.za/docs/shp-afs-2025.pdf
Page: 19
Available: 2025-10-13
SHA-256: seed-register-hash:SHP-2025-COST</xltc:text>
  </xltc:threadedComment>
  <xltc:threadedComment ref="P48" dT="2026-08-15T06:51:35.611" personId="{B2145340-41FB-4BFA-8AFB-959C37CD5CDE}" id="{E5746BEC-90A8-ABA0-16B5-A6A9F11A2C96}">
    <xltc:text>Source: https://www.shopriteholdings.co.za/docs/shp-afs-2025.pdf
Page: 18
Available: 2025-10-13
SHA-256: seed-register-hash:SHP-2025-DEBT</xltc:text>
  </xltc:threadedComment>
  <xltc:threadedComment ref="P49" dT="2026-08-15T06:51:35.611" personId="{B2145340-41FB-4BFA-8AFB-959C37CD5CDE}" id="{4B1E6C62-4809-1469-5784-9EA7A65F2E2D}">
    <xltc:text>Source: https://www.shopriteholdings.co.za/docs/shp-afs-2025.pdf
Page: 118
Available: 2025-10-13
SHA-256: seed-register-hash:SHP-2025-FX</xltc:text>
  </xltc:threadedComment>
  <xltc:threadedComment ref="P50" dT="2026-08-15T06:51:35.611" personId="{B2145340-41FB-4BFA-8AFB-959C37CD5CDE}" id="{271EEFA8-492B-5EC5-67E3-8B28D1AE9871}">
    <xltc:text>Source: https://www.shopriteholdings.co.za/docs/shp-afs-2025.pdf
Page: 18
Available: 2025-10-13
SHA-256: seed-register-hash:SHP-2025-INV-CLOSE</xltc:text>
  </xltc:threadedComment>
  <xltc:threadedComment ref="P51" dT="2026-08-15T06:51:35.611" personId="{B2145340-41FB-4BFA-8AFB-959C37CD5CDE}" id="{3430FD27-2DAA-4633-A322-0688F2FCD467}">
    <xltc:text>Source: https://www.shopriteholdings.co.za/docs/shp-afs-2025.pdf
Page: 18
Available: 2025-10-13
SHA-256: seed-register-hash:SHP-2025-INV-OPEN</xltc:text>
  </xltc:threadedComment>
  <xltc:threadedComment ref="P52" dT="2026-08-15T06:51:35.611" personId="{B2145340-41FB-4BFA-8AFB-959C37CD5CDE}" id="{8D7DF3C9-36A9-2E8C-6160-11B116238A97}">
    <xltc:text>Source: https://www.shopriteholdings.co.za/docs/shp-afs-2025.pdf
Page: 19
Available: 2025-10-13
SHA-256: seed-register-hash:SHP-2025-REV</xltc:text>
  </xltc:threadedComment>
  <xltc:threadedComment ref="P53" dT="2026-08-15T06:51:35.611" personId="{B2145340-41FB-4BFA-8AFB-959C37CD5CDE}" id="{31933AFB-CA47-471A-E7EB-D7E5B693D87A}">
    <xltc:text>Source: https://www.shopriteholdings.co.za/docs/shp-afs-2025.pdf
Page: 18
Available: 2025-10-13
SHA-256: seed-register-hash:SHP-2025-STF</xltc:text>
  </xltc:threadedComment>
  <xltc:threadedComment ref="P54" dT="2026-08-15T06:51:35.611" personId="{B2145340-41FB-4BFA-8AFB-959C37CD5CDE}" id="{CEB8E96A-F9CE-D6E4-1345-25BEA6D4853C}">
    <xltc:text>Source: https://www.bidcorpgroup.com/pdf/reports/2025/Bidcorp-2025-AIR.pdf
Page: 19
Available: 2025-10-30
SHA-256: f2516d780aff52d4a5de8be9a2f02e753e948e13450e77f2b1603784b5215c9f</xltc:text>
  </xltc:threadedComment>
  <xltc:threadedComment ref="P55" dT="2026-08-15T06:51:35.611" personId="{B2145340-41FB-4BFA-8AFB-959C37CD5CDE}" id="{CE8B63E6-EC70-4885-EBBF-C61B84B9BD02}">
    <xltc:text>Source: https://www.bidcorpgroup.com/pdf/reports/2025/Bidcorp-2025-AIR.pdf
Page: 19
Available: 2025-10-30
SHA-256: f2516d780aff52d4a5de8be9a2f02e753e948e13450e77f2b1603784b5215c9f</xltc:text>
  </xltc:threadedComment>
  <xltc:threadedComment ref="P56" dT="2026-08-15T06:51:35.611" personId="{B2145340-41FB-4BFA-8AFB-959C37CD5CDE}" id="{1236AB2A-50DD-58C5-F0CF-0A77396ECCB9}">
    <xltc:text>Source: https://www.bidcorpgroup.com/pdf/reports/2025/Bidcorp-2025-AIR.pdf
Page: 18
Available: 2025-10-30
SHA-256: f2516d780aff52d4a5de8be9a2f02e753e948e13450e77f2b1603784b5215c9f</xltc:text>
  </xltc:threadedComment>
  <xltc:threadedComment ref="P57" dT="2026-08-15T06:51:35.611" personId="{B2145340-41FB-4BFA-8AFB-959C37CD5CDE}" id="{23B809AB-666E-3843-AA8B-2E06C9D6735C}">
    <xltc:text>Source: https://pepkor.co.za/wp-content/uploads/Pepkor-annual-financial-statements-2025.pdf
Page: 23
Available: 2025-12-15
SHA-256: 7715894a86e0e6b06b26b90b6e5bad3ffb85b8cd6166701bf52ddf8e053193d3</xltc:text>
  </xltc:threadedComment>
  <xltc:threadedComment ref="P58" dT="2026-08-15T06:51:35.611" personId="{B2145340-41FB-4BFA-8AFB-959C37CD5CDE}" id="{F9218197-D7D7-96FC-5DEE-19E1B89C6668}">
    <xltc:text>Source: https://pepkor.co.za/wp-content/uploads/Pepkor-annual-financial-statements-2025.pdf
Page: 23
Available: 2025-12-15
SHA-256: 7715894a86e0e6b06b26b90b6e5bad3ffb85b8cd6166701bf52ddf8e053193d3</xltc:text>
  </xltc:threadedComment>
  <xltc:threadedComment ref="P59" dT="2026-08-15T06:51:35.611" personId="{B2145340-41FB-4BFA-8AFB-959C37CD5CDE}" id="{49C564EF-C6E1-AA3E-BAE6-F9B6B7DAF702}">
    <xltc:text>Source: https://pepkor.co.za/wp-content/uploads/Pepkor-annual-financial-statements-2025.pdf
Page: 21
Available: 2025-12-15
SHA-256: 7715894a86e0e6b06b26b90b6e5bad3ffb85b8cd6166701bf52ddf8e053193d3</xltc:text>
  </xltc:threadedComment>
  <xltc:threadedComment ref="P60" dT="2026-08-15T06:51:35.611" personId="{B2145340-41FB-4BFA-8AFB-959C37CD5CDE}" id="{6A34B57F-09E3-5DA4-9CDF-BDD9AFC15C62}">
    <xltc:text>Source: https://clicksgroup.co.za/iar2025/wp-content/uploads/CGL-YE25-Annual-financial-statements.pdf
Page: 10
Available: 2025-11-06
SHA-256: 664c3ce033c0d36157277ae5ef9f28a933edd4acebc8cec649069cd20d9c576d</xltc:text>
  </xltc:threadedComment>
  <xltc:threadedComment ref="P61" dT="2026-08-15T06:51:35.611" personId="{B2145340-41FB-4BFA-8AFB-959C37CD5CDE}" id="{EA67CC0C-3B7B-6001-4E9C-C907CB9A2E41}">
    <xltc:text>Source: https://clicksgroup.co.za/iar2025/wp-content/uploads/CGL-YE25-Annual-financial-statements.pdf
Page: 10
Available: 2025-11-06
SHA-256: 664c3ce033c0d36157277ae5ef9f28a933edd4acebc8cec649069cd20d9c576d</xltc:text>
  </xltc:threadedComment>
  <xltc:threadedComment ref="P62" dT="2026-08-15T06:51:35.611" personId="{B2145340-41FB-4BFA-8AFB-959C37CD5CDE}" id="{2C705125-9621-DC7B-9356-1AFFFB014183}">
    <xltc:text>Source: https://clicksgroup.co.za/iar2025/wp-content/uploads/CGL-YE25-Annual-financial-statements.pdf
Page: 10
Available: 2025-11-06
SHA-256: 664c3ce033c0d36157277ae5ef9f28a933edd4acebc8cec649069cd20d9c576d</xltc:text>
  </xltc:threadedComment>
  <xltc:threadedComment ref="P63" dT="2026-08-15T06:51:35.611" personId="{B2145340-41FB-4BFA-8AFB-959C37CD5CDE}" id="{4127462E-7049-10C8-6E6D-2726FCAFA040}">
    <xltc:text>Source: https://nepirockcastle.com/wp-content/uploads/2026/03/NEPI_Rockcastle_Annual_Report_2025.pdf
Page: 310
Available: 2026-03-18
SHA-256: 4124bee2bfb55a181cda56963bd733605a2cc53a7882b1d6108358b33da479f3</xltc:text>
  </xltc:threadedComment>
  <xltc:threadedComment ref="P64" dT="2026-08-15T06:51:35.611" personId="{B2145340-41FB-4BFA-8AFB-959C37CD5CDE}" id="{DDC7860C-4BF8-FE8E-AB94-BF36F51E4742}">
    <xltc:text>Source: https://nepirockcastle.com/wp-content/uploads/2026/03/NEPI_Rockcastle_Annual_Report_2025.pdf
Page: 310
Available: 2026-03-18
SHA-256: 4124bee2bfb55a181cda56963bd733605a2cc53a7882b1d6108358b33da479f3</xltc:text>
  </xltc:threadedComment>
  <xltc:threadedComment ref="P65" dT="2026-08-15T06:51:35.611" personId="{B2145340-41FB-4BFA-8AFB-959C37CD5CDE}" id="{355CD349-BEF2-1F91-3717-B7779FC267B7}">
    <xltc:text>Source: https://nepirockcastle.com/wp-content/uploads/2026/03/NEPI_Rockcastle_Annual_Report_2025.pdf
Page: 311
Available: 2026-03-18
SHA-256: 4124bee2bfb55a181cda56963bd733605a2cc53a7882b1d6108358b33da479f3</xltc:text>
  </xltc:threadedComment>
  <xltc:threadedComment ref="P66" dT="2026-08-15T06:51:35.611" personId="{B2145340-41FB-4BFA-8AFB-959C37CD5CDE}" id="{BE707954-D4F8-3036-E784-0F6EF373E3B1}">
    <xltc:text>Source: https://www.prosus.com/~/media/Files/P/prosus-corp-v2/results-reports-and-events-archive/annual-report/2026/fy2026-annual-report.pdf
Page: 140
Available: 2026-06-29
SHA-256: 3ea6278d374118f72fe41ac635d4b622bc1b59be44f5db9c0a7bc321ceabf077</xltc:text>
  </xltc:threadedComment>
  <xltc:threadedComment ref="P67" dT="2026-08-15T06:51:35.611" personId="{B2145340-41FB-4BFA-8AFB-959C37CD5CDE}" id="{30C17E09-F415-E5D5-1412-983D6592AE59}">
    <xltc:text>Source: https://www.prosus.com/~/media/Files/P/prosus-corp-v2/results-reports-and-events-archive/annual-report/2026/fy2026-annual-report.pdf
Page: 140
Available: 2026-06-29
SHA-256: 3ea6278d374118f72fe41ac635d4b622bc1b59be44f5db9c0a7bc321ceabf077</xltc:text>
  </xltc:threadedComment>
  <xltc:threadedComment ref="P68" dT="2026-08-15T06:51:35.611" personId="{B2145340-41FB-4BFA-8AFB-959C37CD5CDE}" id="{946D1FE7-F4AA-6563-A358-3F55219C3AED}">
    <xltc:text>Source: https://www.prosus.com/~/media/Files/P/prosus-corp-v2/results-reports-and-events-archive/annual-report/2026/fy2026-annual-report.pdf
Page: 141
Available: 2026-06-29
SHA-256: 3ea6278d374118f72fe41ac635d4b622bc1b59be44f5db9c0a7bc321ceabf077</xltc:text>
  </xltc:threadedComment>
  <xltc:threadedComment ref="P69" dT="2026-08-15T06:51:35.611" personId="{B2145340-41FB-4BFA-8AFB-959C37CD5CDE}" id="{FF9DEADC-5F2B-2C71-0EDD-31A65A1DAC80}">
    <xltc:text>Source: https://www.naspers.com/~/media/Files/N/Naspers-Corp-V2/results-reports-and-events-archive/latest-results/fy-2026/naspers-annual-financial-statements-2026.pdf
Page: 32
Available: 2026-06-29
SHA-256: e0d23733f611c2b81f2b8c7362c492178fe52b3109472db1e08efe824298f17b</xltc:text>
  </xltc:threadedComment>
  <xltc:threadedComment ref="P70" dT="2026-08-15T06:51:35.611" personId="{B2145340-41FB-4BFA-8AFB-959C37CD5CDE}" id="{99FA21E2-86C5-2A76-2880-8215954AA3D4}">
    <xltc:text>Source: https://www.naspers.com/~/media/Files/N/Naspers-Corp-V2/results-reports-and-events-archive/latest-results/fy-2026/naspers-annual-financial-statements-2026.pdf
Page: 32
Available: 2026-06-29
SHA-256: e0d23733f611c2b81f2b8c7362c492178fe52b3109472db1e08efe824298f17b</xltc:text>
  </xltc:threadedComment>
  <xltc:threadedComment ref="P71" dT="2026-08-15T06:51:35.611" personId="{B2145340-41FB-4BFA-8AFB-959C37CD5CDE}" id="{901E21A1-49DD-A0DA-0A10-1EDE8076C1B3}">
    <xltc:text>Source: https://www.naspers.com/~/media/Files/N/Naspers-Corp-V2/results-reports-and-events-archive/latest-results/fy-2026/naspers-annual-financial-statements-2026.pdf
Page: 33
Available: 2026-06-29
SHA-256: e0d23733f611c2b81f2b8c7362c492178fe52b3109472db1e08efe824298f17b</xltc:text>
  </xltc:threadedComment>
  <xltc:threadedComment ref="P72" dT="2026-08-15T06:51:35.611" personId="{B2145340-41FB-4BFA-8AFB-959C37CD5CDE}" id="{FCB3C38E-B0AF-A412-700D-4D9A9D2C2741}">
    <xltc:text>Source: https://www.mtn.com/wp-content/uploads/2026/03/MTN-Group-FY-25-Annual-Financial-Statements.pdf
Page: 23
Available: 2026-03-16
SHA-256: bea72f5adefd24ecb4dd8ed36e523730e19a3efb2fa9f79b63567bc4fac2e59b</xltc:text>
  </xltc:threadedComment>
  <xltc:threadedComment ref="P73" dT="2026-08-15T06:51:35.611" personId="{B2145340-41FB-4BFA-8AFB-959C37CD5CDE}" id="{9382A565-2A1D-550E-54B1-678F98943EC6}">
    <xltc:text>Source: https://www.mtn.com/wp-content/uploads/2026/03/MTN-Group-FY-25-Annual-Financial-Statements.pdf
Page: 23
Available: 2026-03-16
SHA-256: bea72f5adefd24ecb4dd8ed36e523730e19a3efb2fa9f79b63567bc4fac2e59b</xltc:text>
  </xltc:threadedComment>
  <xltc:threadedComment ref="P74" dT="2026-08-15T06:51:35.611" personId="{B2145340-41FB-4BFA-8AFB-959C37CD5CDE}" id="{40576489-4A24-6AA0-06F2-24F75770098B}">
    <xltc:text>Source: https://www.mtn.com/wp-content/uploads/2026/03/MTN-Group-FY-25-Annual-Financial-Statements.pdf
Page: 21
Available: 2026-03-16
SHA-256: bea72f5adefd24ecb4dd8ed36e523730e19a3efb2fa9f79b63567bc4fac2e59b</xltc:text>
  </xltc:threadedComment>
  <xltc:threadedComment ref="P75" dT="2026-08-15T06:51:35.611" personId="{B2145340-41FB-4BFA-8AFB-959C37CD5CDE}" id="{D80EF366-6BBD-D5AC-E71F-5666ED857ED8}">
    <xltc:text>Source: https://vodacom-reports.co.za/integrated-reports/ir-2026/documents/vodacom-consolidated-and-separate-financial-statements-2026.pdf
Page: 21
Available: 2026-06-12
SHA-256: d6f149d15a1e7a0edc82acd536f2d59644e2c9acce621a65878aa322390fd896</xltc:text>
  </xltc:threadedComment>
  <xltc:threadedComment ref="P76" dT="2026-08-15T06:51:35.611" personId="{B2145340-41FB-4BFA-8AFB-959C37CD5CDE}" id="{8E28E375-5E9B-B43C-02D8-1D69B6DBCCB7}">
    <xltc:text>Source: https://vodacom-reports.co.za/integrated-reports/ir-2026/documents/vodacom-consolidated-and-separate-financial-statements-2026.pdf
Page: 21
Available: 2026-06-12
SHA-256: d6f149d15a1e7a0edc82acd536f2d59644e2c9acce621a65878aa322390fd896</xltc:text>
  </xltc:threadedComment>
  <xltc:threadedComment ref="P77" dT="2026-08-15T06:51:35.611" personId="{B2145340-41FB-4BFA-8AFB-959C37CD5CDE}" id="{C52D303F-E26F-AEB2-82AD-C196257D053A}">
    <xltc:text>Source: https://vodacom-reports.co.za/integrated-reports/ir-2026/documents/vodacom-consolidated-and-separate-financial-statements-2026.pdf
Page: 19
Available: 2026-06-12
SHA-256: d6f149d15a1e7a0edc82acd536f2d59644e2c9acce621a65878aa322390fd896</xltc:text>
  </xltc:threadedComment>
  <xltc:threadedComment ref="P78" dT="2026-08-15T06:51:35.611" personId="{B2145340-41FB-4BFA-8AFB-959C37CD5CDE}" id="{AD3CBF1C-654B-022F-1CCE-E3B6B02846E3}">
    <xltc:text>Source: https://bidvest.co.za/pdf/annual-reports/2025/bidvest-iar-2025.pdf
Page: 43
Available: 2025-10-24
SHA-256: 2a44e26a70a3c05c45814de4aba756ef39bfa15e05137f49edd3ec22b722260a</xltc:text>
  </xltc:threadedComment>
  <xltc:threadedComment ref="P79" dT="2026-08-15T06:51:35.611" personId="{B2145340-41FB-4BFA-8AFB-959C37CD5CDE}" id="{2EEF0622-B8D5-960E-069D-57BC28C46AE4}">
    <xltc:text>Source: https://bidvest.co.za/pdf/annual-reports/2025/bidvest-iar-2025.pdf
Page: 44
Available: 2025-10-24
SHA-256: 2a44e26a70a3c05c45814de4aba756ef39bfa15e05137f49edd3ec22b722260a</xltc:text>
  </xltc:threadedComment>
  <xltc:threadedComment ref="P80" dT="2026-08-15T06:51:35.611" personId="{B2145340-41FB-4BFA-8AFB-959C37CD5CDE}" id="{C7A17400-8C3D-04F3-BB45-75623A8D8379}">
    <xltc:text>Source: https://bidvest.co.za/pdf/annual-reports/2025/bidvest-iar-2025.pdf
Page: 40
Available: 2025-10-24
SHA-256: 2a44e26a70a3c05c45814de4aba756ef39bfa15e05137f49edd3ec22b722260a</xltc:text>
  </xltc:threadedComment>
  <xltc:threadedComment ref="P81" dT="2026-08-15T06:51:35.611" personId="{B2145340-41FB-4BFA-8AFB-959C37CD5CDE}" id="{9CB15BCB-A81F-4C51-B6D7-CA70F830A75F}">
    <xltc:text>Source: https://www.aspenpharma.com/download/annual-financial-statements-2/
Page: 15
Available: 2025-10-02
SHA-256: a091fee4d4b575781836440b929291617c128f8f857b2dd0a7e0dfb4c1bcc53d</xltc:text>
  </xltc:threadedComment>
  <xltc:threadedComment ref="P82" dT="2026-08-15T06:51:35.611" personId="{B2145340-41FB-4BFA-8AFB-959C37CD5CDE}" id="{9CDE5188-52E3-BEBE-AC4D-8F98AC717AA6}">
    <xltc:text>Source: https://www.aspenpharma.com/download/annual-financial-statements-2/
Page: 15
Available: 2025-10-02
SHA-256: a091fee4d4b575781836440b929291617c128f8f857b2dd0a7e0dfb4c1bcc53d</xltc:text>
  </xltc:threadedComment>
  <xltc:threadedComment ref="P83" dT="2026-08-15T06:51:35.611" personId="{B2145340-41FB-4BFA-8AFB-959C37CD5CDE}" id="{96D773F7-6FC9-4DF1-46BC-3C5A65EBE44A}">
    <xltc:text>Source: https://www.aspenpharma.com/download/annual-financial-statements-2/
Page: 16
Available: 2025-10-02
SHA-256: a091fee4d4b575781836440b929291617c128f8f857b2dd0a7e0dfb4c1bcc53d</xltc:text>
  </xltc:threadedComment>
  <xltc:threadedComment ref="P84" dT="2026-08-15T06:51:35.612" personId="{B2145340-41FB-4BFA-8AFB-959C37CD5CDE}" id="{69BF4FC0-9856-F2BC-F517-9DC02348AB96}">
    <xltc:text>Source: https://senspdf.jse.co.za/documents/2026/JSE/isse/SHCE/FY25Result.pdf
Page: 22
Available: 2026-02-25
SHA-256: 71bcff13a20668eea8842f5ef28273ba787b0042b2fe7e1ea9faeb03b581ed53</xltc:text>
  </xltc:threadedComment>
  <xltc:threadedComment ref="P85" dT="2026-08-15T06:51:35.612" personId="{B2145340-41FB-4BFA-8AFB-959C37CD5CDE}" id="{EF1A8A33-3E41-8002-8157-23C7596AF4CA}">
    <xltc:text>Source: https://senspdf.jse.co.za/documents/2026/JSE/isse/SHCE/FY25Result.pdf
Page: 22
Available: 2026-02-25
SHA-256: 71bcff13a20668eea8842f5ef28273ba787b0042b2fe7e1ea9faeb03b581ed53</xltc:text>
  </xltc:threadedComment>
  <xltc:threadedComment ref="P86" dT="2026-08-15T06:51:35.612" personId="{B2145340-41FB-4BFA-8AFB-959C37CD5CDE}" id="{CBA415B4-31A9-6F43-882D-D511ADAA6836}">
    <xltc:text>Source: https://senspdf.jse.co.za/documents/2026/JSE/isse/SHCE/FY25Result.pdf
Page: 21
Available: 2026-02-25
SHA-256: 71bcff13a20668eea8842f5ef28273ba787b0042b2fe7e1ea9faeb03b581ed53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J5" dT="2026-08-15T06:51:36.013" personId="{B2145340-41FB-4BFA-8AFB-959C37CD5CDE}" id="{B01406AF-5C54-1385-E93F-8BC31DCEF046}">
    <xltc:text>Official source: https://www.bhp.com/-/media/documents/investors/annual-reports/2025/250819_bhpannualreport2025.pdf</xltc:text>
  </xltc:threadedComment>
  <xltc:threadedComment ref="J6" dT="2026-08-15T06:51:36.015" personId="{B2145340-41FB-4BFA-8AFB-959C37CD5CDE}" id="{6DD7D282-4D5B-6CEA-034D-91D0362B1489}">
    <xltc:text>Official source: https://www.glencore.com/.rest/api/v1/documents/static/9b103e11-72e7-40bf-ae7c-eabe57361522/GLEN-2025-Annual-Report.pdf</xltc:text>
  </xltc:threadedComment>
  <xltc:threadedComment ref="J7" dT="2026-08-15T06:51:36.019" personId="{B2145340-41FB-4BFA-8AFB-959C37CD5CDE}" id="{B744CA31-60A8-7C0A-67C6-4F7042734E04}">
    <xltc:text>Official source: https://www.angloamerican.com/~/media/Files/A/Anglo-American-Group-v9/PLC/investors/annual-reporting/2025/aa-annual-report-full-2025.pdf</xltc:text>
  </xltc:threadedComment>
  <xltc:threadedComment ref="J8" dT="2026-08-15T06:51:36.022" personId="{B2145340-41FB-4BFA-8AFB-959C37CD5CDE}" id="{2CBFDB07-DAC4-1F7C-80B7-A9AE350E67F7}">
    <xltc:text>Official source: https://reports.anglogoldashanti.com/25/download/AGA-AR25.pdf</xltc:text>
  </xltc:threadedComment>
  <xltc:threadedComment ref="J9" dT="2026-08-15T06:51:36.025" personId="{B2145340-41FB-4BFA-8AFB-959C37CD5CDE}" id="{C6FFBF76-75E5-A885-90FC-7A4822669D85}">
    <xltc:text>Official source: https://www.goldfields.com/pdf/investors/integrated-annual-reports/2025/afs-2025.pdf</xltc:text>
  </xltc:threadedComment>
  <xltc:threadedComment ref="J10" dT="2026-08-15T06:51:36.029" personId="{B2145340-41FB-4BFA-8AFB-959C37CD5CDE}" id="{48B6FC78-C54C-A341-9A8A-BAE4F532FF12}">
    <xltc:text>Official source: https://www.valterraplatinum.com/wp-content/uploads/2026/05/annual-financial-statements-2025.pdf</xltc:text>
  </xltc:threadedComment>
  <xltc:threadedComment ref="J11" dT="2026-08-15T06:51:36.031" personId="{B2145340-41FB-4BFA-8AFB-959C37CD5CDE}" id="{40834F88-B44F-30F0-0C1E-7A7EA53D4250}">
    <xltc:text>Official source: https://group.outsurance.co.za/globalassets/documents/investor-relations/reports-and-results/2025/ogl-annual-financial-statements-2025.pdf</xltc:text>
  </xltc:threadedComment>
  <xltc:threadedComment ref="J12" dT="2026-08-15T06:51:36.033" personId="{B2145340-41FB-4BFA-8AFB-959C37CD5CDE}" id="{8C86F84D-BA29-E3DB-77BF-71A0444405B8}">
    <xltc:text>Official source: https://www.sanlam.com/downloads/integrated-report-and-annual-financial-statements/2024/Sanlam-AFS-2024-spreads.pdf</xltc:text>
  </xltc:threadedComment>
  <xltc:threadedComment ref="J13" dT="2026-08-15T06:51:36.035" personId="{B2145340-41FB-4BFA-8AFB-959C37CD5CDE}" id="{E119E111-72FF-3D54-C250-0ADC5886F9C3}">
    <xltc:text>Official source: https://www.shopriteholdings.co.za/docs/shp-afs-2025.pdf</xltc:text>
  </xltc:threadedComment>
  <xltc:threadedComment ref="J14" dT="2026-08-15T06:51:36.038" personId="{B2145340-41FB-4BFA-8AFB-959C37CD5CDE}" id="{82842CDD-4566-2F54-CBEE-B39CF6B61B97}">
    <xltc:text>Official source: https://www.bidcorpgroup.com/pdf/reports/2025/Bidcorp-2025-AIR.pdf</xltc:text>
  </xltc:threadedComment>
  <xltc:threadedComment ref="J15" dT="2026-08-15T06:51:36.041" personId="{B2145340-41FB-4BFA-8AFB-959C37CD5CDE}" id="{87E8F4DE-0F6B-C100-170D-96C85EA2694F}">
    <xltc:text>Official source: https://pepkor.co.za/wp-content/uploads/Pepkor-annual-financial-statements-2025.pdf</xltc:text>
  </xltc:threadedComment>
  <xltc:threadedComment ref="J16" dT="2026-08-15T06:51:36.043" personId="{B2145340-41FB-4BFA-8AFB-959C37CD5CDE}" id="{327772B5-06F7-BF98-168C-1F90F7D50CBB}">
    <xltc:text>Official source: https://clicksgroup.co.za/iar2025/wp-content/uploads/CGL-YE25-Annual-financial-statements.pdf</xltc:text>
  </xltc:threadedComment>
  <xltc:threadedComment ref="J17" dT="2026-08-15T06:51:36.045" personId="{B2145340-41FB-4BFA-8AFB-959C37CD5CDE}" id="{36BE7540-24E4-876F-B0E7-5753CB3F9B1F}">
    <xltc:text>Official source: https://nepirockcastle.com/wp-content/uploads/2026/03/NEPI_Rockcastle_Annual_Report_2025.pdf</xltc:text>
  </xltc:threadedComment>
  <xltc:threadedComment ref="J18" dT="2026-08-15T06:51:36.047" personId="{B2145340-41FB-4BFA-8AFB-959C37CD5CDE}" id="{3977E859-D6B3-767C-5E5F-B7BC8DA6835F}">
    <xltc:text>Official source: https://www.prosus.com/~/media/Files/P/prosus-corp-v2/results-reports-and-events-archive/annual-report/2026/fy2026-annual-report.pdf</xltc:text>
  </xltc:threadedComment>
  <xltc:threadedComment ref="J19" dT="2026-08-15T06:51:36.048" personId="{B2145340-41FB-4BFA-8AFB-959C37CD5CDE}" id="{0EEA68E2-7763-CC47-F71C-8F260986727F}">
    <xltc:text>Official source: https://www.naspers.com/~/media/Files/N/Naspers-Corp-V2/results-reports-and-events-archive/latest-results/fy-2026/naspers-annual-financial-statements-2026.pdf</xltc:text>
  </xltc:threadedComment>
  <xltc:threadedComment ref="J20" dT="2026-08-15T06:51:36.054" personId="{B2145340-41FB-4BFA-8AFB-959C37CD5CDE}" id="{2E5078F9-9194-8A06-23A5-2ACD828EBE10}">
    <xltc:text>Official source: https://www.mtn.com/wp-content/uploads/2026/03/MTN-Group-FY-25-Annual-Financial-Statements.pdf</xltc:text>
  </xltc:threadedComment>
  <xltc:threadedComment ref="J21" dT="2026-08-15T06:51:36.057" personId="{B2145340-41FB-4BFA-8AFB-959C37CD5CDE}" id="{7D7BDFB5-CE3D-259A-6186-A2557641EECC}">
    <xltc:text>Official source: https://vodacom-reports.co.za/integrated-reports/ir-2026/documents/vodacom-consolidated-and-separate-financial-statements-2026.pdf</xltc:text>
  </xltc:threadedComment>
  <xltc:threadedComment ref="J22" dT="2026-08-15T06:51:36.059" personId="{B2145340-41FB-4BFA-8AFB-959C37CD5CDE}" id="{E14E0F78-126D-771B-A1F2-85F72686862D}">
    <xltc:text>Official source: https://bidvest.co.za/pdf/annual-reports/2025/bidvest-iar-2025.pdf</xltc:text>
  </xltc:threadedComment>
  <xltc:threadedComment ref="J23" dT="2026-08-15T06:51:36.061" personId="{B2145340-41FB-4BFA-8AFB-959C37CD5CDE}" id="{9669977D-6EF4-2826-924E-2C0BB9D74365}">
    <xltc:text>Official source: https://www.aspenpharma.com/download/annual-financial-statements-2/</xltc:text>
  </xltc:threadedComment>
  <xltc:threadedComment ref="J24" dT="2026-08-15T06:51:36.063" personId="{B2145340-41FB-4BFA-8AFB-959C37CD5CDE}" id="{0D86104F-0064-7B27-F768-D1C5A87ABBBB}">
    <xltc:text>Official source: https://senspdf.jse.co.za/documents/2026/JSE/isse/SHCE/FY25Result.pdf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b0862900cc21448e" /><Relationship Type="http://schemas.openxmlformats.org/officeDocument/2006/relationships/vmlDrawing" Target="/xl/drawings/vmldrawing.vml" Id="Rc12e983b47534b1a" /><Relationship Type="http://schemas.microsoft.com/office/2017/10/relationships/threadedComment" Target="/xl/threadedcomments/threadedcomment.xml" Id="R05643472767e44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458cac95bef44c8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comments" Target="/xl/comments2.xml" Id="R315f5f4cde5d4def" /><Relationship Type="http://schemas.openxmlformats.org/officeDocument/2006/relationships/vmlDrawing" Target="/xl/drawings/vmldrawing2.vml" Id="R0c7810c6b47b416f" /><Relationship Type="http://schemas.microsoft.com/office/2017/10/relationships/threadedComment" Target="/xl/threadedcomments/threadedcomment2.xml" Id="Rabe12cc94e0543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3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5" customHeight="1">
      <x:c r="A1" s="3" t="str">
        <x:v>Corporate Wallet Digital Twin V3.2.0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6" customHeight="1">
      <x:c r="A2" s="7" t="str">
        <x:v>Evidence, wallet impact and Promotion Readiness register | as of 2026-06-30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26" customHeight="1">
      <x:c r="A4" s="9" t="str">
        <x:v>Governed evidence and decision snapshot</x:v>
      </x:c>
      <x:c r="B4" s="9"/>
      <x:c r="C4" s="9"/>
      <x:c r="D4" s="9"/>
      <x:c r="E4" s="9"/>
      <x:c r="F4" s="9"/>
      <x:c r="G4" s="9"/>
      <x:c r="H4" s="9"/>
      <x:c r="I4" s="9"/>
      <x:c r="J4" s="9"/>
    </x:row>
    <x:row r="6">
      <x:c r="A6" s="11" t="str">
        <x:v>Public E1 facts</x:v>
      </x:c>
      <x:c r="B6" s="14" t="n">
        <x:f>COUNTA('Public Facts'!A5:A86)</x:f>
        <x:v>82</x:v>
      </x:c>
      <x:c r="D6" s="13" t="str">
        <x:v>Approved anchored cells</x:v>
      </x:c>
      <x:c r="E6" s="15" t="n">
        <x:f>COUNTIF('Wallet Decision Impact'!H5:H104,"E1")</x:f>
        <x:v>15</x:v>
      </x:c>
    </x:row>
    <x:row r="7">
      <x:c r="A7" s="11" t="str">
        <x:v>Clients with E1 coverage</x:v>
      </x:c>
      <x:c r="B7" s="14" t="n">
        <x:f>COUNTA('Client Coverage'!A5:A24)</x:f>
        <x:v>20</x:v>
      </x:c>
      <x:c r="D7" s="13" t="str">
        <x:v>Developer-verified pending facts</x:v>
      </x:c>
      <x:c r="E7" s="15" t="n">
        <x:v>51</x:v>
      </x:c>
    </x:row>
    <x:row r="8">
      <x:c r="A8" s="11" t="str">
        <x:v>Finance-SME approved</x:v>
      </x:c>
      <x:c r="B8" s="14" t="n">
        <x:f>COUNTIF('Public Facts'!M5:M86,"APPROVED")</x:f>
        <x:v>31</x:v>
      </x:c>
      <x:c r="D8" s="13" t="str">
        <x:v>Priority review clients</x:v>
      </x:c>
      <x:c r="E8" s="15" t="n">
        <x:v>7</x:v>
      </x:c>
    </x:row>
    <x:row r="9">
      <x:c r="A9" s="11" t="str">
        <x:v>Pending SME review</x:v>
      </x:c>
      <x:c r="B9" s="14" t="n">
        <x:f>COUNTIF('Public Facts'!M5:M86,"PENDING_REVIEW")</x:f>
        <x:v>51</x:v>
      </x:c>
      <x:c r="D9" s="13" t="str">
        <x:v>Trade Finance first-rank frequency</x:v>
      </x:c>
      <x:c r="E9" s="16" t="n">
        <x:v>1</x:v>
      </x:c>
    </x:row>
    <x:row r="10">
      <x:c r="A10" s="11" t="str">
        <x:v>Approved showcase anchors</x:v>
      </x:c>
      <x:c r="B10" s="14" t="n">
        <x:f>COUNTA('Approved Anchors'!A5:A19)</x:f>
        <x:v>15</x:v>
      </x:c>
      <x:c r="D10" s="13" t="str">
        <x:v>Trade Finance mean top-10 share</x:v>
      </x:c>
      <x:c r="E10" s="16" t="n">
        <x:v>0.55717</x:v>
      </x:c>
    </x:row>
    <x:row r="11">
      <x:c r="A11" s="11" t="str">
        <x:v>Wallet cells (20 x 5)</x:v>
      </x:c>
      <x:c r="B11" s="14" t="n">
        <x:f>COUNTA('Wallet Decision Impact'!A5:A104)</x:f>
        <x:v>100</x:v>
      </x:c>
      <x:c r="D11" s="13" t="str">
        <x:v>Trade Finance majority frequency</x:v>
      </x:c>
      <x:c r="E11" s="16" t="n">
        <x:v>0.8775</x:v>
      </x:c>
    </x:row>
    <x:row r="12">
      <x:c r="A12" s="11" t="str">
        <x:v>Prior-led wallet cells</x:v>
      </x:c>
      <x:c r="B12" s="14" t="n">
        <x:f>COUNTIF('Wallet Decision Impact'!H5:H104,"E0")</x:f>
        <x:v>85</x:v>
      </x:c>
      <x:c r="D12" s="13" t="str">
        <x:v>Bank-production state</x:v>
      </x:c>
      <x:c r="E12" s="15" t="str">
        <x:v>NOT_PROMOTABLE</x:v>
      </x:c>
    </x:row>
    <x:row r="14" ht="24" customHeight="1">
      <x:c r="A14" s="18" t="str">
        <x:v>Claim boundary — enforced in the workbook and product</x:v>
      </x:c>
      <x:c r="B14" s="18"/>
      <x:c r="C14" s="18"/>
      <x:c r="D14" s="18"/>
      <x:c r="E14" s="18"/>
      <x:c r="F14" s="18"/>
      <x:c r="G14" s="18"/>
      <x:c r="H14" s="18"/>
      <x:c r="I14" s="18"/>
      <x:c r="J14" s="18"/>
    </x:row>
    <x:row r="15">
      <x:c r="A15" s="38" t="str">
        <x:v>The source estate contains 82 E1 public facts: 31 APPROVED and 51 PENDING_REVIEW. Deterministic QA marks all 51 pending records DEVELOPER_VERIFIED, but that state is not finance-SME approval. Exactly 15 client-product cells may use approved anchors; 85 remain E0 prior-led. The active E1 pooling weight is 0.35 under v2-wallet-measurement-policy-1.1.0; the V1 weight 0.84 is retired. Typed/derived claims are not additional audited observations. No competitor share or causal uplift is labelled measured.</x:v>
      </x:c>
      <x:c r="B15" s="39"/>
      <x:c r="C15" s="39"/>
      <x:c r="D15" s="39"/>
      <x:c r="E15" s="39"/>
      <x:c r="F15" s="39"/>
      <x:c r="G15" s="39"/>
      <x:c r="H15" s="39"/>
      <x:c r="I15" s="39"/>
      <x:c r="J15" s="40"/>
    </x:row>
    <x:row r="16">
      <x:c r="A16" s="41"/>
      <x:c r="B16" s="42"/>
      <x:c r="C16" s="42"/>
      <x:c r="D16" s="42"/>
      <x:c r="E16" s="42"/>
      <x:c r="F16" s="42"/>
      <x:c r="G16" s="42"/>
      <x:c r="H16" s="42"/>
      <x:c r="I16" s="42"/>
      <x:c r="J16" s="43"/>
    </x:row>
    <x:row r="17">
      <x:c r="A17" s="41"/>
      <x:c r="B17" s="42"/>
      <x:c r="C17" s="42"/>
      <x:c r="D17" s="42"/>
      <x:c r="E17" s="42"/>
      <x:c r="F17" s="42"/>
      <x:c r="G17" s="42"/>
      <x:c r="H17" s="42"/>
      <x:c r="I17" s="42"/>
      <x:c r="J17" s="43"/>
    </x:row>
    <x:row r="18">
      <x:c r="A18" s="41"/>
      <x:c r="B18" s="42"/>
      <x:c r="C18" s="42"/>
      <x:c r="D18" s="42"/>
      <x:c r="E18" s="42"/>
      <x:c r="F18" s="42"/>
      <x:c r="G18" s="42"/>
      <x:c r="H18" s="42"/>
      <x:c r="I18" s="42"/>
      <x:c r="J18" s="43"/>
    </x:row>
    <x:row r="19">
      <x:c r="A19" s="44"/>
      <x:c r="B19" s="45"/>
      <x:c r="C19" s="45"/>
      <x:c r="D19" s="45"/>
      <x:c r="E19" s="45"/>
      <x:c r="F19" s="45"/>
      <x:c r="G19" s="45"/>
      <x:c r="H19" s="45"/>
      <x:c r="I19" s="45"/>
      <x:c r="J19" s="46"/>
    </x:row>
    <x:row r="21" ht="31" customHeight="1">
      <x:c r="A21" s="49" t="str">
        <x:v>Trade Finance is first-ranked in 100% and majority-dominant in 87.8% of the current 10,000 governed benchmark draws. Under the separate E1-weight sweep it stays first but its top-10 share falls from 70% to 30%. Dominance is an output to re-test, never a release condition.</x:v>
      </x:c>
      <x:c r="B21" s="49"/>
      <x:c r="C21" s="49"/>
      <x:c r="D21" s="49"/>
      <x:c r="E21" s="49"/>
      <x:c r="F21" s="49"/>
      <x:c r="G21" s="49"/>
      <x:c r="H21" s="49"/>
      <x:c r="I21" s="49"/>
      <x:c r="J21" s="49"/>
    </x:row>
  </x:sheetData>
  <x:mergeCells>
    <x:mergeCell ref="A1:J1"/>
    <x:mergeCell ref="A2:J2"/>
    <x:mergeCell ref="A4:J4"/>
    <x:mergeCell ref="A14:J14"/>
    <x:mergeCell ref="A15:J19"/>
    <x:mergeCell ref="A21:J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23" hidden="0" customWidth="1"/>
    <x:col min="4" max="4" width="23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40" hidden="0" customWidth="1"/>
    <x:col min="15" max="15" width="14" hidden="0" customWidth="1"/>
    <x:col min="16" max="16" width="48" hidden="0" customWidth="1"/>
    <x:col min="17" max="17" width="34" hidden="0" customWidth="1"/>
    <x:col min="18" max="18" width="38" hidden="0" customWidth="1"/>
  </x:cols>
  <x:sheetData>
    <x:row r="1" ht="35" customHeight="1">
      <x:c r="A1" s="3" t="str">
        <x:v>Canonical Public Facts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6" customHeight="1">
      <x:c r="A2" s="7" t="str">
        <x:v>82 point-in-time E1 facts across 20 clients; approval and source lineage are explicit.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 ht="30" customHeight="1">
      <x:c r="A4" s="54" t="str">
        <x:v>Fact ID</x:v>
      </x:c>
      <x:c r="B4" s="54" t="str">
        <x:v>Entity ID</x:v>
      </x:c>
      <x:c r="C4" s="54" t="str">
        <x:v>Entity name</x:v>
      </x:c>
      <x:c r="D4" s="54" t="str">
        <x:v>Concept</x:v>
      </x:c>
      <x:c r="E4" s="54" t="str">
        <x:v>Value</x:v>
      </x:c>
      <x:c r="F4" s="54" t="str">
        <x:v>Unit</x:v>
      </x:c>
      <x:c r="G4" s="54" t="str">
        <x:v>Currency</x:v>
      </x:c>
      <x:c r="H4" s="54" t="str">
        <x:v>Period start</x:v>
      </x:c>
      <x:c r="I4" s="54" t="str">
        <x:v>Period end</x:v>
      </x:c>
      <x:c r="J4" s="54" t="str">
        <x:v>Available date</x:v>
      </x:c>
      <x:c r="K4" s="54" t="str">
        <x:v>Evidence tier</x:v>
      </x:c>
      <x:c r="L4" s="54" t="str">
        <x:v>Confidence</x:v>
      </x:c>
      <x:c r="M4" s="54" t="str">
        <x:v>Approval status</x:v>
      </x:c>
      <x:c r="N4" s="54" t="str">
        <x:v>Source title</x:v>
      </x:c>
      <x:c r="O4" s="54" t="str">
        <x:v>Page</x:v>
      </x:c>
      <x:c r="P4" s="54" t="str">
        <x:v>Source URL</x:v>
      </x:c>
      <x:c r="Q4" s="54" t="str">
        <x:v>Document SHA-256</x:v>
      </x:c>
      <x:c r="R4" s="54" t="str">
        <x:v>V3.2.0 use boundary</x:v>
      </x:c>
    </x:row>
    <x:row r="5">
      <x:c r="A5" s="58" t="str">
        <x:v>BHP-2025-AP-CLOSE</x:v>
      </x:c>
      <x:c r="B5" s="58" t="str">
        <x:v>E01</x:v>
      </x:c>
      <x:c r="C5" s="58" t="str">
        <x:v>BHP Group</x:v>
      </x:c>
      <x:c r="D5" s="58" t="str">
        <x:v>trade_payables_close</x:v>
      </x:c>
      <x:c r="E5" s="59" t="n">
        <x:v>5082</x:v>
      </x:c>
      <x:c r="F5" s="58" t="str">
        <x:v>million</x:v>
      </x:c>
      <x:c r="G5" s="58" t="str">
        <x:v>USD</x:v>
      </x:c>
      <x:c r="H5" s="58" t="str">
        <x:v>2024-07-01</x:v>
      </x:c>
      <x:c r="I5" s="58" t="str">
        <x:v>2025-06-30</x:v>
      </x:c>
      <x:c r="J5" s="58" t="str">
        <x:v>2025-08-19</x:v>
      </x:c>
      <x:c r="K5" s="58" t="str">
        <x:v>E1</x:v>
      </x:c>
      <x:c r="L5" s="60" t="n">
        <x:v>0.99</x:v>
      </x:c>
      <x:c r="M5" s="58" t="str">
        <x:v>APPROVED</x:v>
      </x:c>
      <x:c r="N5" s="58" t="str">
        <x:v>BHP Annual Report 2025</x:v>
      </x:c>
      <x:c r="O5" s="58" t="n">
        <x:v>139</x:v>
      </x:c>
      <x:c r="P5" s="58" t="str">
        <x:v>https://www.bhp.com/-/media/documents/investors/annual-reports/2025/250819_bhpannualreport2025.pdf</x:v>
      </x:c>
      <x:c r="Q5" s="58" t="str">
        <x:v>seed-register-hash:BHP-2025-AP-CLOSE</x:v>
      </x:c>
      <x:c r="R5" s="58" t="str">
        <x:v>APPROVED: may activate a governed E1 anchor</x:v>
      </x:c>
    </x:row>
    <x:row r="6">
      <x:c r="A6" s="58" t="str">
        <x:v>BHP-2025-AP-OPEN</x:v>
      </x:c>
      <x:c r="B6" s="58" t="str">
        <x:v>E01</x:v>
      </x:c>
      <x:c r="C6" s="58" t="str">
        <x:v>BHP Group</x:v>
      </x:c>
      <x:c r="D6" s="58" t="str">
        <x:v>trade_payables_open</x:v>
      </x:c>
      <x:c r="E6" s="59" t="n">
        <x:v>5338</x:v>
      </x:c>
      <x:c r="F6" s="58" t="str">
        <x:v>million</x:v>
      </x:c>
      <x:c r="G6" s="58" t="str">
        <x:v>USD</x:v>
      </x:c>
      <x:c r="H6" s="58" t="str">
        <x:v>2023-07-01</x:v>
      </x:c>
      <x:c r="I6" s="58" t="str">
        <x:v>2024-06-30</x:v>
      </x:c>
      <x:c r="J6" s="58" t="str">
        <x:v>2025-08-19</x:v>
      </x:c>
      <x:c r="K6" s="58" t="str">
        <x:v>E1</x:v>
      </x:c>
      <x:c r="L6" s="60" t="n">
        <x:v>0.99</x:v>
      </x:c>
      <x:c r="M6" s="58" t="str">
        <x:v>APPROVED</x:v>
      </x:c>
      <x:c r="N6" s="58" t="str">
        <x:v>BHP Annual Report 2025</x:v>
      </x:c>
      <x:c r="O6" s="58" t="n">
        <x:v>139</x:v>
      </x:c>
      <x:c r="P6" s="58" t="str">
        <x:v>https://www.bhp.com/-/media/documents/investors/annual-reports/2025/250819_bhpannualreport2025.pdf</x:v>
      </x:c>
      <x:c r="Q6" s="58" t="str">
        <x:v>seed-register-hash:BHP-2025-AP-OPEN</x:v>
      </x:c>
      <x:c r="R6" s="58" t="str">
        <x:v>APPROVED: may activate a governed E1 anchor</x:v>
      </x:c>
    </x:row>
    <x:row r="7">
      <x:c r="A7" s="58" t="str">
        <x:v>BHP-2025-AR-CLOSE</x:v>
      </x:c>
      <x:c r="B7" s="58" t="str">
        <x:v>E01</x:v>
      </x:c>
      <x:c r="C7" s="58" t="str">
        <x:v>BHP Group</x:v>
      </x:c>
      <x:c r="D7" s="58" t="str">
        <x:v>trade_receivables_close</x:v>
      </x:c>
      <x:c r="E7" s="59" t="n">
        <x:v>3081</x:v>
      </x:c>
      <x:c r="F7" s="58" t="str">
        <x:v>million</x:v>
      </x:c>
      <x:c r="G7" s="58" t="str">
        <x:v>USD</x:v>
      </x:c>
      <x:c r="H7" s="58" t="str">
        <x:v>2024-07-01</x:v>
      </x:c>
      <x:c r="I7" s="58" t="str">
        <x:v>2025-06-30</x:v>
      </x:c>
      <x:c r="J7" s="58" t="str">
        <x:v>2025-08-19</x:v>
      </x:c>
      <x:c r="K7" s="58" t="str">
        <x:v>E1</x:v>
      </x:c>
      <x:c r="L7" s="60" t="n">
        <x:v>0.99</x:v>
      </x:c>
      <x:c r="M7" s="58" t="str">
        <x:v>APPROVED</x:v>
      </x:c>
      <x:c r="N7" s="58" t="str">
        <x:v>BHP Annual Report 2025</x:v>
      </x:c>
      <x:c r="O7" s="58" t="n">
        <x:v>139</x:v>
      </x:c>
      <x:c r="P7" s="58" t="str">
        <x:v>https://www.bhp.com/-/media/documents/investors/annual-reports/2025/250819_bhpannualreport2025.pdf</x:v>
      </x:c>
      <x:c r="Q7" s="58" t="str">
        <x:v>seed-register-hash:BHP-2025-AR-CLOSE</x:v>
      </x:c>
      <x:c r="R7" s="58" t="str">
        <x:v>APPROVED: may activate a governed E1 anchor</x:v>
      </x:c>
    </x:row>
    <x:row r="8">
      <x:c r="A8" s="58" t="str">
        <x:v>BHP-2025-AR-OPEN</x:v>
      </x:c>
      <x:c r="B8" s="58" t="str">
        <x:v>E01</x:v>
      </x:c>
      <x:c r="C8" s="58" t="str">
        <x:v>BHP Group</x:v>
      </x:c>
      <x:c r="D8" s="58" t="str">
        <x:v>trade_receivables_open</x:v>
      </x:c>
      <x:c r="E8" s="59" t="n">
        <x:v>3687</x:v>
      </x:c>
      <x:c r="F8" s="58" t="str">
        <x:v>million</x:v>
      </x:c>
      <x:c r="G8" s="58" t="str">
        <x:v>USD</x:v>
      </x:c>
      <x:c r="H8" s="58" t="str">
        <x:v>2023-07-01</x:v>
      </x:c>
      <x:c r="I8" s="58" t="str">
        <x:v>2024-06-30</x:v>
      </x:c>
      <x:c r="J8" s="58" t="str">
        <x:v>2025-08-19</x:v>
      </x:c>
      <x:c r="K8" s="58" t="str">
        <x:v>E1</x:v>
      </x:c>
      <x:c r="L8" s="60" t="n">
        <x:v>0.99</x:v>
      </x:c>
      <x:c r="M8" s="58" t="str">
        <x:v>APPROVED</x:v>
      </x:c>
      <x:c r="N8" s="58" t="str">
        <x:v>BHP Annual Report 2025</x:v>
      </x:c>
      <x:c r="O8" s="58" t="n">
        <x:v>139</x:v>
      </x:c>
      <x:c r="P8" s="58" t="str">
        <x:v>https://www.bhp.com/-/media/documents/investors/annual-reports/2025/250819_bhpannualreport2025.pdf</x:v>
      </x:c>
      <x:c r="Q8" s="58" t="str">
        <x:v>seed-register-hash:BHP-2025-AR-OPEN</x:v>
      </x:c>
      <x:c r="R8" s="58" t="str">
        <x:v>APPROVED: may activate a governed E1 anchor</x:v>
      </x:c>
    </x:row>
    <x:row r="9">
      <x:c r="A9" s="58" t="str">
        <x:v>BHP-2025-COST</x:v>
      </x:c>
      <x:c r="B9" s="58" t="str">
        <x:v>E01</x:v>
      </x:c>
      <x:c r="C9" s="58" t="str">
        <x:v>BHP Group</x:v>
      </x:c>
      <x:c r="D9" s="58" t="str">
        <x:v>operating_cost_base</x:v>
      </x:c>
      <x:c r="E9" s="59" t="n">
        <x:v>32319</x:v>
      </x:c>
      <x:c r="F9" s="58" t="str">
        <x:v>million</x:v>
      </x:c>
      <x:c r="G9" s="58" t="str">
        <x:v>USD</x:v>
      </x:c>
      <x:c r="H9" s="58" t="str">
        <x:v>2024-07-01</x:v>
      </x:c>
      <x:c r="I9" s="58" t="str">
        <x:v>2025-06-30</x:v>
      </x:c>
      <x:c r="J9" s="58" t="str">
        <x:v>2025-08-19</x:v>
      </x:c>
      <x:c r="K9" s="58" t="str">
        <x:v>E1</x:v>
      </x:c>
      <x:c r="L9" s="60" t="n">
        <x:v>0.99</x:v>
      </x:c>
      <x:c r="M9" s="58" t="str">
        <x:v>APPROVED</x:v>
      </x:c>
      <x:c r="N9" s="58" t="str">
        <x:v>BHP Annual Report 2025</x:v>
      </x:c>
      <x:c r="O9" s="58" t="n">
        <x:v>118</x:v>
      </x:c>
      <x:c r="P9" s="58" t="str">
        <x:v>https://www.bhp.com/-/media/documents/investors/annual-reports/2025/250819_bhpannualreport2025.pdf</x:v>
      </x:c>
      <x:c r="Q9" s="58" t="str">
        <x:v>seed-register-hash:BHP-2025-COST</x:v>
      </x:c>
      <x:c r="R9" s="58" t="str">
        <x:v>APPROVED: may activate a governed E1 anchor</x:v>
      </x:c>
    </x:row>
    <x:row r="10">
      <x:c r="A10" s="58" t="str">
        <x:v>BHP-2025-DEBT</x:v>
      </x:c>
      <x:c r="B10" s="58" t="str">
        <x:v>E01</x:v>
      </x:c>
      <x:c r="C10" s="58" t="str">
        <x:v>BHP Group</x:v>
      </x:c>
      <x:c r="D10" s="58" t="str">
        <x:v>current_debt</x:v>
      </x:c>
      <x:c r="E10" s="59" t="n">
        <x:v>2018</x:v>
      </x:c>
      <x:c r="F10" s="58" t="str">
        <x:v>million</x:v>
      </x:c>
      <x:c r="G10" s="58" t="str">
        <x:v>USD</x:v>
      </x:c>
      <x:c r="H10" s="58" t="str">
        <x:v>2024-07-01</x:v>
      </x:c>
      <x:c r="I10" s="58" t="str">
        <x:v>2025-06-30</x:v>
      </x:c>
      <x:c r="J10" s="58" t="str">
        <x:v>2025-08-19</x:v>
      </x:c>
      <x:c r="K10" s="58" t="str">
        <x:v>E1</x:v>
      </x:c>
      <x:c r="L10" s="60" t="n">
        <x:v>0.99</x:v>
      </x:c>
      <x:c r="M10" s="58" t="str">
        <x:v>APPROVED</x:v>
      </x:c>
      <x:c r="N10" s="58" t="str">
        <x:v>BHP Annual Report 2025</x:v>
      </x:c>
      <x:c r="O10" s="58" t="n">
        <x:v>119</x:v>
      </x:c>
      <x:c r="P10" s="58" t="str">
        <x:v>https://www.bhp.com/-/media/documents/investors/annual-reports/2025/250819_bhpannualreport2025.pdf</x:v>
      </x:c>
      <x:c r="Q10" s="58" t="str">
        <x:v>seed-register-hash:BHP-2025-DEBT</x:v>
      </x:c>
      <x:c r="R10" s="58" t="str">
        <x:v>APPROVED: may activate a governed E1 anchor</x:v>
      </x:c>
    </x:row>
    <x:row r="11">
      <x:c r="A11" s="58" t="str">
        <x:v>BHP-2025-FX</x:v>
      </x:c>
      <x:c r="B11" s="58" t="str">
        <x:v>E01</x:v>
      </x:c>
      <x:c r="C11" s="58" t="str">
        <x:v>BHP Group</x:v>
      </x:c>
      <x:c r="D11" s="58" t="str">
        <x:v>fx_exposure</x:v>
      </x:c>
      <x:c r="E11" s="59" t="n">
        <x:v>5123</x:v>
      </x:c>
      <x:c r="F11" s="58" t="str">
        <x:v>million</x:v>
      </x:c>
      <x:c r="G11" s="58" t="str">
        <x:v>USD</x:v>
      </x:c>
      <x:c r="H11" s="58" t="str">
        <x:v>2024-07-01</x:v>
      </x:c>
      <x:c r="I11" s="58" t="str">
        <x:v>2025-06-30</x:v>
      </x:c>
      <x:c r="J11" s="58" t="str">
        <x:v>2025-08-19</x:v>
      </x:c>
      <x:c r="K11" s="58" t="str">
        <x:v>E1</x:v>
      </x:c>
      <x:c r="L11" s="60" t="n">
        <x:v>0.95</x:v>
      </x:c>
      <x:c r="M11" s="58" t="str">
        <x:v>APPROVED</x:v>
      </x:c>
      <x:c r="N11" s="58" t="str">
        <x:v>BHP Annual Report 2025</x:v>
      </x:c>
      <x:c r="O11" s="58" t="n">
        <x:v>160</x:v>
      </x:c>
      <x:c r="P11" s="58" t="str">
        <x:v>https://www.bhp.com/-/media/documents/investors/annual-reports/2025/250819_bhpannualreport2025.pdf</x:v>
      </x:c>
      <x:c r="Q11" s="58" t="str">
        <x:v>seed-register-hash:BHP-2025-FX</x:v>
      </x:c>
      <x:c r="R11" s="58" t="str">
        <x:v>APPROVED: may activate a governed E1 anchor</x:v>
      </x:c>
    </x:row>
    <x:row r="12">
      <x:c r="A12" s="58" t="str">
        <x:v>BHP-2025-INV-CLOSE</x:v>
      </x:c>
      <x:c r="B12" s="58" t="str">
        <x:v>E01</x:v>
      </x:c>
      <x:c r="C12" s="58" t="str">
        <x:v>BHP Group</x:v>
      </x:c>
      <x:c r="D12" s="58" t="str">
        <x:v>inventories_close</x:v>
      </x:c>
      <x:c r="E12" s="59" t="n">
        <x:v>6978</x:v>
      </x:c>
      <x:c r="F12" s="58" t="str">
        <x:v>million</x:v>
      </x:c>
      <x:c r="G12" s="58" t="str">
        <x:v>USD</x:v>
      </x:c>
      <x:c r="H12" s="58" t="str">
        <x:v>2024-07-01</x:v>
      </x:c>
      <x:c r="I12" s="58" t="str">
        <x:v>2025-06-30</x:v>
      </x:c>
      <x:c r="J12" s="58" t="str">
        <x:v>2025-08-19</x:v>
      </x:c>
      <x:c r="K12" s="58" t="str">
        <x:v>E1</x:v>
      </x:c>
      <x:c r="L12" s="60" t="n">
        <x:v>0.99</x:v>
      </x:c>
      <x:c r="M12" s="58" t="str">
        <x:v>APPROVED</x:v>
      </x:c>
      <x:c r="N12" s="58" t="str">
        <x:v>BHP Annual Report 2025</x:v>
      </x:c>
      <x:c r="O12" s="58" t="n">
        <x:v>139</x:v>
      </x:c>
      <x:c r="P12" s="58" t="str">
        <x:v>https://www.bhp.com/-/media/documents/investors/annual-reports/2025/250819_bhpannualreport2025.pdf</x:v>
      </x:c>
      <x:c r="Q12" s="58" t="str">
        <x:v>seed-register-hash:BHP-2025-INV-CLOSE</x:v>
      </x:c>
      <x:c r="R12" s="58" t="str">
        <x:v>APPROVED: may activate a governed E1 anchor</x:v>
      </x:c>
    </x:row>
    <x:row r="13">
      <x:c r="A13" s="58" t="str">
        <x:v>BHP-2025-INV-OPEN</x:v>
      </x:c>
      <x:c r="B13" s="58" t="str">
        <x:v>E01</x:v>
      </x:c>
      <x:c r="C13" s="58" t="str">
        <x:v>BHP Group</x:v>
      </x:c>
      <x:c r="D13" s="58" t="str">
        <x:v>inventories_open</x:v>
      </x:c>
      <x:c r="E13" s="59" t="n">
        <x:v>7039</x:v>
      </x:c>
      <x:c r="F13" s="58" t="str">
        <x:v>million</x:v>
      </x:c>
      <x:c r="G13" s="58" t="str">
        <x:v>USD</x:v>
      </x:c>
      <x:c r="H13" s="58" t="str">
        <x:v>2023-07-01</x:v>
      </x:c>
      <x:c r="I13" s="58" t="str">
        <x:v>2024-06-30</x:v>
      </x:c>
      <x:c r="J13" s="58" t="str">
        <x:v>2025-08-19</x:v>
      </x:c>
      <x:c r="K13" s="58" t="str">
        <x:v>E1</x:v>
      </x:c>
      <x:c r="L13" s="60" t="n">
        <x:v>0.99</x:v>
      </x:c>
      <x:c r="M13" s="58" t="str">
        <x:v>APPROVED</x:v>
      </x:c>
      <x:c r="N13" s="58" t="str">
        <x:v>BHP Annual Report 2025</x:v>
      </x:c>
      <x:c r="O13" s="58" t="n">
        <x:v>139</x:v>
      </x:c>
      <x:c r="P13" s="58" t="str">
        <x:v>https://www.bhp.com/-/media/documents/investors/annual-reports/2025/250819_bhpannualreport2025.pdf</x:v>
      </x:c>
      <x:c r="Q13" s="58" t="str">
        <x:v>seed-register-hash:BHP-2025-INV-OPEN</x:v>
      </x:c>
      <x:c r="R13" s="58" t="str">
        <x:v>APPROVED: may activate a governed E1 anchor</x:v>
      </x:c>
    </x:row>
    <x:row r="14">
      <x:c r="A14" s="58" t="str">
        <x:v>BHP-2025-REV</x:v>
      </x:c>
      <x:c r="B14" s="58" t="str">
        <x:v>E01</x:v>
      </x:c>
      <x:c r="C14" s="58" t="str">
        <x:v>BHP Group</x:v>
      </x:c>
      <x:c r="D14" s="58" t="str">
        <x:v>revenue</x:v>
      </x:c>
      <x:c r="E14" s="59" t="n">
        <x:v>51262</x:v>
      </x:c>
      <x:c r="F14" s="58" t="str">
        <x:v>million</x:v>
      </x:c>
      <x:c r="G14" s="58" t="str">
        <x:v>USD</x:v>
      </x:c>
      <x:c r="H14" s="58" t="str">
        <x:v>2024-07-01</x:v>
      </x:c>
      <x:c r="I14" s="58" t="str">
        <x:v>2025-06-30</x:v>
      </x:c>
      <x:c r="J14" s="58" t="str">
        <x:v>2025-08-19</x:v>
      </x:c>
      <x:c r="K14" s="58" t="str">
        <x:v>E1</x:v>
      </x:c>
      <x:c r="L14" s="60" t="n">
        <x:v>0.99</x:v>
      </x:c>
      <x:c r="M14" s="58" t="str">
        <x:v>APPROVED</x:v>
      </x:c>
      <x:c r="N14" s="58" t="str">
        <x:v>BHP Annual Report 2025</x:v>
      </x:c>
      <x:c r="O14" s="58" t="n">
        <x:v>118</x:v>
      </x:c>
      <x:c r="P14" s="58" t="str">
        <x:v>https://www.bhp.com/-/media/documents/investors/annual-reports/2025/250819_bhpannualreport2025.pdf</x:v>
      </x:c>
      <x:c r="Q14" s="58" t="str">
        <x:v>seed-register-hash:BHP-2025-REV</x:v>
      </x:c>
      <x:c r="R14" s="58" t="str">
        <x:v>APPROVED: may activate a governed E1 anchor</x:v>
      </x:c>
    </x:row>
    <x:row r="15">
      <x:c r="A15" s="58" t="str">
        <x:v>GLEN-2025-AP-CLOSE</x:v>
      </x:c>
      <x:c r="B15" s="58" t="str">
        <x:v>E02</x:v>
      </x:c>
      <x:c r="C15" s="58" t="str">
        <x:v>Glencore</x:v>
      </x:c>
      <x:c r="D15" s="58" t="str">
        <x:v>trade_payables_close</x:v>
      </x:c>
      <x:c r="E15" s="59" t="n">
        <x:v>30537</x:v>
      </x:c>
      <x:c r="F15" s="58" t="str">
        <x:v>million</x:v>
      </x:c>
      <x:c r="G15" s="58" t="str">
        <x:v>USD</x:v>
      </x:c>
      <x:c r="H15" s="58" t="str">
        <x:v>2025-01-01</x:v>
      </x:c>
      <x:c r="I15" s="58" t="str">
        <x:v>2025-12-31</x:v>
      </x:c>
      <x:c r="J15" s="58" t="str">
        <x:v>2026-03-10</x:v>
      </x:c>
      <x:c r="K15" s="58" t="str">
        <x:v>E1</x:v>
      </x:c>
      <x:c r="L15" s="60" t="n">
        <x:v>0.99</x:v>
      </x:c>
      <x:c r="M15" s="58" t="str">
        <x:v>APPROVED</x:v>
      </x:c>
      <x:c r="N15" s="58" t="str">
        <x:v>Glencore Annual Report 2025</x:v>
      </x:c>
      <x:c r="O15" s="58" t="n">
        <x:v>205</x:v>
      </x:c>
      <x:c r="P15" s="58" t="str">
        <x:v>https://www.glencore.com/.rest/api/v1/documents/static/9b103e11-72e7-40bf-ae7c-eabe57361522/GLEN-2025-Annual-Report.pdf</x:v>
      </x:c>
      <x:c r="Q15" s="58" t="str">
        <x:v>seed-register-hash:GLEN-2025-AP-CLOSE</x:v>
      </x:c>
      <x:c r="R15" s="58" t="str">
        <x:v>APPROVED: may activate a governed E1 anchor</x:v>
      </x:c>
    </x:row>
    <x:row r="16">
      <x:c r="A16" s="58" t="str">
        <x:v>GLEN-2025-AP-OPEN</x:v>
      </x:c>
      <x:c r="B16" s="58" t="str">
        <x:v>E02</x:v>
      </x:c>
      <x:c r="C16" s="58" t="str">
        <x:v>Glencore</x:v>
      </x:c>
      <x:c r="D16" s="58" t="str">
        <x:v>trade_payables_open</x:v>
      </x:c>
      <x:c r="E16" s="59" t="n">
        <x:v>24872</x:v>
      </x:c>
      <x:c r="F16" s="58" t="str">
        <x:v>million</x:v>
      </x:c>
      <x:c r="G16" s="58" t="str">
        <x:v>USD</x:v>
      </x:c>
      <x:c r="H16" s="58" t="str">
        <x:v>2024-01-01</x:v>
      </x:c>
      <x:c r="I16" s="58" t="str">
        <x:v>2024-12-31</x:v>
      </x:c>
      <x:c r="J16" s="58" t="str">
        <x:v>2026-03-10</x:v>
      </x:c>
      <x:c r="K16" s="58" t="str">
        <x:v>E1</x:v>
      </x:c>
      <x:c r="L16" s="60" t="n">
        <x:v>0.99</x:v>
      </x:c>
      <x:c r="M16" s="58" t="str">
        <x:v>APPROVED</x:v>
      </x:c>
      <x:c r="N16" s="58" t="str">
        <x:v>Glencore Annual Report 2025</x:v>
      </x:c>
      <x:c r="O16" s="58" t="n">
        <x:v>205</x:v>
      </x:c>
      <x:c r="P16" s="58" t="str">
        <x:v>https://www.glencore.com/.rest/api/v1/documents/static/9b103e11-72e7-40bf-ae7c-eabe57361522/GLEN-2025-Annual-Report.pdf</x:v>
      </x:c>
      <x:c r="Q16" s="58" t="str">
        <x:v>seed-register-hash:GLEN-2025-AP-OPEN</x:v>
      </x:c>
      <x:c r="R16" s="58" t="str">
        <x:v>APPROVED: may activate a governed E1 anchor</x:v>
      </x:c>
    </x:row>
    <x:row r="17">
      <x:c r="A17" s="58" t="str">
        <x:v>GLEN-2025-AR-CLOSE</x:v>
      </x:c>
      <x:c r="B17" s="58" t="str">
        <x:v>E02</x:v>
      </x:c>
      <x:c r="C17" s="58" t="str">
        <x:v>Glencore</x:v>
      </x:c>
      <x:c r="D17" s="58" t="str">
        <x:v>trade_receivables_close</x:v>
      </x:c>
      <x:c r="E17" s="59" t="n">
        <x:v>13428</x:v>
      </x:c>
      <x:c r="F17" s="58" t="str">
        <x:v>million</x:v>
      </x:c>
      <x:c r="G17" s="58" t="str">
        <x:v>USD</x:v>
      </x:c>
      <x:c r="H17" s="58" t="str">
        <x:v>2025-01-01</x:v>
      </x:c>
      <x:c r="I17" s="58" t="str">
        <x:v>2025-12-31</x:v>
      </x:c>
      <x:c r="J17" s="58" t="str">
        <x:v>2026-03-10</x:v>
      </x:c>
      <x:c r="K17" s="58" t="str">
        <x:v>E1</x:v>
      </x:c>
      <x:c r="L17" s="60" t="n">
        <x:v>0.99</x:v>
      </x:c>
      <x:c r="M17" s="58" t="str">
        <x:v>APPROVED</x:v>
      </x:c>
      <x:c r="N17" s="58" t="str">
        <x:v>Glencore Annual Report 2025</x:v>
      </x:c>
      <x:c r="O17" s="58" t="n">
        <x:v>186</x:v>
      </x:c>
      <x:c r="P17" s="58" t="str">
        <x:v>https://www.glencore.com/.rest/api/v1/documents/static/9b103e11-72e7-40bf-ae7c-eabe57361522/GLEN-2025-Annual-Report.pdf</x:v>
      </x:c>
      <x:c r="Q17" s="58" t="str">
        <x:v>seed-register-hash:GLEN-2025-AR-CLOSE</x:v>
      </x:c>
      <x:c r="R17" s="58" t="str">
        <x:v>APPROVED: may activate a governed E1 anchor</x:v>
      </x:c>
    </x:row>
    <x:row r="18">
      <x:c r="A18" s="58" t="str">
        <x:v>GLEN-2025-AR-OPEN</x:v>
      </x:c>
      <x:c r="B18" s="58" t="str">
        <x:v>E02</x:v>
      </x:c>
      <x:c r="C18" s="58" t="str">
        <x:v>Glencore</x:v>
      </x:c>
      <x:c r="D18" s="58" t="str">
        <x:v>trade_receivables_open</x:v>
      </x:c>
      <x:c r="E18" s="59" t="n">
        <x:v>10878</x:v>
      </x:c>
      <x:c r="F18" s="58" t="str">
        <x:v>million</x:v>
      </x:c>
      <x:c r="G18" s="58" t="str">
        <x:v>USD</x:v>
      </x:c>
      <x:c r="H18" s="58" t="str">
        <x:v>2024-01-01</x:v>
      </x:c>
      <x:c r="I18" s="58" t="str">
        <x:v>2024-12-31</x:v>
      </x:c>
      <x:c r="J18" s="58" t="str">
        <x:v>2026-03-10</x:v>
      </x:c>
      <x:c r="K18" s="58" t="str">
        <x:v>E1</x:v>
      </x:c>
      <x:c r="L18" s="60" t="n">
        <x:v>0.99</x:v>
      </x:c>
      <x:c r="M18" s="58" t="str">
        <x:v>APPROVED</x:v>
      </x:c>
      <x:c r="N18" s="58" t="str">
        <x:v>Glencore Annual Report 2025</x:v>
      </x:c>
      <x:c r="O18" s="58" t="n">
        <x:v>186</x:v>
      </x:c>
      <x:c r="P18" s="58" t="str">
        <x:v>https://www.glencore.com/.rest/api/v1/documents/static/9b103e11-72e7-40bf-ae7c-eabe57361522/GLEN-2025-Annual-Report.pdf</x:v>
      </x:c>
      <x:c r="Q18" s="58" t="str">
        <x:v>seed-register-hash:GLEN-2025-AR-OPEN</x:v>
      </x:c>
      <x:c r="R18" s="58" t="str">
        <x:v>APPROVED: may activate a governed E1 anchor</x:v>
      </x:c>
    </x:row>
    <x:row r="19">
      <x:c r="A19" s="58" t="str">
        <x:v>GLEN-2025-COST</x:v>
      </x:c>
      <x:c r="B19" s="58" t="str">
        <x:v>E02</x:v>
      </x:c>
      <x:c r="C19" s="58" t="str">
        <x:v>Glencore</x:v>
      </x:c>
      <x:c r="D19" s="58" t="str">
        <x:v>operating_cost_base</x:v>
      </x:c>
      <x:c r="E19" s="59" t="n">
        <x:v>241672</x:v>
      </x:c>
      <x:c r="F19" s="58" t="str">
        <x:v>million</x:v>
      </x:c>
      <x:c r="G19" s="58" t="str">
        <x:v>USD</x:v>
      </x:c>
      <x:c r="H19" s="58" t="str">
        <x:v>2025-01-01</x:v>
      </x:c>
      <x:c r="I19" s="58" t="str">
        <x:v>2025-12-31</x:v>
      </x:c>
      <x:c r="J19" s="58" t="str">
        <x:v>2026-03-10</x:v>
      </x:c>
      <x:c r="K19" s="58" t="str">
        <x:v>E1</x:v>
      </x:c>
      <x:c r="L19" s="60" t="n">
        <x:v>0.99</x:v>
      </x:c>
      <x:c r="M19" s="58" t="str">
        <x:v>APPROVED</x:v>
      </x:c>
      <x:c r="N19" s="58" t="str">
        <x:v>Glencore Annual Report 2025</x:v>
      </x:c>
      <x:c r="O19" s="58" t="n">
        <x:v>136</x:v>
      </x:c>
      <x:c r="P19" s="58" t="str">
        <x:v>https://www.glencore.com/.rest/api/v1/documents/static/9b103e11-72e7-40bf-ae7c-eabe57361522/GLEN-2025-Annual-Report.pdf</x:v>
      </x:c>
      <x:c r="Q19" s="58" t="str">
        <x:v>seed-register-hash:GLEN-2025-COST</x:v>
      </x:c>
      <x:c r="R19" s="58" t="str">
        <x:v>APPROVED: may activate a governed E1 anchor</x:v>
      </x:c>
    </x:row>
    <x:row r="20">
      <x:c r="A20" s="58" t="str">
        <x:v>GLEN-2025-DEBT</x:v>
      </x:c>
      <x:c r="B20" s="58" t="str">
        <x:v>E02</x:v>
      </x:c>
      <x:c r="C20" s="58" t="str">
        <x:v>Glencore</x:v>
      </x:c>
      <x:c r="D20" s="58" t="str">
        <x:v>current_debt</x:v>
      </x:c>
      <x:c r="E20" s="59" t="n">
        <x:v>14494</x:v>
      </x:c>
      <x:c r="F20" s="58" t="str">
        <x:v>million</x:v>
      </x:c>
      <x:c r="G20" s="58" t="str">
        <x:v>USD</x:v>
      </x:c>
      <x:c r="H20" s="58" t="str">
        <x:v>2025-01-01</x:v>
      </x:c>
      <x:c r="I20" s="58" t="str">
        <x:v>2025-12-31</x:v>
      </x:c>
      <x:c r="J20" s="58" t="str">
        <x:v>2026-03-10</x:v>
      </x:c>
      <x:c r="K20" s="58" t="str">
        <x:v>E1</x:v>
      </x:c>
      <x:c r="L20" s="60" t="n">
        <x:v>0.99</x:v>
      </x:c>
      <x:c r="M20" s="58" t="str">
        <x:v>APPROVED</x:v>
      </x:c>
      <x:c r="N20" s="58" t="str">
        <x:v>Glencore Annual Report 2025</x:v>
      </x:c>
      <x:c r="O20" s="58" t="n">
        <x:v>138</x:v>
      </x:c>
      <x:c r="P20" s="58" t="str">
        <x:v>https://www.glencore.com/.rest/api/v1/documents/static/9b103e11-72e7-40bf-ae7c-eabe57361522/GLEN-2025-Annual-Report.pdf</x:v>
      </x:c>
      <x:c r="Q20" s="58" t="str">
        <x:v>seed-register-hash:GLEN-2025-DEBT</x:v>
      </x:c>
      <x:c r="R20" s="58" t="str">
        <x:v>APPROVED: may activate a governed E1 anchor</x:v>
      </x:c>
    </x:row>
    <x:row r="21">
      <x:c r="A21" s="58" t="str">
        <x:v>GLEN-2025-FX</x:v>
      </x:c>
      <x:c r="B21" s="58" t="str">
        <x:v>E02</x:v>
      </x:c>
      <x:c r="C21" s="58" t="str">
        <x:v>Glencore</x:v>
      </x:c>
      <x:c r="D21" s="58" t="str">
        <x:v>fx_exposure</x:v>
      </x:c>
      <x:c r="E21" s="59" t="n">
        <x:v>7587</x:v>
      </x:c>
      <x:c r="F21" s="58" t="str">
        <x:v>million</x:v>
      </x:c>
      <x:c r="G21" s="58" t="str">
        <x:v>USD</x:v>
      </x:c>
      <x:c r="H21" s="58" t="str">
        <x:v>2025-01-01</x:v>
      </x:c>
      <x:c r="I21" s="58" t="str">
        <x:v>2025-12-31</x:v>
      </x:c>
      <x:c r="J21" s="58" t="str">
        <x:v>2026-03-10</x:v>
      </x:c>
      <x:c r="K21" s="58" t="str">
        <x:v>E1</x:v>
      </x:c>
      <x:c r="L21" s="60" t="n">
        <x:v>0.95</x:v>
      </x:c>
      <x:c r="M21" s="58" t="str">
        <x:v>APPROVED</x:v>
      </x:c>
      <x:c r="N21" s="58" t="str">
        <x:v>Glencore Annual Report 2025</x:v>
      </x:c>
      <x:c r="O21" s="58" t="n">
        <x:v>212</x:v>
      </x:c>
      <x:c r="P21" s="58" t="str">
        <x:v>https://www.glencore.com/.rest/api/v1/documents/static/9b103e11-72e7-40bf-ae7c-eabe57361522/GLEN-2025-Annual-Report.pdf</x:v>
      </x:c>
      <x:c r="Q21" s="58" t="str">
        <x:v>seed-register-hash:GLEN-2025-FX</x:v>
      </x:c>
      <x:c r="R21" s="58" t="str">
        <x:v>APPROVED: may activate a governed E1 anchor</x:v>
      </x:c>
    </x:row>
    <x:row r="22">
      <x:c r="A22" s="58" t="str">
        <x:v>GLEN-2025-INV-CLOSE</x:v>
      </x:c>
      <x:c r="B22" s="58" t="str">
        <x:v>E02</x:v>
      </x:c>
      <x:c r="C22" s="58" t="str">
        <x:v>Glencore</x:v>
      </x:c>
      <x:c r="D22" s="58" t="str">
        <x:v>inventories_close</x:v>
      </x:c>
      <x:c r="E22" s="59" t="n">
        <x:v>33955</x:v>
      </x:c>
      <x:c r="F22" s="58" t="str">
        <x:v>million</x:v>
      </x:c>
      <x:c r="G22" s="58" t="str">
        <x:v>USD</x:v>
      </x:c>
      <x:c r="H22" s="58" t="str">
        <x:v>2025-01-01</x:v>
      </x:c>
      <x:c r="I22" s="58" t="str">
        <x:v>2025-12-31</x:v>
      </x:c>
      <x:c r="J22" s="58" t="str">
        <x:v>2026-03-10</x:v>
      </x:c>
      <x:c r="K22" s="58" t="str">
        <x:v>E1</x:v>
      </x:c>
      <x:c r="L22" s="60" t="n">
        <x:v>0.99</x:v>
      </x:c>
      <x:c r="M22" s="58" t="str">
        <x:v>APPROVED</x:v>
      </x:c>
      <x:c r="N22" s="58" t="str">
        <x:v>Glencore Annual Report 2025</x:v>
      </x:c>
      <x:c r="O22" s="58" t="n">
        <x:v>185</x:v>
      </x:c>
      <x:c r="P22" s="58" t="str">
        <x:v>https://www.glencore.com/.rest/api/v1/documents/static/9b103e11-72e7-40bf-ae7c-eabe57361522/GLEN-2025-Annual-Report.pdf</x:v>
      </x:c>
      <x:c r="Q22" s="58" t="str">
        <x:v>seed-register-hash:GLEN-2025-INV-CLOSE</x:v>
      </x:c>
      <x:c r="R22" s="58" t="str">
        <x:v>APPROVED: may activate a governed E1 anchor</x:v>
      </x:c>
    </x:row>
    <x:row r="23">
      <x:c r="A23" s="58" t="str">
        <x:v>GLEN-2025-INV-OPEN</x:v>
      </x:c>
      <x:c r="B23" s="58" t="str">
        <x:v>E02</x:v>
      </x:c>
      <x:c r="C23" s="58" t="str">
        <x:v>Glencore</x:v>
      </x:c>
      <x:c r="D23" s="58" t="str">
        <x:v>inventories_open</x:v>
      </x:c>
      <x:c r="E23" s="59" t="n">
        <x:v>30097</x:v>
      </x:c>
      <x:c r="F23" s="58" t="str">
        <x:v>million</x:v>
      </x:c>
      <x:c r="G23" s="58" t="str">
        <x:v>USD</x:v>
      </x:c>
      <x:c r="H23" s="58" t="str">
        <x:v>2024-01-01</x:v>
      </x:c>
      <x:c r="I23" s="58" t="str">
        <x:v>2024-12-31</x:v>
      </x:c>
      <x:c r="J23" s="58" t="str">
        <x:v>2026-03-10</x:v>
      </x:c>
      <x:c r="K23" s="58" t="str">
        <x:v>E1</x:v>
      </x:c>
      <x:c r="L23" s="60" t="n">
        <x:v>0.99</x:v>
      </x:c>
      <x:c r="M23" s="58" t="str">
        <x:v>APPROVED</x:v>
      </x:c>
      <x:c r="N23" s="58" t="str">
        <x:v>Glencore Annual Report 2025</x:v>
      </x:c>
      <x:c r="O23" s="58" t="n">
        <x:v>185</x:v>
      </x:c>
      <x:c r="P23" s="58" t="str">
        <x:v>https://www.glencore.com/.rest/api/v1/documents/static/9b103e11-72e7-40bf-ae7c-eabe57361522/GLEN-2025-Annual-Report.pdf</x:v>
      </x:c>
      <x:c r="Q23" s="58" t="str">
        <x:v>seed-register-hash:GLEN-2025-INV-OPEN</x:v>
      </x:c>
      <x:c r="R23" s="58" t="str">
        <x:v>APPROVED: may activate a governed E1 anchor</x:v>
      </x:c>
    </x:row>
    <x:row r="24">
      <x:c r="A24" s="58" t="str">
        <x:v>GLEN-2025-REV</x:v>
      </x:c>
      <x:c r="B24" s="58" t="str">
        <x:v>E02</x:v>
      </x:c>
      <x:c r="C24" s="58" t="str">
        <x:v>Glencore</x:v>
      </x:c>
      <x:c r="D24" s="58" t="str">
        <x:v>revenue</x:v>
      </x:c>
      <x:c r="E24" s="59" t="n">
        <x:v>247535</x:v>
      </x:c>
      <x:c r="F24" s="58" t="str">
        <x:v>million</x:v>
      </x:c>
      <x:c r="G24" s="58" t="str">
        <x:v>USD</x:v>
      </x:c>
      <x:c r="H24" s="58" t="str">
        <x:v>2025-01-01</x:v>
      </x:c>
      <x:c r="I24" s="58" t="str">
        <x:v>2025-12-31</x:v>
      </x:c>
      <x:c r="J24" s="58" t="str">
        <x:v>2026-03-10</x:v>
      </x:c>
      <x:c r="K24" s="58" t="str">
        <x:v>E1</x:v>
      </x:c>
      <x:c r="L24" s="60" t="n">
        <x:v>0.99</x:v>
      </x:c>
      <x:c r="M24" s="58" t="str">
        <x:v>APPROVED</x:v>
      </x:c>
      <x:c r="N24" s="58" t="str">
        <x:v>Glencore Annual Report 2025</x:v>
      </x:c>
      <x:c r="O24" s="58" t="n">
        <x:v>136</x:v>
      </x:c>
      <x:c r="P24" s="58" t="str">
        <x:v>https://www.glencore.com/.rest/api/v1/documents/static/9b103e11-72e7-40bf-ae7c-eabe57361522/GLEN-2025-Annual-Report.pdf</x:v>
      </x:c>
      <x:c r="Q24" s="58" t="str">
        <x:v>seed-register-hash:GLEN-2025-REV</x:v>
      </x:c>
      <x:c r="R24" s="58" t="str">
        <x:v>APPROVED: may activate a governed E1 anchor</x:v>
      </x:c>
    </x:row>
    <x:row r="25">
      <x:c r="A25" s="58" t="str">
        <x:v>AA-2025-CASH</x:v>
      </x:c>
      <x:c r="B25" s="58" t="str">
        <x:v>E03</x:v>
      </x:c>
      <x:c r="C25" s="58" t="str">
        <x:v>Anglo American</x:v>
      </x:c>
      <x:c r="D25" s="58" t="str">
        <x:v>cash_and_cash_equivalents</x:v>
      </x:c>
      <x:c r="E25" s="59" t="n">
        <x:v>6436</x:v>
      </x:c>
      <x:c r="F25" s="58" t="str">
        <x:v>million</x:v>
      </x:c>
      <x:c r="G25" s="58" t="str">
        <x:v>USD</x:v>
      </x:c>
      <x:c r="H25" s="58" t="str">
        <x:v>2025-12-31</x:v>
      </x:c>
      <x:c r="I25" s="58" t="str">
        <x:v>2025-12-31</x:v>
      </x:c>
      <x:c r="J25" s="58" t="str">
        <x:v>2026-03-02</x:v>
      </x:c>
      <x:c r="K25" s="58" t="str">
        <x:v>E1</x:v>
      </x:c>
      <x:c r="L25" s="60" t="n">
        <x:v>0.99</x:v>
      </x:c>
      <x:c r="M25" s="58" t="str">
        <x:v>PENDING_REVIEW</x:v>
      </x:c>
      <x:c r="N25" s="58" t="str">
        <x:v>Anglo American Integrated Annual Report 2025</x:v>
      </x:c>
      <x:c r="O25" s="58" t="n">
        <x:v>274</x:v>
      </x:c>
      <x:c r="P25" s="58" t="str">
        <x:v>https://www.angloamerican.com/~/media/Files/A/Anglo-American-Group-v9/PLC/investors/annual-reporting/2025/aa-annual-report-full-2025.pdf</x:v>
      </x:c>
      <x:c r="Q25" s="58" t="str">
        <x:v>362b9ebb43ca8ce3cf0a87f5ba174047ab499c4cd8f5a48eeb1bf83530a176fb</x:v>
      </x:c>
      <x:c r="R25" s="58" t="str">
        <x:v>DEVELOPER_VERIFIED / PENDING_REVIEW: excluded from all active anchors and eligible claim paths</x:v>
      </x:c>
    </x:row>
    <x:row r="26">
      <x:c r="A26" s="58" t="str">
        <x:v>AA-2025-DEBT</x:v>
      </x:c>
      <x:c r="B26" s="58" t="str">
        <x:v>E03</x:v>
      </x:c>
      <x:c r="C26" s="58" t="str">
        <x:v>Anglo American</x:v>
      </x:c>
      <x:c r="D26" s="58" t="str">
        <x:v>current_debt</x:v>
      </x:c>
      <x:c r="E26" s="59" t="n">
        <x:v>1075</x:v>
      </x:c>
      <x:c r="F26" s="58" t="str">
        <x:v>million</x:v>
      </x:c>
      <x:c r="G26" s="58" t="str">
        <x:v>USD</x:v>
      </x:c>
      <x:c r="H26" s="58" t="str">
        <x:v>2025-12-31</x:v>
      </x:c>
      <x:c r="I26" s="58" t="str">
        <x:v>2025-12-31</x:v>
      </x:c>
      <x:c r="J26" s="58" t="str">
        <x:v>2026-03-02</x:v>
      </x:c>
      <x:c r="K26" s="58" t="str">
        <x:v>E1</x:v>
      </x:c>
      <x:c r="L26" s="60" t="n">
        <x:v>0.99</x:v>
      </x:c>
      <x:c r="M26" s="58" t="str">
        <x:v>PENDING_REVIEW</x:v>
      </x:c>
      <x:c r="N26" s="58" t="str">
        <x:v>Anglo American Integrated Annual Report 2025</x:v>
      </x:c>
      <x:c r="O26" s="58" t="n">
        <x:v>274</x:v>
      </x:c>
      <x:c r="P26" s="58" t="str">
        <x:v>https://www.angloamerican.com/~/media/Files/A/Anglo-American-Group-v9/PLC/investors/annual-reporting/2025/aa-annual-report-full-2025.pdf</x:v>
      </x:c>
      <x:c r="Q26" s="58" t="str">
        <x:v>362b9ebb43ca8ce3cf0a87f5ba174047ab499c4cd8f5a48eeb1bf83530a176fb</x:v>
      </x:c>
      <x:c r="R26" s="58" t="str">
        <x:v>DEVELOPER_VERIFIED / PENDING_REVIEW: excluded from all active anchors and eligible claim paths</x:v>
      </x:c>
    </x:row>
    <x:row r="27">
      <x:c r="A27" s="58" t="str">
        <x:v>AA-2025-REV</x:v>
      </x:c>
      <x:c r="B27" s="58" t="str">
        <x:v>E03</x:v>
      </x:c>
      <x:c r="C27" s="58" t="str">
        <x:v>Anglo American</x:v>
      </x:c>
      <x:c r="D27" s="58" t="str">
        <x:v>revenue</x:v>
      </x:c>
      <x:c r="E27" s="59" t="n">
        <x:v>18546</x:v>
      </x:c>
      <x:c r="F27" s="58" t="str">
        <x:v>million</x:v>
      </x:c>
      <x:c r="G27" s="58" t="str">
        <x:v>USD</x:v>
      </x:c>
      <x:c r="H27" s="58" t="str">
        <x:v>2025-01-01</x:v>
      </x:c>
      <x:c r="I27" s="58" t="str">
        <x:v>2025-12-31</x:v>
      </x:c>
      <x:c r="J27" s="58" t="str">
        <x:v>2026-03-02</x:v>
      </x:c>
      <x:c r="K27" s="58" t="str">
        <x:v>E1</x:v>
      </x:c>
      <x:c r="L27" s="60" t="n">
        <x:v>0.99</x:v>
      </x:c>
      <x:c r="M27" s="58" t="str">
        <x:v>PENDING_REVIEW</x:v>
      </x:c>
      <x:c r="N27" s="58" t="str">
        <x:v>Anglo American Integrated Annual Report 2025</x:v>
      </x:c>
      <x:c r="O27" s="58" t="n">
        <x:v>272</x:v>
      </x:c>
      <x:c r="P27" s="58" t="str">
        <x:v>https://www.angloamerican.com/~/media/Files/A/Anglo-American-Group-v9/PLC/investors/annual-reporting/2025/aa-annual-report-full-2025.pdf</x:v>
      </x:c>
      <x:c r="Q27" s="58" t="str">
        <x:v>362b9ebb43ca8ce3cf0a87f5ba174047ab499c4cd8f5a48eeb1bf83530a176fb</x:v>
      </x:c>
      <x:c r="R27" s="58" t="str">
        <x:v>DEVELOPER_VERIFIED / PENDING_REVIEW: excluded from all active anchors and eligible claim paths</x:v>
      </x:c>
    </x:row>
    <x:row r="28">
      <x:c r="A28" s="58" t="str">
        <x:v>AGA-2025-CASH</x:v>
      </x:c>
      <x:c r="B28" s="58" t="str">
        <x:v>E04</x:v>
      </x:c>
      <x:c r="C28" s="58" t="str">
        <x:v>AngloGold Ashanti</x:v>
      </x:c>
      <x:c r="D28" s="58" t="str">
        <x:v>cash_and_cash_equivalents</x:v>
      </x:c>
      <x:c r="E28" s="59" t="n">
        <x:v>2905</x:v>
      </x:c>
      <x:c r="F28" s="58" t="str">
        <x:v>million</x:v>
      </x:c>
      <x:c r="G28" s="58" t="str">
        <x:v>USD</x:v>
      </x:c>
      <x:c r="H28" s="58" t="str">
        <x:v>2025-12-31</x:v>
      </x:c>
      <x:c r="I28" s="58" t="str">
        <x:v>2025-12-31</x:v>
      </x:c>
      <x:c r="J28" s="58" t="str">
        <x:v>2026-03-26</x:v>
      </x:c>
      <x:c r="K28" s="58" t="str">
        <x:v>E1</x:v>
      </x:c>
      <x:c r="L28" s="60" t="n">
        <x:v>0.99</x:v>
      </x:c>
      <x:c r="M28" s="58" t="str">
        <x:v>PENDING_REVIEW</x:v>
      </x:c>
      <x:c r="N28" s="58" t="str">
        <x:v>AngloGold Ashanti Annual Report 2025</x:v>
      </x:c>
      <x:c r="O28" s="58" t="n">
        <x:v>160</x:v>
      </x:c>
      <x:c r="P28" s="58" t="str">
        <x:v>https://reports.anglogoldashanti.com/25/download/AGA-AR25.pdf</x:v>
      </x:c>
      <x:c r="Q28" s="58" t="str">
        <x:v>958d89150d1125af3eb9032ac7f3c9da2c22c8bfd67e8447c688c8ad0c21dd35</x:v>
      </x:c>
      <x:c r="R28" s="58" t="str">
        <x:v>DEVELOPER_VERIFIED / PENDING_REVIEW: excluded from all active anchors and eligible claim paths</x:v>
      </x:c>
    </x:row>
    <x:row r="29">
      <x:c r="A29" s="58" t="str">
        <x:v>AGA-2025-DEBT</x:v>
      </x:c>
      <x:c r="B29" s="58" t="str">
        <x:v>E04</x:v>
      </x:c>
      <x:c r="C29" s="58" t="str">
        <x:v>AngloGold Ashanti</x:v>
      </x:c>
      <x:c r="D29" s="58" t="str">
        <x:v>current_debt</x:v>
      </x:c>
      <x:c r="E29" s="59" t="n">
        <x:v>19</x:v>
      </x:c>
      <x:c r="F29" s="58" t="str">
        <x:v>million</x:v>
      </x:c>
      <x:c r="G29" s="58" t="str">
        <x:v>USD</x:v>
      </x:c>
      <x:c r="H29" s="58" t="str">
        <x:v>2025-12-31</x:v>
      </x:c>
      <x:c r="I29" s="58" t="str">
        <x:v>2025-12-31</x:v>
      </x:c>
      <x:c r="J29" s="58" t="str">
        <x:v>2026-03-26</x:v>
      </x:c>
      <x:c r="K29" s="58" t="str">
        <x:v>E1</x:v>
      </x:c>
      <x:c r="L29" s="60" t="n">
        <x:v>0.99</x:v>
      </x:c>
      <x:c r="M29" s="58" t="str">
        <x:v>PENDING_REVIEW</x:v>
      </x:c>
      <x:c r="N29" s="58" t="str">
        <x:v>AngloGold Ashanti Annual Report 2025</x:v>
      </x:c>
      <x:c r="O29" s="58" t="n">
        <x:v>160</x:v>
      </x:c>
      <x:c r="P29" s="58" t="str">
        <x:v>https://reports.anglogoldashanti.com/25/download/AGA-AR25.pdf</x:v>
      </x:c>
      <x:c r="Q29" s="58" t="str">
        <x:v>958d89150d1125af3eb9032ac7f3c9da2c22c8bfd67e8447c688c8ad0c21dd35</x:v>
      </x:c>
      <x:c r="R29" s="58" t="str">
        <x:v>DEVELOPER_VERIFIED / PENDING_REVIEW: excluded from all active anchors and eligible claim paths</x:v>
      </x:c>
    </x:row>
    <x:row r="30">
      <x:c r="A30" s="58" t="str">
        <x:v>AGA-2025-REV</x:v>
      </x:c>
      <x:c r="B30" s="58" t="str">
        <x:v>E04</x:v>
      </x:c>
      <x:c r="C30" s="58" t="str">
        <x:v>AngloGold Ashanti</x:v>
      </x:c>
      <x:c r="D30" s="58" t="str">
        <x:v>revenue</x:v>
      </x:c>
      <x:c r="E30" s="59" t="n">
        <x:v>9893</x:v>
      </x:c>
      <x:c r="F30" s="58" t="str">
        <x:v>million</x:v>
      </x:c>
      <x:c r="G30" s="58" t="str">
        <x:v>USD</x:v>
      </x:c>
      <x:c r="H30" s="58" t="str">
        <x:v>2025-01-01</x:v>
      </x:c>
      <x:c r="I30" s="58" t="str">
        <x:v>2025-12-31</x:v>
      </x:c>
      <x:c r="J30" s="58" t="str">
        <x:v>2026-03-26</x:v>
      </x:c>
      <x:c r="K30" s="58" t="str">
        <x:v>E1</x:v>
      </x:c>
      <x:c r="L30" s="60" t="n">
        <x:v>0.99</x:v>
      </x:c>
      <x:c r="M30" s="58" t="str">
        <x:v>PENDING_REVIEW</x:v>
      </x:c>
      <x:c r="N30" s="58" t="str">
        <x:v>AngloGold Ashanti Annual Report 2025</x:v>
      </x:c>
      <x:c r="O30" s="58" t="n">
        <x:v>158</x:v>
      </x:c>
      <x:c r="P30" s="58" t="str">
        <x:v>https://reports.anglogoldashanti.com/25/download/AGA-AR25.pdf</x:v>
      </x:c>
      <x:c r="Q30" s="58" t="str">
        <x:v>958d89150d1125af3eb9032ac7f3c9da2c22c8bfd67e8447c688c8ad0c21dd35</x:v>
      </x:c>
      <x:c r="R30" s="58" t="str">
        <x:v>DEVELOPER_VERIFIED / PENDING_REVIEW: excluded from all active anchors and eligible claim paths</x:v>
      </x:c>
    </x:row>
    <x:row r="31">
      <x:c r="A31" s="58" t="str">
        <x:v>GF-2025-CASH</x:v>
      </x:c>
      <x:c r="B31" s="58" t="str">
        <x:v>E05</x:v>
      </x:c>
      <x:c r="C31" s="58" t="str">
        <x:v>Gold Fields</x:v>
      </x:c>
      <x:c r="D31" s="58" t="str">
        <x:v>cash_and_cash_equivalents</x:v>
      </x:c>
      <x:c r="E31" s="59" t="n">
        <x:v>1779.2</x:v>
      </x:c>
      <x:c r="F31" s="58" t="str">
        <x:v>million</x:v>
      </x:c>
      <x:c r="G31" s="58" t="str">
        <x:v>USD</x:v>
      </x:c>
      <x:c r="H31" s="58" t="str">
        <x:v>2025-12-31</x:v>
      </x:c>
      <x:c r="I31" s="58" t="str">
        <x:v>2025-12-31</x:v>
      </x:c>
      <x:c r="J31" s="58" t="str">
        <x:v>2026-03-27</x:v>
      </x:c>
      <x:c r="K31" s="58" t="str">
        <x:v>E1</x:v>
      </x:c>
      <x:c r="L31" s="60" t="n">
        <x:v>0.99</x:v>
      </x:c>
      <x:c r="M31" s="58" t="str">
        <x:v>PENDING_REVIEW</x:v>
      </x:c>
      <x:c r="N31" s="58" t="str">
        <x:v>Gold Fields Annual Financial Report 2025</x:v>
      </x:c>
      <x:c r="O31" s="58" t="n">
        <x:v>74</x:v>
      </x:c>
      <x:c r="P31" s="58" t="str">
        <x:v>https://www.goldfields.com/pdf/investors/integrated-annual-reports/2025/afs-2025.pdf</x:v>
      </x:c>
      <x:c r="Q31" s="58" t="str">
        <x:v>0819d8e37085aaa5adb8305c3bcdd5b5a9631cf40f594950beaeb6c77077fc0a</x:v>
      </x:c>
      <x:c r="R31" s="58" t="str">
        <x:v>DEVELOPER_VERIFIED / PENDING_REVIEW: excluded from all active anchors and eligible claim paths</x:v>
      </x:c>
    </x:row>
    <x:row r="32">
      <x:c r="A32" s="58" t="str">
        <x:v>GF-2025-DEBT</x:v>
      </x:c>
      <x:c r="B32" s="58" t="str">
        <x:v>E05</x:v>
      </x:c>
      <x:c r="C32" s="58" t="str">
        <x:v>Gold Fields</x:v>
      </x:c>
      <x:c r="D32" s="58" t="str">
        <x:v>current_debt</x:v>
      </x:c>
      <x:c r="E32" s="59" t="n">
        <x:v>178.7</x:v>
      </x:c>
      <x:c r="F32" s="58" t="str">
        <x:v>million</x:v>
      </x:c>
      <x:c r="G32" s="58" t="str">
        <x:v>USD</x:v>
      </x:c>
      <x:c r="H32" s="58" t="str">
        <x:v>2025-12-31</x:v>
      </x:c>
      <x:c r="I32" s="58" t="str">
        <x:v>2025-12-31</x:v>
      </x:c>
      <x:c r="J32" s="58" t="str">
        <x:v>2026-03-27</x:v>
      </x:c>
      <x:c r="K32" s="58" t="str">
        <x:v>E1</x:v>
      </x:c>
      <x:c r="L32" s="60" t="n">
        <x:v>0.99</x:v>
      </x:c>
      <x:c r="M32" s="58" t="str">
        <x:v>PENDING_REVIEW</x:v>
      </x:c>
      <x:c r="N32" s="58" t="str">
        <x:v>Gold Fields Annual Financial Report 2025</x:v>
      </x:c>
      <x:c r="O32" s="58" t="n">
        <x:v>74</x:v>
      </x:c>
      <x:c r="P32" s="58" t="str">
        <x:v>https://www.goldfields.com/pdf/investors/integrated-annual-reports/2025/afs-2025.pdf</x:v>
      </x:c>
      <x:c r="Q32" s="58" t="str">
        <x:v>0819d8e37085aaa5adb8305c3bcdd5b5a9631cf40f594950beaeb6c77077fc0a</x:v>
      </x:c>
      <x:c r="R32" s="58" t="str">
        <x:v>DEVELOPER_VERIFIED / PENDING_REVIEW: excluded from all active anchors and eligible claim paths</x:v>
      </x:c>
    </x:row>
    <x:row r="33">
      <x:c r="A33" s="58" t="str">
        <x:v>GF-2025-REV</x:v>
      </x:c>
      <x:c r="B33" s="58" t="str">
        <x:v>E05</x:v>
      </x:c>
      <x:c r="C33" s="58" t="str">
        <x:v>Gold Fields</x:v>
      </x:c>
      <x:c r="D33" s="58" t="str">
        <x:v>revenue</x:v>
      </x:c>
      <x:c r="E33" s="59" t="n">
        <x:v>8751.3</x:v>
      </x:c>
      <x:c r="F33" s="58" t="str">
        <x:v>million</x:v>
      </x:c>
      <x:c r="G33" s="58" t="str">
        <x:v>USD</x:v>
      </x:c>
      <x:c r="H33" s="58" t="str">
        <x:v>2025-01-01</x:v>
      </x:c>
      <x:c r="I33" s="58" t="str">
        <x:v>2025-12-31</x:v>
      </x:c>
      <x:c r="J33" s="58" t="str">
        <x:v>2026-03-27</x:v>
      </x:c>
      <x:c r="K33" s="58" t="str">
        <x:v>E1</x:v>
      </x:c>
      <x:c r="L33" s="60" t="n">
        <x:v>0.99</x:v>
      </x:c>
      <x:c r="M33" s="58" t="str">
        <x:v>PENDING_REVIEW</x:v>
      </x:c>
      <x:c r="N33" s="58" t="str">
        <x:v>Gold Fields Annual Financial Report 2025</x:v>
      </x:c>
      <x:c r="O33" s="58" t="n">
        <x:v>72</x:v>
      </x:c>
      <x:c r="P33" s="58" t="str">
        <x:v>https://www.goldfields.com/pdf/investors/integrated-annual-reports/2025/afs-2025.pdf</x:v>
      </x:c>
      <x:c r="Q33" s="58" t="str">
        <x:v>0819d8e37085aaa5adb8305c3bcdd5b5a9631cf40f594950beaeb6c77077fc0a</x:v>
      </x:c>
      <x:c r="R33" s="58" t="str">
        <x:v>DEVELOPER_VERIFIED / PENDING_REVIEW: excluded from all active anchors and eligible claim paths</x:v>
      </x:c>
    </x:row>
    <x:row r="34">
      <x:c r="A34" s="58" t="str">
        <x:v>VALTERRA-2025-CASH</x:v>
      </x:c>
      <x:c r="B34" s="58" t="str">
        <x:v>E06</x:v>
      </x:c>
      <x:c r="C34" s="58" t="str">
        <x:v>Valterra Platinum</x:v>
      </x:c>
      <x:c r="D34" s="58" t="str">
        <x:v>cash_and_cash_equivalents</x:v>
      </x:c>
      <x:c r="E34" s="59" t="n">
        <x:v>16602</x:v>
      </x:c>
      <x:c r="F34" s="58" t="str">
        <x:v>million</x:v>
      </x:c>
      <x:c r="G34" s="58" t="str">
        <x:v>ZAR</x:v>
      </x:c>
      <x:c r="H34" s="58" t="str">
        <x:v>2025-12-31</x:v>
      </x:c>
      <x:c r="I34" s="58" t="str">
        <x:v>2025-12-31</x:v>
      </x:c>
      <x:c r="J34" s="58" t="str">
        <x:v>2026-03-27</x:v>
      </x:c>
      <x:c r="K34" s="58" t="str">
        <x:v>E1</x:v>
      </x:c>
      <x:c r="L34" s="60" t="n">
        <x:v>0.99</x:v>
      </x:c>
      <x:c r="M34" s="58" t="str">
        <x:v>PENDING_REVIEW</x:v>
      </x:c>
      <x:c r="N34" s="58" t="str">
        <x:v>Valterra Platinum Annual Financial Statements 2025</x:v>
      </x:c>
      <x:c r="O34" s="58" t="n">
        <x:v>25</x:v>
      </x:c>
      <x:c r="P34" s="58" t="str">
        <x:v>https://www.valterraplatinum.com/wp-content/uploads/2026/05/annual-financial-statements-2025.pdf</x:v>
      </x:c>
      <x:c r="Q34" s="58" t="str">
        <x:v>84ab45295a07c93d3fa39a24962c05ac600f45ed2c9683b16b4dc2cc7ba170f8</x:v>
      </x:c>
      <x:c r="R34" s="58" t="str">
        <x:v>DEVELOPER_VERIFIED / PENDING_REVIEW: excluded from all active anchors and eligible claim paths</x:v>
      </x:c>
    </x:row>
    <x:row r="35">
      <x:c r="A35" s="58" t="str">
        <x:v>VALTERRA-2025-DEBT</x:v>
      </x:c>
      <x:c r="B35" s="58" t="str">
        <x:v>E06</x:v>
      </x:c>
      <x:c r="C35" s="58" t="str">
        <x:v>Valterra Platinum</x:v>
      </x:c>
      <x:c r="D35" s="58" t="str">
        <x:v>current_debt</x:v>
      </x:c>
      <x:c r="E35" s="59" t="n">
        <x:v>4046</x:v>
      </x:c>
      <x:c r="F35" s="58" t="str">
        <x:v>million</x:v>
      </x:c>
      <x:c r="G35" s="58" t="str">
        <x:v>ZAR</x:v>
      </x:c>
      <x:c r="H35" s="58" t="str">
        <x:v>2025-12-31</x:v>
      </x:c>
      <x:c r="I35" s="58" t="str">
        <x:v>2025-12-31</x:v>
      </x:c>
      <x:c r="J35" s="58" t="str">
        <x:v>2026-03-27</x:v>
      </x:c>
      <x:c r="K35" s="58" t="str">
        <x:v>E1</x:v>
      </x:c>
      <x:c r="L35" s="60" t="n">
        <x:v>0.99</x:v>
      </x:c>
      <x:c r="M35" s="58" t="str">
        <x:v>PENDING_REVIEW</x:v>
      </x:c>
      <x:c r="N35" s="58" t="str">
        <x:v>Valterra Platinum Annual Financial Statements 2025</x:v>
      </x:c>
      <x:c r="O35" s="58" t="n">
        <x:v>25</x:v>
      </x:c>
      <x:c r="P35" s="58" t="str">
        <x:v>https://www.valterraplatinum.com/wp-content/uploads/2026/05/annual-financial-statements-2025.pdf</x:v>
      </x:c>
      <x:c r="Q35" s="58" t="str">
        <x:v>84ab45295a07c93d3fa39a24962c05ac600f45ed2c9683b16b4dc2cc7ba170f8</x:v>
      </x:c>
      <x:c r="R35" s="58" t="str">
        <x:v>DEVELOPER_VERIFIED / PENDING_REVIEW: excluded from all active anchors and eligible claim paths</x:v>
      </x:c>
    </x:row>
    <x:row r="36">
      <x:c r="A36" s="58" t="str">
        <x:v>VALTERRA-2025-REV</x:v>
      </x:c>
      <x:c r="B36" s="58" t="str">
        <x:v>E06</x:v>
      </x:c>
      <x:c r="C36" s="58" t="str">
        <x:v>Valterra Platinum</x:v>
      </x:c>
      <x:c r="D36" s="58" t="str">
        <x:v>revenue</x:v>
      </x:c>
      <x:c r="E36" s="59" t="n">
        <x:v>116330</x:v>
      </x:c>
      <x:c r="F36" s="58" t="str">
        <x:v>million</x:v>
      </x:c>
      <x:c r="G36" s="58" t="str">
        <x:v>ZAR</x:v>
      </x:c>
      <x:c r="H36" s="58" t="str">
        <x:v>2025-01-01</x:v>
      </x:c>
      <x:c r="I36" s="58" t="str">
        <x:v>2025-12-31</x:v>
      </x:c>
      <x:c r="J36" s="58" t="str">
        <x:v>2026-03-27</x:v>
      </x:c>
      <x:c r="K36" s="58" t="str">
        <x:v>E1</x:v>
      </x:c>
      <x:c r="L36" s="60" t="n">
        <x:v>0.99</x:v>
      </x:c>
      <x:c r="M36" s="58" t="str">
        <x:v>PENDING_REVIEW</x:v>
      </x:c>
      <x:c r="N36" s="58" t="str">
        <x:v>Valterra Platinum Annual Financial Statements 2025</x:v>
      </x:c>
      <x:c r="O36" s="58" t="n">
        <x:v>24</x:v>
      </x:c>
      <x:c r="P36" s="58" t="str">
        <x:v>https://www.valterraplatinum.com/wp-content/uploads/2026/05/annual-financial-statements-2025.pdf</x:v>
      </x:c>
      <x:c r="Q36" s="58" t="str">
        <x:v>84ab45295a07c93d3fa39a24962c05ac600f45ed2c9683b16b4dc2cc7ba170f8</x:v>
      </x:c>
      <x:c r="R36" s="58" t="str">
        <x:v>DEVELOPER_VERIFIED / PENDING_REVIEW: excluded from all active anchors and eligible claim paths</x:v>
      </x:c>
    </x:row>
    <x:row r="37">
      <x:c r="A37" s="58" t="str">
        <x:v>OUT-2025-CASH</x:v>
      </x:c>
      <x:c r="B37" s="58" t="str">
        <x:v>E07</x:v>
      </x:c>
      <x:c r="C37" s="58" t="str">
        <x:v>OUTsurance Group</x:v>
      </x:c>
      <x:c r="D37" s="58" t="str">
        <x:v>cash_and_cash_equivalents</x:v>
      </x:c>
      <x:c r="E37" s="59" t="n">
        <x:v>1865</x:v>
      </x:c>
      <x:c r="F37" s="58" t="str">
        <x:v>million</x:v>
      </x:c>
      <x:c r="G37" s="58" t="str">
        <x:v>ZAR</x:v>
      </x:c>
      <x:c r="H37" s="58" t="str">
        <x:v>2025-06-30</x:v>
      </x:c>
      <x:c r="I37" s="58" t="str">
        <x:v>2025-06-30</x:v>
      </x:c>
      <x:c r="J37" s="58" t="str">
        <x:v>2025-09-15</x:v>
      </x:c>
      <x:c r="K37" s="58" t="str">
        <x:v>E1</x:v>
      </x:c>
      <x:c r="L37" s="60" t="n">
        <x:v>0.99</x:v>
      </x:c>
      <x:c r="M37" s="58" t="str">
        <x:v>PENDING_REVIEW</x:v>
      </x:c>
      <x:c r="N37" s="58" t="str">
        <x:v>OUTsurance Group Annual Financial Statements 2025</x:v>
      </x:c>
      <x:c r="O37" s="58" t="n">
        <x:v>21</x:v>
      </x:c>
      <x:c r="P37" s="58" t="str">
        <x:v>https://group.outsurance.co.za/globalassets/documents/investor-relations/reports-and-results/2025/ogl-annual-financial-statements-2025.pdf</x:v>
      </x:c>
      <x:c r="Q37" s="58" t="str">
        <x:v>3f03545e101a357d73e3f26863473adc341b4b0382ab2b8248b322900ef38b3c</x:v>
      </x:c>
      <x:c r="R37" s="58" t="str">
        <x:v>DEVELOPER_VERIFIED / PENDING_REVIEW: excluded from all active anchors and eligible claim paths</x:v>
      </x:c>
    </x:row>
    <x:row r="38">
      <x:c r="A38" s="58" t="str">
        <x:v>OUT-2025-INS-LIAB</x:v>
      </x:c>
      <x:c r="B38" s="58" t="str">
        <x:v>E07</x:v>
      </x:c>
      <x:c r="C38" s="58" t="str">
        <x:v>OUTsurance Group</x:v>
      </x:c>
      <x:c r="D38" s="58" t="str">
        <x:v>insurance_liabilities</x:v>
      </x:c>
      <x:c r="E38" s="59" t="n">
        <x:v>16229</x:v>
      </x:c>
      <x:c r="F38" s="58" t="str">
        <x:v>million</x:v>
      </x:c>
      <x:c r="G38" s="58" t="str">
        <x:v>ZAR</x:v>
      </x:c>
      <x:c r="H38" s="58" t="str">
        <x:v>2025-06-30</x:v>
      </x:c>
      <x:c r="I38" s="58" t="str">
        <x:v>2025-06-30</x:v>
      </x:c>
      <x:c r="J38" s="58" t="str">
        <x:v>2025-09-15</x:v>
      </x:c>
      <x:c r="K38" s="58" t="str">
        <x:v>E1</x:v>
      </x:c>
      <x:c r="L38" s="60" t="n">
        <x:v>0.99</x:v>
      </x:c>
      <x:c r="M38" s="58" t="str">
        <x:v>PENDING_REVIEW</x:v>
      </x:c>
      <x:c r="N38" s="58" t="str">
        <x:v>OUTsurance Group Annual Financial Statements 2025</x:v>
      </x:c>
      <x:c r="O38" s="58" t="n">
        <x:v>21</x:v>
      </x:c>
      <x:c r="P38" s="58" t="str">
        <x:v>https://group.outsurance.co.za/globalassets/documents/investor-relations/reports-and-results/2025/ogl-annual-financial-statements-2025.pdf</x:v>
      </x:c>
      <x:c r="Q38" s="58" t="str">
        <x:v>3f03545e101a357d73e3f26863473adc341b4b0382ab2b8248b322900ef38b3c</x:v>
      </x:c>
      <x:c r="R38" s="58" t="str">
        <x:v>DEVELOPER_VERIFIED / PENDING_REVIEW: excluded from all active anchors and eligible claim paths</x:v>
      </x:c>
    </x:row>
    <x:row r="39">
      <x:c r="A39" s="58" t="str">
        <x:v>OUT-2025-REV</x:v>
      </x:c>
      <x:c r="B39" s="58" t="str">
        <x:v>E07</x:v>
      </x:c>
      <x:c r="C39" s="58" t="str">
        <x:v>OUTsurance Group</x:v>
      </x:c>
      <x:c r="D39" s="58" t="str">
        <x:v>insurance_revenue</x:v>
      </x:c>
      <x:c r="E39" s="59" t="n">
        <x:v>37131</x:v>
      </x:c>
      <x:c r="F39" s="58" t="str">
        <x:v>million</x:v>
      </x:c>
      <x:c r="G39" s="58" t="str">
        <x:v>ZAR</x:v>
      </x:c>
      <x:c r="H39" s="58" t="str">
        <x:v>2024-07-01</x:v>
      </x:c>
      <x:c r="I39" s="58" t="str">
        <x:v>2025-06-30</x:v>
      </x:c>
      <x:c r="J39" s="58" t="str">
        <x:v>2025-09-15</x:v>
      </x:c>
      <x:c r="K39" s="58" t="str">
        <x:v>E1</x:v>
      </x:c>
      <x:c r="L39" s="60" t="n">
        <x:v>0.99</x:v>
      </x:c>
      <x:c r="M39" s="58" t="str">
        <x:v>PENDING_REVIEW</x:v>
      </x:c>
      <x:c r="N39" s="58" t="str">
        <x:v>OUTsurance Group Annual Financial Statements 2025</x:v>
      </x:c>
      <x:c r="O39" s="58" t="n">
        <x:v>19</x:v>
      </x:c>
      <x:c r="P39" s="58" t="str">
        <x:v>https://group.outsurance.co.za/globalassets/documents/investor-relations/reports-and-results/2025/ogl-annual-financial-statements-2025.pdf</x:v>
      </x:c>
      <x:c r="Q39" s="58" t="str">
        <x:v>3f03545e101a357d73e3f26863473adc341b4b0382ab2b8248b322900ef38b3c</x:v>
      </x:c>
      <x:c r="R39" s="58" t="str">
        <x:v>DEVELOPER_VERIFIED / PENDING_REVIEW: excluded from all active anchors and eligible claim paths</x:v>
      </x:c>
    </x:row>
    <x:row r="40">
      <x:c r="A40" s="58" t="str">
        <x:v>SANLAM-2024-CASH</x:v>
      </x:c>
      <x:c r="B40" s="58" t="str">
        <x:v>E08</x:v>
      </x:c>
      <x:c r="C40" s="58" t="str">
        <x:v>Sanlam</x:v>
      </x:c>
      <x:c r="D40" s="58" t="str">
        <x:v>cash_and_cash_equivalents</x:v>
      </x:c>
      <x:c r="E40" s="59" t="n">
        <x:v>34602</x:v>
      </x:c>
      <x:c r="F40" s="58" t="str">
        <x:v>million</x:v>
      </x:c>
      <x:c r="G40" s="58" t="str">
        <x:v>ZAR</x:v>
      </x:c>
      <x:c r="H40" s="58" t="str">
        <x:v>2024-12-31</x:v>
      </x:c>
      <x:c r="I40" s="58" t="str">
        <x:v>2024-12-31</x:v>
      </x:c>
      <x:c r="J40" s="58" t="str">
        <x:v>2025-03-07</x:v>
      </x:c>
      <x:c r="K40" s="58" t="str">
        <x:v>E1</x:v>
      </x:c>
      <x:c r="L40" s="60" t="n">
        <x:v>0.99</x:v>
      </x:c>
      <x:c r="M40" s="58" t="str">
        <x:v>PENDING_REVIEW</x:v>
      </x:c>
      <x:c r="N40" s="58" t="str">
        <x:v>Sanlam Annual Financial Statements 2024</x:v>
      </x:c>
      <x:c r="O40" s="58" t="n">
        <x:v>42</x:v>
      </x:c>
      <x:c r="P40" s="58" t="str">
        <x:v>https://www.sanlam.com/downloads/integrated-report-and-annual-financial-statements/2024/Sanlam-AFS-2024-spreads.pdf</x:v>
      </x:c>
      <x:c r="Q40" s="58" t="str">
        <x:v>fc2487f72420917e9c52f78bc4a7800a1e4270781aa2117632f69680b4ca14da</x:v>
      </x:c>
      <x:c r="R40" s="58" t="str">
        <x:v>DEVELOPER_VERIFIED / PENDING_REVIEW: excluded from all active anchors and eligible claim paths</x:v>
      </x:c>
    </x:row>
    <x:row r="41">
      <x:c r="A41" s="58" t="str">
        <x:v>SANLAM-2024-INSREV</x:v>
      </x:c>
      <x:c r="B41" s="58" t="str">
        <x:v>E08</x:v>
      </x:c>
      <x:c r="C41" s="58" t="str">
        <x:v>Sanlam</x:v>
      </x:c>
      <x:c r="D41" s="58" t="str">
        <x:v>insurance_revenue</x:v>
      </x:c>
      <x:c r="E41" s="59" t="n">
        <x:v>93475</x:v>
      </x:c>
      <x:c r="F41" s="58" t="str">
        <x:v>million</x:v>
      </x:c>
      <x:c r="G41" s="58" t="str">
        <x:v>ZAR</x:v>
      </x:c>
      <x:c r="H41" s="58" t="str">
        <x:v>2024-01-01</x:v>
      </x:c>
      <x:c r="I41" s="58" t="str">
        <x:v>2024-12-31</x:v>
      </x:c>
      <x:c r="J41" s="58" t="str">
        <x:v>2025-03-07</x:v>
      </x:c>
      <x:c r="K41" s="58" t="str">
        <x:v>E1</x:v>
      </x:c>
      <x:c r="L41" s="60" t="n">
        <x:v>0.99</x:v>
      </x:c>
      <x:c r="M41" s="58" t="str">
        <x:v>PENDING_REVIEW</x:v>
      </x:c>
      <x:c r="N41" s="58" t="str">
        <x:v>Sanlam Annual Financial Statements 2024</x:v>
      </x:c>
      <x:c r="O41" s="58" t="n">
        <x:v>42</x:v>
      </x:c>
      <x:c r="P41" s="58" t="str">
        <x:v>https://www.sanlam.com/downloads/integrated-report-and-annual-financial-statements/2024/Sanlam-AFS-2024-spreads.pdf</x:v>
      </x:c>
      <x:c r="Q41" s="58" t="str">
        <x:v>fc2487f72420917e9c52f78bc4a7800a1e4270781aa2117632f69680b4ca14da</x:v>
      </x:c>
      <x:c r="R41" s="58" t="str">
        <x:v>DEVELOPER_VERIFIED / PENDING_REVIEW: excluded from all active anchors and eligible claim paths</x:v>
      </x:c>
    </x:row>
    <x:row r="42">
      <x:c r="A42" s="58" t="str">
        <x:v>SANLAM-2024-TERM</x:v>
      </x:c>
      <x:c r="B42" s="58" t="str">
        <x:v>E08</x:v>
      </x:c>
      <x:c r="C42" s="58" t="str">
        <x:v>Sanlam</x:v>
      </x:c>
      <x:c r="D42" s="58" t="str">
        <x:v>term_finance</x:v>
      </x:c>
      <x:c r="E42" s="59" t="n">
        <x:v>19769</x:v>
      </x:c>
      <x:c r="F42" s="58" t="str">
        <x:v>million</x:v>
      </x:c>
      <x:c r="G42" s="58" t="str">
        <x:v>ZAR</x:v>
      </x:c>
      <x:c r="H42" s="58" t="str">
        <x:v>2024-12-31</x:v>
      </x:c>
      <x:c r="I42" s="58" t="str">
        <x:v>2024-12-31</x:v>
      </x:c>
      <x:c r="J42" s="58" t="str">
        <x:v>2025-03-07</x:v>
      </x:c>
      <x:c r="K42" s="58" t="str">
        <x:v>E1</x:v>
      </x:c>
      <x:c r="L42" s="60" t="n">
        <x:v>0.99</x:v>
      </x:c>
      <x:c r="M42" s="58" t="str">
        <x:v>PENDING_REVIEW</x:v>
      </x:c>
      <x:c r="N42" s="58" t="str">
        <x:v>Sanlam Annual Financial Statements 2024</x:v>
      </x:c>
      <x:c r="O42" s="58" t="n">
        <x:v>42</x:v>
      </x:c>
      <x:c r="P42" s="58" t="str">
        <x:v>https://www.sanlam.com/downloads/integrated-report-and-annual-financial-statements/2024/Sanlam-AFS-2024-spreads.pdf</x:v>
      </x:c>
      <x:c r="Q42" s="58" t="str">
        <x:v>fc2487f72420917e9c52f78bc4a7800a1e4270781aa2117632f69680b4ca14da</x:v>
      </x:c>
      <x:c r="R42" s="58" t="str">
        <x:v>DEVELOPER_VERIFIED / PENDING_REVIEW: excluded from all active anchors and eligible claim paths</x:v>
      </x:c>
    </x:row>
    <x:row r="43">
      <x:c r="A43" s="58" t="str">
        <x:v>SHP-2025-AP-CLOSE</x:v>
      </x:c>
      <x:c r="B43" s="58" t="str">
        <x:v>E09</x:v>
      </x:c>
      <x:c r="C43" s="58" t="str">
        <x:v>Shoprite Holdings</x:v>
      </x:c>
      <x:c r="D43" s="58" t="str">
        <x:v>trade_payables_close</x:v>
      </x:c>
      <x:c r="E43" s="59" t="n">
        <x:v>34160</x:v>
      </x:c>
      <x:c r="F43" s="58" t="str">
        <x:v>million</x:v>
      </x:c>
      <x:c r="G43" s="58" t="str">
        <x:v>ZAR</x:v>
      </x:c>
      <x:c r="H43" s="58" t="str">
        <x:v>2024-07-01</x:v>
      </x:c>
      <x:c r="I43" s="58" t="str">
        <x:v>2025-06-29</x:v>
      </x:c>
      <x:c r="J43" s="58" t="str">
        <x:v>2025-10-13</x:v>
      </x:c>
      <x:c r="K43" s="58" t="str">
        <x:v>E1</x:v>
      </x:c>
      <x:c r="L43" s="60" t="n">
        <x:v>0.99</x:v>
      </x:c>
      <x:c r="M43" s="58" t="str">
        <x:v>APPROVED</x:v>
      </x:c>
      <x:c r="N43" s="58" t="str">
        <x:v>Shoprite Holdings Annual Financial Statements 2025</x:v>
      </x:c>
      <x:c r="O43" s="58" t="n">
        <x:v>18</x:v>
      </x:c>
      <x:c r="P43" s="58" t="str">
        <x:v>https://www.shopriteholdings.co.za/docs/shp-afs-2025.pdf</x:v>
      </x:c>
      <x:c r="Q43" s="58" t="str">
        <x:v>seed-register-hash:SHP-2025-AP-CLOSE</x:v>
      </x:c>
      <x:c r="R43" s="58" t="str">
        <x:v>APPROVED: may activate a governed E1 anchor</x:v>
      </x:c>
    </x:row>
    <x:row r="44">
      <x:c r="A44" s="58" t="str">
        <x:v>SHP-2025-AP-OPEN</x:v>
      </x:c>
      <x:c r="B44" s="58" t="str">
        <x:v>E09</x:v>
      </x:c>
      <x:c r="C44" s="58" t="str">
        <x:v>Shoprite Holdings</x:v>
      </x:c>
      <x:c r="D44" s="58" t="str">
        <x:v>trade_payables_open</x:v>
      </x:c>
      <x:c r="E44" s="59" t="n">
        <x:v>32544</x:v>
      </x:c>
      <x:c r="F44" s="58" t="str">
        <x:v>million</x:v>
      </x:c>
      <x:c r="G44" s="58" t="str">
        <x:v>ZAR</x:v>
      </x:c>
      <x:c r="H44" s="58" t="str">
        <x:v>2023-07-01</x:v>
      </x:c>
      <x:c r="I44" s="58" t="str">
        <x:v>2024-06-30</x:v>
      </x:c>
      <x:c r="J44" s="58" t="str">
        <x:v>2025-10-13</x:v>
      </x:c>
      <x:c r="K44" s="58" t="str">
        <x:v>E1</x:v>
      </x:c>
      <x:c r="L44" s="60" t="n">
        <x:v>0.99</x:v>
      </x:c>
      <x:c r="M44" s="58" t="str">
        <x:v>APPROVED</x:v>
      </x:c>
      <x:c r="N44" s="58" t="str">
        <x:v>Shoprite Holdings Annual Financial Statements 2025</x:v>
      </x:c>
      <x:c r="O44" s="58" t="n">
        <x:v>18</x:v>
      </x:c>
      <x:c r="P44" s="58" t="str">
        <x:v>https://www.shopriteholdings.co.za/docs/shp-afs-2025.pdf</x:v>
      </x:c>
      <x:c r="Q44" s="58" t="str">
        <x:v>seed-register-hash:SHP-2025-AP-OPEN</x:v>
      </x:c>
      <x:c r="R44" s="58" t="str">
        <x:v>APPROVED: may activate a governed E1 anchor</x:v>
      </x:c>
    </x:row>
    <x:row r="45">
      <x:c r="A45" s="58" t="str">
        <x:v>SHP-2025-AR-CLOSE</x:v>
      </x:c>
      <x:c r="B45" s="58" t="str">
        <x:v>E09</x:v>
      </x:c>
      <x:c r="C45" s="58" t="str">
        <x:v>Shoprite Holdings</x:v>
      </x:c>
      <x:c r="D45" s="58" t="str">
        <x:v>trade_receivables_close</x:v>
      </x:c>
      <x:c r="E45" s="59" t="n">
        <x:v>6291</x:v>
      </x:c>
      <x:c r="F45" s="58" t="str">
        <x:v>million</x:v>
      </x:c>
      <x:c r="G45" s="58" t="str">
        <x:v>ZAR</x:v>
      </x:c>
      <x:c r="H45" s="58" t="str">
        <x:v>2024-07-01</x:v>
      </x:c>
      <x:c r="I45" s="58" t="str">
        <x:v>2025-06-29</x:v>
      </x:c>
      <x:c r="J45" s="58" t="str">
        <x:v>2025-10-13</x:v>
      </x:c>
      <x:c r="K45" s="58" t="str">
        <x:v>E1</x:v>
      </x:c>
      <x:c r="L45" s="60" t="n">
        <x:v>0.99</x:v>
      </x:c>
      <x:c r="M45" s="58" t="str">
        <x:v>APPROVED</x:v>
      </x:c>
      <x:c r="N45" s="58" t="str">
        <x:v>Shoprite Holdings Annual Financial Statements 2025</x:v>
      </x:c>
      <x:c r="O45" s="58" t="n">
        <x:v>18</x:v>
      </x:c>
      <x:c r="P45" s="58" t="str">
        <x:v>https://www.shopriteholdings.co.za/docs/shp-afs-2025.pdf</x:v>
      </x:c>
      <x:c r="Q45" s="58" t="str">
        <x:v>seed-register-hash:SHP-2025-AR-CLOSE</x:v>
      </x:c>
      <x:c r="R45" s="58" t="str">
        <x:v>APPROVED: may activate a governed E1 anchor</x:v>
      </x:c>
    </x:row>
    <x:row r="46">
      <x:c r="A46" s="58" t="str">
        <x:v>SHP-2025-AR-OPEN</x:v>
      </x:c>
      <x:c r="B46" s="58" t="str">
        <x:v>E09</x:v>
      </x:c>
      <x:c r="C46" s="58" t="str">
        <x:v>Shoprite Holdings</x:v>
      </x:c>
      <x:c r="D46" s="58" t="str">
        <x:v>trade_receivables_open</x:v>
      </x:c>
      <x:c r="E46" s="59" t="n">
        <x:v>6714</x:v>
      </x:c>
      <x:c r="F46" s="58" t="str">
        <x:v>million</x:v>
      </x:c>
      <x:c r="G46" s="58" t="str">
        <x:v>ZAR</x:v>
      </x:c>
      <x:c r="H46" s="58" t="str">
        <x:v>2023-07-01</x:v>
      </x:c>
      <x:c r="I46" s="58" t="str">
        <x:v>2024-06-30</x:v>
      </x:c>
      <x:c r="J46" s="58" t="str">
        <x:v>2025-10-13</x:v>
      </x:c>
      <x:c r="K46" s="58" t="str">
        <x:v>E1</x:v>
      </x:c>
      <x:c r="L46" s="60" t="n">
        <x:v>0.99</x:v>
      </x:c>
      <x:c r="M46" s="58" t="str">
        <x:v>APPROVED</x:v>
      </x:c>
      <x:c r="N46" s="58" t="str">
        <x:v>Shoprite Holdings Annual Financial Statements 2025</x:v>
      </x:c>
      <x:c r="O46" s="58" t="n">
        <x:v>18</x:v>
      </x:c>
      <x:c r="P46" s="58" t="str">
        <x:v>https://www.shopriteholdings.co.za/docs/shp-afs-2025.pdf</x:v>
      </x:c>
      <x:c r="Q46" s="58" t="str">
        <x:v>seed-register-hash:SHP-2025-AR-OPEN</x:v>
      </x:c>
      <x:c r="R46" s="58" t="str">
        <x:v>APPROVED: may activate a governed E1 anchor</x:v>
      </x:c>
    </x:row>
    <x:row r="47">
      <x:c r="A47" s="58" t="str">
        <x:v>SHP-2025-COST</x:v>
      </x:c>
      <x:c r="B47" s="58" t="str">
        <x:v>E09</x:v>
      </x:c>
      <x:c r="C47" s="58" t="str">
        <x:v>Shoprite Holdings</x:v>
      </x:c>
      <x:c r="D47" s="58" t="str">
        <x:v>operating_cost_base</x:v>
      </x:c>
      <x:c r="E47" s="59" t="n">
        <x:v>191259</x:v>
      </x:c>
      <x:c r="F47" s="58" t="str">
        <x:v>million</x:v>
      </x:c>
      <x:c r="G47" s="58" t="str">
        <x:v>ZAR</x:v>
      </x:c>
      <x:c r="H47" s="58" t="str">
        <x:v>2024-07-01</x:v>
      </x:c>
      <x:c r="I47" s="58" t="str">
        <x:v>2025-06-29</x:v>
      </x:c>
      <x:c r="J47" s="58" t="str">
        <x:v>2025-10-13</x:v>
      </x:c>
      <x:c r="K47" s="58" t="str">
        <x:v>E1</x:v>
      </x:c>
      <x:c r="L47" s="60" t="n">
        <x:v>0.99</x:v>
      </x:c>
      <x:c r="M47" s="58" t="str">
        <x:v>APPROVED</x:v>
      </x:c>
      <x:c r="N47" s="58" t="str">
        <x:v>Shoprite Holdings Annual Financial Statements 2025</x:v>
      </x:c>
      <x:c r="O47" s="58" t="n">
        <x:v>19</x:v>
      </x:c>
      <x:c r="P47" s="58" t="str">
        <x:v>https://www.shopriteholdings.co.za/docs/shp-afs-2025.pdf</x:v>
      </x:c>
      <x:c r="Q47" s="58" t="str">
        <x:v>seed-register-hash:SHP-2025-COST</x:v>
      </x:c>
      <x:c r="R47" s="58" t="str">
        <x:v>APPROVED: may activate a governed E1 anchor</x:v>
      </x:c>
    </x:row>
    <x:row r="48">
      <x:c r="A48" s="58" t="str">
        <x:v>SHP-2025-DEBT</x:v>
      </x:c>
      <x:c r="B48" s="58" t="str">
        <x:v>E09</x:v>
      </x:c>
      <x:c r="C48" s="58" t="str">
        <x:v>Shoprite Holdings</x:v>
      </x:c>
      <x:c r="D48" s="58" t="str">
        <x:v>current_debt</x:v>
      </x:c>
      <x:c r="E48" s="59" t="n">
        <x:v>489</x:v>
      </x:c>
      <x:c r="F48" s="58" t="str">
        <x:v>million</x:v>
      </x:c>
      <x:c r="G48" s="58" t="str">
        <x:v>ZAR</x:v>
      </x:c>
      <x:c r="H48" s="58" t="str">
        <x:v>2024-07-01</x:v>
      </x:c>
      <x:c r="I48" s="58" t="str">
        <x:v>2025-06-29</x:v>
      </x:c>
      <x:c r="J48" s="58" t="str">
        <x:v>2025-10-13</x:v>
      </x:c>
      <x:c r="K48" s="58" t="str">
        <x:v>E1</x:v>
      </x:c>
      <x:c r="L48" s="60" t="n">
        <x:v>0.99</x:v>
      </x:c>
      <x:c r="M48" s="58" t="str">
        <x:v>APPROVED</x:v>
      </x:c>
      <x:c r="N48" s="58" t="str">
        <x:v>Shoprite Holdings Annual Financial Statements 2025</x:v>
      </x:c>
      <x:c r="O48" s="58" t="n">
        <x:v>18</x:v>
      </x:c>
      <x:c r="P48" s="58" t="str">
        <x:v>https://www.shopriteholdings.co.za/docs/shp-afs-2025.pdf</x:v>
      </x:c>
      <x:c r="Q48" s="58" t="str">
        <x:v>seed-register-hash:SHP-2025-DEBT</x:v>
      </x:c>
      <x:c r="R48" s="58" t="str">
        <x:v>APPROVED: may activate a governed E1 anchor</x:v>
      </x:c>
    </x:row>
    <x:row r="49">
      <x:c r="A49" s="58" t="str">
        <x:v>SHP-2025-FX</x:v>
      </x:c>
      <x:c r="B49" s="58" t="str">
        <x:v>E09</x:v>
      </x:c>
      <x:c r="C49" s="58" t="str">
        <x:v>Shoprite Holdings</x:v>
      </x:c>
      <x:c r="D49" s="58" t="str">
        <x:v>fx_exposure</x:v>
      </x:c>
      <x:c r="E49" s="59" t="n">
        <x:v>3572</x:v>
      </x:c>
      <x:c r="F49" s="58" t="str">
        <x:v>million</x:v>
      </x:c>
      <x:c r="G49" s="58" t="str">
        <x:v>ZAR</x:v>
      </x:c>
      <x:c r="H49" s="58" t="str">
        <x:v>2024-07-01</x:v>
      </x:c>
      <x:c r="I49" s="58" t="str">
        <x:v>2025-06-29</x:v>
      </x:c>
      <x:c r="J49" s="58" t="str">
        <x:v>2025-10-13</x:v>
      </x:c>
      <x:c r="K49" s="58" t="str">
        <x:v>E1</x:v>
      </x:c>
      <x:c r="L49" s="60" t="n">
        <x:v>0.95</x:v>
      </x:c>
      <x:c r="M49" s="58" t="str">
        <x:v>APPROVED</x:v>
      </x:c>
      <x:c r="N49" s="58" t="str">
        <x:v>Shoprite Holdings Annual Financial Statements 2025</x:v>
      </x:c>
      <x:c r="O49" s="58" t="n">
        <x:v>118</x:v>
      </x:c>
      <x:c r="P49" s="58" t="str">
        <x:v>https://www.shopriteholdings.co.za/docs/shp-afs-2025.pdf</x:v>
      </x:c>
      <x:c r="Q49" s="58" t="str">
        <x:v>seed-register-hash:SHP-2025-FX</x:v>
      </x:c>
      <x:c r="R49" s="58" t="str">
        <x:v>APPROVED: may activate a governed E1 anchor</x:v>
      </x:c>
    </x:row>
    <x:row r="50">
      <x:c r="A50" s="58" t="str">
        <x:v>SHP-2025-INV-CLOSE</x:v>
      </x:c>
      <x:c r="B50" s="58" t="str">
        <x:v>E09</x:v>
      </x:c>
      <x:c r="C50" s="58" t="str">
        <x:v>Shoprite Holdings</x:v>
      </x:c>
      <x:c r="D50" s="58" t="str">
        <x:v>inventories_close</x:v>
      </x:c>
      <x:c r="E50" s="59" t="n">
        <x:v>29748</x:v>
      </x:c>
      <x:c r="F50" s="58" t="str">
        <x:v>million</x:v>
      </x:c>
      <x:c r="G50" s="58" t="str">
        <x:v>ZAR</x:v>
      </x:c>
      <x:c r="H50" s="58" t="str">
        <x:v>2024-07-01</x:v>
      </x:c>
      <x:c r="I50" s="58" t="str">
        <x:v>2025-06-29</x:v>
      </x:c>
      <x:c r="J50" s="58" t="str">
        <x:v>2025-10-13</x:v>
      </x:c>
      <x:c r="K50" s="58" t="str">
        <x:v>E1</x:v>
      </x:c>
      <x:c r="L50" s="60" t="n">
        <x:v>0.99</x:v>
      </x:c>
      <x:c r="M50" s="58" t="str">
        <x:v>APPROVED</x:v>
      </x:c>
      <x:c r="N50" s="58" t="str">
        <x:v>Shoprite Holdings Annual Financial Statements 2025</x:v>
      </x:c>
      <x:c r="O50" s="58" t="n">
        <x:v>18</x:v>
      </x:c>
      <x:c r="P50" s="58" t="str">
        <x:v>https://www.shopriteholdings.co.za/docs/shp-afs-2025.pdf</x:v>
      </x:c>
      <x:c r="Q50" s="58" t="str">
        <x:v>seed-register-hash:SHP-2025-INV-CLOSE</x:v>
      </x:c>
      <x:c r="R50" s="58" t="str">
        <x:v>APPROVED: may activate a governed E1 anchor</x:v>
      </x:c>
    </x:row>
    <x:row r="51">
      <x:c r="A51" s="58" t="str">
        <x:v>SHP-2025-INV-OPEN</x:v>
      </x:c>
      <x:c r="B51" s="58" t="str">
        <x:v>E09</x:v>
      </x:c>
      <x:c r="C51" s="58" t="str">
        <x:v>Shoprite Holdings</x:v>
      </x:c>
      <x:c r="D51" s="58" t="str">
        <x:v>inventories_open</x:v>
      </x:c>
      <x:c r="E51" s="59" t="n">
        <x:v>28366</x:v>
      </x:c>
      <x:c r="F51" s="58" t="str">
        <x:v>million</x:v>
      </x:c>
      <x:c r="G51" s="58" t="str">
        <x:v>ZAR</x:v>
      </x:c>
      <x:c r="H51" s="58" t="str">
        <x:v>2023-07-01</x:v>
      </x:c>
      <x:c r="I51" s="58" t="str">
        <x:v>2024-06-30</x:v>
      </x:c>
      <x:c r="J51" s="58" t="str">
        <x:v>2025-10-13</x:v>
      </x:c>
      <x:c r="K51" s="58" t="str">
        <x:v>E1</x:v>
      </x:c>
      <x:c r="L51" s="60" t="n">
        <x:v>0.99</x:v>
      </x:c>
      <x:c r="M51" s="58" t="str">
        <x:v>APPROVED</x:v>
      </x:c>
      <x:c r="N51" s="58" t="str">
        <x:v>Shoprite Holdings Annual Financial Statements 2025</x:v>
      </x:c>
      <x:c r="O51" s="58" t="n">
        <x:v>18</x:v>
      </x:c>
      <x:c r="P51" s="58" t="str">
        <x:v>https://www.shopriteholdings.co.za/docs/shp-afs-2025.pdf</x:v>
      </x:c>
      <x:c r="Q51" s="58" t="str">
        <x:v>seed-register-hash:SHP-2025-INV-OPEN</x:v>
      </x:c>
      <x:c r="R51" s="58" t="str">
        <x:v>APPROVED: may activate a governed E1 anchor</x:v>
      </x:c>
    </x:row>
    <x:row r="52">
      <x:c r="A52" s="58" t="str">
        <x:v>SHP-2025-REV</x:v>
      </x:c>
      <x:c r="B52" s="58" t="str">
        <x:v>E09</x:v>
      </x:c>
      <x:c r="C52" s="58" t="str">
        <x:v>Shoprite Holdings</x:v>
      </x:c>
      <x:c r="D52" s="58" t="str">
        <x:v>revenue</x:v>
      </x:c>
      <x:c r="E52" s="59" t="n">
        <x:v>256682</x:v>
      </x:c>
      <x:c r="F52" s="58" t="str">
        <x:v>million</x:v>
      </x:c>
      <x:c r="G52" s="58" t="str">
        <x:v>ZAR</x:v>
      </x:c>
      <x:c r="H52" s="58" t="str">
        <x:v>2024-07-01</x:v>
      </x:c>
      <x:c r="I52" s="58" t="str">
        <x:v>2025-06-29</x:v>
      </x:c>
      <x:c r="J52" s="58" t="str">
        <x:v>2025-10-13</x:v>
      </x:c>
      <x:c r="K52" s="58" t="str">
        <x:v>E1</x:v>
      </x:c>
      <x:c r="L52" s="60" t="n">
        <x:v>0.99</x:v>
      </x:c>
      <x:c r="M52" s="58" t="str">
        <x:v>APPROVED</x:v>
      </x:c>
      <x:c r="N52" s="58" t="str">
        <x:v>Shoprite Holdings Annual Financial Statements 2025</x:v>
      </x:c>
      <x:c r="O52" s="58" t="n">
        <x:v>19</x:v>
      </x:c>
      <x:c r="P52" s="58" t="str">
        <x:v>https://www.shopriteholdings.co.za/docs/shp-afs-2025.pdf</x:v>
      </x:c>
      <x:c r="Q52" s="58" t="str">
        <x:v>seed-register-hash:SHP-2025-REV</x:v>
      </x:c>
      <x:c r="R52" s="58" t="str">
        <x:v>APPROVED: may activate a governed E1 anchor</x:v>
      </x:c>
    </x:row>
    <x:row r="53">
      <x:c r="A53" s="58" t="str">
        <x:v>SHP-2025-STF</x:v>
      </x:c>
      <x:c r="B53" s="58" t="str">
        <x:v>E09</x:v>
      </x:c>
      <x:c r="C53" s="58" t="str">
        <x:v>Shoprite Holdings</x:v>
      </x:c>
      <x:c r="D53" s="58" t="str">
        <x:v>short_term_facilities</x:v>
      </x:c>
      <x:c r="E53" s="59" t="n">
        <x:v>1863</x:v>
      </x:c>
      <x:c r="F53" s="58" t="str">
        <x:v>million</x:v>
      </x:c>
      <x:c r="G53" s="58" t="str">
        <x:v>ZAR</x:v>
      </x:c>
      <x:c r="H53" s="58" t="str">
        <x:v>2024-07-01</x:v>
      </x:c>
      <x:c r="I53" s="58" t="str">
        <x:v>2025-06-29</x:v>
      </x:c>
      <x:c r="J53" s="58" t="str">
        <x:v>2025-10-13</x:v>
      </x:c>
      <x:c r="K53" s="58" t="str">
        <x:v>E1</x:v>
      </x:c>
      <x:c r="L53" s="60" t="n">
        <x:v>0.99</x:v>
      </x:c>
      <x:c r="M53" s="58" t="str">
        <x:v>APPROVED</x:v>
      </x:c>
      <x:c r="N53" s="58" t="str">
        <x:v>Shoprite Holdings Annual Financial Statements 2025</x:v>
      </x:c>
      <x:c r="O53" s="58" t="n">
        <x:v>18</x:v>
      </x:c>
      <x:c r="P53" s="58" t="str">
        <x:v>https://www.shopriteholdings.co.za/docs/shp-afs-2025.pdf</x:v>
      </x:c>
      <x:c r="Q53" s="58" t="str">
        <x:v>seed-register-hash:SHP-2025-STF</x:v>
      </x:c>
      <x:c r="R53" s="58" t="str">
        <x:v>APPROVED: may activate a governed E1 anchor</x:v>
      </x:c>
    </x:row>
    <x:row r="54">
      <x:c r="A54" s="58" t="str">
        <x:v>BIDCORP-2025-CASH</x:v>
      </x:c>
      <x:c r="B54" s="58" t="str">
        <x:v>E10</x:v>
      </x:c>
      <x:c r="C54" s="58" t="str">
        <x:v>Bid Corporation</x:v>
      </x:c>
      <x:c r="D54" s="58" t="str">
        <x:v>cash_and_cash_equivalents</x:v>
      </x:c>
      <x:c r="E54" s="59" t="n">
        <x:v>11767.62</x:v>
      </x:c>
      <x:c r="F54" s="58" t="str">
        <x:v>million</x:v>
      </x:c>
      <x:c r="G54" s="58" t="str">
        <x:v>ZAR</x:v>
      </x:c>
      <x:c r="H54" s="58" t="str">
        <x:v>2025-06-30</x:v>
      </x:c>
      <x:c r="I54" s="58" t="str">
        <x:v>2025-06-30</x:v>
      </x:c>
      <x:c r="J54" s="58" t="str">
        <x:v>2025-10-30</x:v>
      </x:c>
      <x:c r="K54" s="58" t="str">
        <x:v>E1</x:v>
      </x:c>
      <x:c r="L54" s="60" t="n">
        <x:v>0.98</x:v>
      </x:c>
      <x:c r="M54" s="58" t="str">
        <x:v>PENDING_REVIEW</x:v>
      </x:c>
      <x:c r="N54" s="58" t="str">
        <x:v>Bidcorp Annual Integrated Report 2025</x:v>
      </x:c>
      <x:c r="O54" s="58" t="n">
        <x:v>19</x:v>
      </x:c>
      <x:c r="P54" s="58" t="str">
        <x:v>https://www.bidcorpgroup.com/pdf/reports/2025/Bidcorp-2025-AIR.pdf</x:v>
      </x:c>
      <x:c r="Q54" s="58" t="str">
        <x:v>f2516d780aff52d4a5de8be9a2f02e753e948e13450e77f2b1603784b5215c9f</x:v>
      </x:c>
      <x:c r="R54" s="58" t="str">
        <x:v>DEVELOPER_VERIFIED / PENDING_REVIEW: excluded from all active anchors and eligible claim paths</x:v>
      </x:c>
    </x:row>
    <x:row r="55">
      <x:c r="A55" s="58" t="str">
        <x:v>BIDCORP-2025-CL</x:v>
      </x:c>
      <x:c r="B55" s="58" t="str">
        <x:v>E10</x:v>
      </x:c>
      <x:c r="C55" s="58" t="str">
        <x:v>Bid Corporation</x:v>
      </x:c>
      <x:c r="D55" s="58" t="str">
        <x:v>current_liabilities</x:v>
      </x:c>
      <x:c r="E55" s="59" t="n">
        <x:v>42998.67</x:v>
      </x:c>
      <x:c r="F55" s="58" t="str">
        <x:v>million</x:v>
      </x:c>
      <x:c r="G55" s="58" t="str">
        <x:v>ZAR</x:v>
      </x:c>
      <x:c r="H55" s="58" t="str">
        <x:v>2025-06-30</x:v>
      </x:c>
      <x:c r="I55" s="58" t="str">
        <x:v>2025-06-30</x:v>
      </x:c>
      <x:c r="J55" s="58" t="str">
        <x:v>2025-10-30</x:v>
      </x:c>
      <x:c r="K55" s="58" t="str">
        <x:v>E1</x:v>
      </x:c>
      <x:c r="L55" s="60" t="n">
        <x:v>0.98</x:v>
      </x:c>
      <x:c r="M55" s="58" t="str">
        <x:v>PENDING_REVIEW</x:v>
      </x:c>
      <x:c r="N55" s="58" t="str">
        <x:v>Bidcorp Annual Integrated Report 2025</x:v>
      </x:c>
      <x:c r="O55" s="58" t="n">
        <x:v>19</x:v>
      </x:c>
      <x:c r="P55" s="58" t="str">
        <x:v>https://www.bidcorpgroup.com/pdf/reports/2025/Bidcorp-2025-AIR.pdf</x:v>
      </x:c>
      <x:c r="Q55" s="58" t="str">
        <x:v>f2516d780aff52d4a5de8be9a2f02e753e948e13450e77f2b1603784b5215c9f</x:v>
      </x:c>
      <x:c r="R55" s="58" t="str">
        <x:v>DEVELOPER_VERIFIED / PENDING_REVIEW: excluded from all active anchors and eligible claim paths</x:v>
      </x:c>
    </x:row>
    <x:row r="56">
      <x:c r="A56" s="58" t="str">
        <x:v>BIDCORP-2025-REV</x:v>
      </x:c>
      <x:c r="B56" s="58" t="str">
        <x:v>E10</x:v>
      </x:c>
      <x:c r="C56" s="58" t="str">
        <x:v>Bid Corporation</x:v>
      </x:c>
      <x:c r="D56" s="58" t="str">
        <x:v>revenue</x:v>
      </x:c>
      <x:c r="E56" s="59" t="n">
        <x:v>235591.18</x:v>
      </x:c>
      <x:c r="F56" s="58" t="str">
        <x:v>million</x:v>
      </x:c>
      <x:c r="G56" s="58" t="str">
        <x:v>ZAR</x:v>
      </x:c>
      <x:c r="H56" s="58" t="str">
        <x:v>2024-07-01</x:v>
      </x:c>
      <x:c r="I56" s="58" t="str">
        <x:v>2025-06-30</x:v>
      </x:c>
      <x:c r="J56" s="58" t="str">
        <x:v>2025-10-30</x:v>
      </x:c>
      <x:c r="K56" s="58" t="str">
        <x:v>E1</x:v>
      </x:c>
      <x:c r="L56" s="60" t="n">
        <x:v>0.98</x:v>
      </x:c>
      <x:c r="M56" s="58" t="str">
        <x:v>PENDING_REVIEW</x:v>
      </x:c>
      <x:c r="N56" s="58" t="str">
        <x:v>Bidcorp Annual Integrated Report 2025</x:v>
      </x:c>
      <x:c r="O56" s="58" t="n">
        <x:v>18</x:v>
      </x:c>
      <x:c r="P56" s="58" t="str">
        <x:v>https://www.bidcorpgroup.com/pdf/reports/2025/Bidcorp-2025-AIR.pdf</x:v>
      </x:c>
      <x:c r="Q56" s="58" t="str">
        <x:v>f2516d780aff52d4a5de8be9a2f02e753e948e13450e77f2b1603784b5215c9f</x:v>
      </x:c>
      <x:c r="R56" s="58" t="str">
        <x:v>DEVELOPER_VERIFIED / PENDING_REVIEW: excluded from all active anchors and eligible claim paths</x:v>
      </x:c>
    </x:row>
    <x:row r="57">
      <x:c r="A57" s="58" t="str">
        <x:v>PEPKOR-2025-CASH</x:v>
      </x:c>
      <x:c r="B57" s="58" t="str">
        <x:v>E11</x:v>
      </x:c>
      <x:c r="C57" s="58" t="str">
        <x:v>Pepkor Holdings</x:v>
      </x:c>
      <x:c r="D57" s="58" t="str">
        <x:v>cash_and_cash_equivalents</x:v>
      </x:c>
      <x:c r="E57" s="59" t="n">
        <x:v>5066</x:v>
      </x:c>
      <x:c r="F57" s="58" t="str">
        <x:v>million</x:v>
      </x:c>
      <x:c r="G57" s="58" t="str">
        <x:v>ZAR</x:v>
      </x:c>
      <x:c r="H57" s="58" t="str">
        <x:v>2025-09-30</x:v>
      </x:c>
      <x:c r="I57" s="58" t="str">
        <x:v>2025-09-30</x:v>
      </x:c>
      <x:c r="J57" s="58" t="str">
        <x:v>2025-12-15</x:v>
      </x:c>
      <x:c r="K57" s="58" t="str">
        <x:v>E1</x:v>
      </x:c>
      <x:c r="L57" s="60" t="n">
        <x:v>0.99</x:v>
      </x:c>
      <x:c r="M57" s="58" t="str">
        <x:v>PENDING_REVIEW</x:v>
      </x:c>
      <x:c r="N57" s="58" t="str">
        <x:v>Pepkor Annual Financial Statements 2025</x:v>
      </x:c>
      <x:c r="O57" s="58" t="n">
        <x:v>23</x:v>
      </x:c>
      <x:c r="P57" s="58" t="str">
        <x:v>https://pepkor.co.za/wp-content/uploads/Pepkor-annual-financial-statements-2025.pdf</x:v>
      </x:c>
      <x:c r="Q57" s="58" t="str">
        <x:v>7715894a86e0e6b06b26b90b6e5bad3ffb85b8cd6166701bf52ddf8e053193d3</x:v>
      </x:c>
      <x:c r="R57" s="58" t="str">
        <x:v>DEVELOPER_VERIFIED / PENDING_REVIEW: excluded from all active anchors and eligible claim paths</x:v>
      </x:c>
    </x:row>
    <x:row r="58">
      <x:c r="A58" s="58" t="str">
        <x:v>PEPKOR-2025-DEBT</x:v>
      </x:c>
      <x:c r="B58" s="58" t="str">
        <x:v>E11</x:v>
      </x:c>
      <x:c r="C58" s="58" t="str">
        <x:v>Pepkor Holdings</x:v>
      </x:c>
      <x:c r="D58" s="58" t="str">
        <x:v>current_debt</x:v>
      </x:c>
      <x:c r="E58" s="59" t="n">
        <x:v>1200</x:v>
      </x:c>
      <x:c r="F58" s="58" t="str">
        <x:v>million</x:v>
      </x:c>
      <x:c r="G58" s="58" t="str">
        <x:v>ZAR</x:v>
      </x:c>
      <x:c r="H58" s="58" t="str">
        <x:v>2025-09-30</x:v>
      </x:c>
      <x:c r="I58" s="58" t="str">
        <x:v>2025-09-30</x:v>
      </x:c>
      <x:c r="J58" s="58" t="str">
        <x:v>2025-12-15</x:v>
      </x:c>
      <x:c r="K58" s="58" t="str">
        <x:v>E1</x:v>
      </x:c>
      <x:c r="L58" s="60" t="n">
        <x:v>0.99</x:v>
      </x:c>
      <x:c r="M58" s="58" t="str">
        <x:v>PENDING_REVIEW</x:v>
      </x:c>
      <x:c r="N58" s="58" t="str">
        <x:v>Pepkor Annual Financial Statements 2025</x:v>
      </x:c>
      <x:c r="O58" s="58" t="n">
        <x:v>23</x:v>
      </x:c>
      <x:c r="P58" s="58" t="str">
        <x:v>https://pepkor.co.za/wp-content/uploads/Pepkor-annual-financial-statements-2025.pdf</x:v>
      </x:c>
      <x:c r="Q58" s="58" t="str">
        <x:v>7715894a86e0e6b06b26b90b6e5bad3ffb85b8cd6166701bf52ddf8e053193d3</x:v>
      </x:c>
      <x:c r="R58" s="58" t="str">
        <x:v>DEVELOPER_VERIFIED / PENDING_REVIEW: excluded from all active anchors and eligible claim paths</x:v>
      </x:c>
    </x:row>
    <x:row r="59">
      <x:c r="A59" s="58" t="str">
        <x:v>PEPKOR-2025-REV</x:v>
      </x:c>
      <x:c r="B59" s="58" t="str">
        <x:v>E11</x:v>
      </x:c>
      <x:c r="C59" s="58" t="str">
        <x:v>Pepkor Holdings</x:v>
      </x:c>
      <x:c r="D59" s="58" t="str">
        <x:v>revenue</x:v>
      </x:c>
      <x:c r="E59" s="59" t="n">
        <x:v>95340</x:v>
      </x:c>
      <x:c r="F59" s="58" t="str">
        <x:v>million</x:v>
      </x:c>
      <x:c r="G59" s="58" t="str">
        <x:v>ZAR</x:v>
      </x:c>
      <x:c r="H59" s="58" t="str">
        <x:v>2024-10-01</x:v>
      </x:c>
      <x:c r="I59" s="58" t="str">
        <x:v>2025-09-30</x:v>
      </x:c>
      <x:c r="J59" s="58" t="str">
        <x:v>2025-12-15</x:v>
      </x:c>
      <x:c r="K59" s="58" t="str">
        <x:v>E1</x:v>
      </x:c>
      <x:c r="L59" s="60" t="n">
        <x:v>0.99</x:v>
      </x:c>
      <x:c r="M59" s="58" t="str">
        <x:v>PENDING_REVIEW</x:v>
      </x:c>
      <x:c r="N59" s="58" t="str">
        <x:v>Pepkor Annual Financial Statements 2025</x:v>
      </x:c>
      <x:c r="O59" s="58" t="n">
        <x:v>21</x:v>
      </x:c>
      <x:c r="P59" s="58" t="str">
        <x:v>https://pepkor.co.za/wp-content/uploads/Pepkor-annual-financial-statements-2025.pdf</x:v>
      </x:c>
      <x:c r="Q59" s="58" t="str">
        <x:v>7715894a86e0e6b06b26b90b6e5bad3ffb85b8cd6166701bf52ddf8e053193d3</x:v>
      </x:c>
      <x:c r="R59" s="58" t="str">
        <x:v>DEVELOPER_VERIFIED / PENDING_REVIEW: excluded from all active anchors and eligible claim paths</x:v>
      </x:c>
    </x:row>
    <x:row r="60">
      <x:c r="A60" s="58" t="str">
        <x:v>CLICKS-2025-CASH</x:v>
      </x:c>
      <x:c r="B60" s="58" t="str">
        <x:v>E12</x:v>
      </x:c>
      <x:c r="C60" s="58" t="str">
        <x:v>Clicks Group</x:v>
      </x:c>
      <x:c r="D60" s="58" t="str">
        <x:v>cash_and_cash_equivalents</x:v>
      </x:c>
      <x:c r="E60" s="59" t="n">
        <x:v>3255.77</x:v>
      </x:c>
      <x:c r="F60" s="58" t="str">
        <x:v>million</x:v>
      </x:c>
      <x:c r="G60" s="58" t="str">
        <x:v>ZAR</x:v>
      </x:c>
      <x:c r="H60" s="58" t="str">
        <x:v>2025-08-31</x:v>
      </x:c>
      <x:c r="I60" s="58" t="str">
        <x:v>2025-08-31</x:v>
      </x:c>
      <x:c r="J60" s="58" t="str">
        <x:v>2025-11-06</x:v>
      </x:c>
      <x:c r="K60" s="58" t="str">
        <x:v>E1</x:v>
      </x:c>
      <x:c r="L60" s="60" t="n">
        <x:v>0.99</x:v>
      </x:c>
      <x:c r="M60" s="58" t="str">
        <x:v>PENDING_REVIEW</x:v>
      </x:c>
      <x:c r="N60" s="58" t="str">
        <x:v>Clicks Group Annual Financial Statements 2025</x:v>
      </x:c>
      <x:c r="O60" s="58" t="n">
        <x:v>10</x:v>
      </x:c>
      <x:c r="P60" s="58" t="str">
        <x:v>https://clicksgroup.co.za/iar2025/wp-content/uploads/CGL-YE25-Annual-financial-statements.pdf</x:v>
      </x:c>
      <x:c r="Q60" s="58" t="str">
        <x:v>664c3ce033c0d36157277ae5ef9f28a933edd4acebc8cec649069cd20d9c576d</x:v>
      </x:c>
      <x:c r="R60" s="58" t="str">
        <x:v>DEVELOPER_VERIFIED / PENDING_REVIEW: excluded from all active anchors and eligible claim paths</x:v>
      </x:c>
    </x:row>
    <x:row r="61">
      <x:c r="A61" s="58" t="str">
        <x:v>CLICKS-2025-PAY</x:v>
      </x:c>
      <x:c r="B61" s="58" t="str">
        <x:v>E12</x:v>
      </x:c>
      <x:c r="C61" s="58" t="str">
        <x:v>Clicks Group</x:v>
      </x:c>
      <x:c r="D61" s="58" t="str">
        <x:v>trade_payables</x:v>
      </x:c>
      <x:c r="E61" s="59" t="n">
        <x:v>10912.54</x:v>
      </x:c>
      <x:c r="F61" s="58" t="str">
        <x:v>million</x:v>
      </x:c>
      <x:c r="G61" s="58" t="str">
        <x:v>ZAR</x:v>
      </x:c>
      <x:c r="H61" s="58" t="str">
        <x:v>2025-08-31</x:v>
      </x:c>
      <x:c r="I61" s="58" t="str">
        <x:v>2025-08-31</x:v>
      </x:c>
      <x:c r="J61" s="58" t="str">
        <x:v>2025-11-06</x:v>
      </x:c>
      <x:c r="K61" s="58" t="str">
        <x:v>E1</x:v>
      </x:c>
      <x:c r="L61" s="60" t="n">
        <x:v>0.99</x:v>
      </x:c>
      <x:c r="M61" s="58" t="str">
        <x:v>PENDING_REVIEW</x:v>
      </x:c>
      <x:c r="N61" s="58" t="str">
        <x:v>Clicks Group Annual Financial Statements 2025</x:v>
      </x:c>
      <x:c r="O61" s="58" t="n">
        <x:v>10</x:v>
      </x:c>
      <x:c r="P61" s="58" t="str">
        <x:v>https://clicksgroup.co.za/iar2025/wp-content/uploads/CGL-YE25-Annual-financial-statements.pdf</x:v>
      </x:c>
      <x:c r="Q61" s="58" t="str">
        <x:v>664c3ce033c0d36157277ae5ef9f28a933edd4acebc8cec649069cd20d9c576d</x:v>
      </x:c>
      <x:c r="R61" s="58" t="str">
        <x:v>DEVELOPER_VERIFIED / PENDING_REVIEW: excluded from all active anchors and eligible claim paths</x:v>
      </x:c>
    </x:row>
    <x:row r="62">
      <x:c r="A62" s="58" t="str">
        <x:v>CLICKS-2025-REV</x:v>
      </x:c>
      <x:c r="B62" s="58" t="str">
        <x:v>E12</x:v>
      </x:c>
      <x:c r="C62" s="58" t="str">
        <x:v>Clicks Group</x:v>
      </x:c>
      <x:c r="D62" s="58" t="str">
        <x:v>revenue</x:v>
      </x:c>
      <x:c r="E62" s="59" t="n">
        <x:v>51426.99</x:v>
      </x:c>
      <x:c r="F62" s="58" t="str">
        <x:v>million</x:v>
      </x:c>
      <x:c r="G62" s="58" t="str">
        <x:v>ZAR</x:v>
      </x:c>
      <x:c r="H62" s="58" t="str">
        <x:v>2024-09-01</x:v>
      </x:c>
      <x:c r="I62" s="58" t="str">
        <x:v>2025-08-31</x:v>
      </x:c>
      <x:c r="J62" s="58" t="str">
        <x:v>2025-11-06</x:v>
      </x:c>
      <x:c r="K62" s="58" t="str">
        <x:v>E1</x:v>
      </x:c>
      <x:c r="L62" s="60" t="n">
        <x:v>0.99</x:v>
      </x:c>
      <x:c r="M62" s="58" t="str">
        <x:v>PENDING_REVIEW</x:v>
      </x:c>
      <x:c r="N62" s="58" t="str">
        <x:v>Clicks Group Annual Financial Statements 2025</x:v>
      </x:c>
      <x:c r="O62" s="58" t="n">
        <x:v>10</x:v>
      </x:c>
      <x:c r="P62" s="58" t="str">
        <x:v>https://clicksgroup.co.za/iar2025/wp-content/uploads/CGL-YE25-Annual-financial-statements.pdf</x:v>
      </x:c>
      <x:c r="Q62" s="58" t="str">
        <x:v>664c3ce033c0d36157277ae5ef9f28a933edd4acebc8cec649069cd20d9c576d</x:v>
      </x:c>
      <x:c r="R62" s="58" t="str">
        <x:v>DEVELOPER_VERIFIED / PENDING_REVIEW: excluded from all active anchors and eligible claim paths</x:v>
      </x:c>
    </x:row>
    <x:row r="63">
      <x:c r="A63" s="58" t="str">
        <x:v>NEPI-2025-CASH</x:v>
      </x:c>
      <x:c r="B63" s="58" t="str">
        <x:v>E13</x:v>
      </x:c>
      <x:c r="C63" s="58" t="str">
        <x:v>NEPI Rockcastle</x:v>
      </x:c>
      <x:c r="D63" s="58" t="str">
        <x:v>cash_and_cash_equivalents</x:v>
      </x:c>
      <x:c r="E63" s="59" t="n">
        <x:v>313.994</x:v>
      </x:c>
      <x:c r="F63" s="58" t="str">
        <x:v>million</x:v>
      </x:c>
      <x:c r="G63" s="58" t="str">
        <x:v>EUR</x:v>
      </x:c>
      <x:c r="H63" s="58" t="str">
        <x:v>2025-12-31</x:v>
      </x:c>
      <x:c r="I63" s="58" t="str">
        <x:v>2025-12-31</x:v>
      </x:c>
      <x:c r="J63" s="58" t="str">
        <x:v>2026-03-18</x:v>
      </x:c>
      <x:c r="K63" s="58" t="str">
        <x:v>E1</x:v>
      </x:c>
      <x:c r="L63" s="60" t="n">
        <x:v>0.99</x:v>
      </x:c>
      <x:c r="M63" s="58" t="str">
        <x:v>PENDING_REVIEW</x:v>
      </x:c>
      <x:c r="N63" s="58" t="str">
        <x:v>NEPI Rockcastle Annual Report 2025</x:v>
      </x:c>
      <x:c r="O63" s="58" t="n">
        <x:v>310</x:v>
      </x:c>
      <x:c r="P63" s="58" t="str">
        <x:v>https://nepirockcastle.com/wp-content/uploads/2026/03/NEPI_Rockcastle_Annual_Report_2025.pdf</x:v>
      </x:c>
      <x:c r="Q63" s="58" t="str">
        <x:v>4124bee2bfb55a181cda56963bd733605a2cc53a7882b1d6108358b33da479f3</x:v>
      </x:c>
      <x:c r="R63" s="58" t="str">
        <x:v>DEVELOPER_VERIFIED / PENDING_REVIEW: excluded from all active anchors and eligible claim paths</x:v>
      </x:c>
    </x:row>
    <x:row r="64">
      <x:c r="A64" s="58" t="str">
        <x:v>NEPI-2025-DEBT</x:v>
      </x:c>
      <x:c r="B64" s="58" t="str">
        <x:v>E13</x:v>
      </x:c>
      <x:c r="C64" s="58" t="str">
        <x:v>NEPI Rockcastle</x:v>
      </x:c>
      <x:c r="D64" s="58" t="str">
        <x:v>current_debt</x:v>
      </x:c>
      <x:c r="E64" s="59" t="n">
        <x:v>284.059</x:v>
      </x:c>
      <x:c r="F64" s="58" t="str">
        <x:v>million</x:v>
      </x:c>
      <x:c r="G64" s="58" t="str">
        <x:v>EUR</x:v>
      </x:c>
      <x:c r="H64" s="58" t="str">
        <x:v>2025-12-31</x:v>
      </x:c>
      <x:c r="I64" s="58" t="str">
        <x:v>2025-12-31</x:v>
      </x:c>
      <x:c r="J64" s="58" t="str">
        <x:v>2026-03-18</x:v>
      </x:c>
      <x:c r="K64" s="58" t="str">
        <x:v>E1</x:v>
      </x:c>
      <x:c r="L64" s="60" t="n">
        <x:v>0.99</x:v>
      </x:c>
      <x:c r="M64" s="58" t="str">
        <x:v>PENDING_REVIEW</x:v>
      </x:c>
      <x:c r="N64" s="58" t="str">
        <x:v>NEPI Rockcastle Annual Report 2025</x:v>
      </x:c>
      <x:c r="O64" s="58" t="n">
        <x:v>310</x:v>
      </x:c>
      <x:c r="P64" s="58" t="str">
        <x:v>https://nepirockcastle.com/wp-content/uploads/2026/03/NEPI_Rockcastle_Annual_Report_2025.pdf</x:v>
      </x:c>
      <x:c r="Q64" s="58" t="str">
        <x:v>4124bee2bfb55a181cda56963bd733605a2cc53a7882b1d6108358b33da479f3</x:v>
      </x:c>
      <x:c r="R64" s="58" t="str">
        <x:v>DEVELOPER_VERIFIED / PENDING_REVIEW: excluded from all active anchors and eligible claim paths</x:v>
      </x:c>
    </x:row>
    <x:row r="65">
      <x:c r="A65" s="58" t="str">
        <x:v>NEPI-2025-REV</x:v>
      </x:c>
      <x:c r="B65" s="58" t="str">
        <x:v>E13</x:v>
      </x:c>
      <x:c r="C65" s="58" t="str">
        <x:v>NEPI Rockcastle</x:v>
      </x:c>
      <x:c r="D65" s="58" t="str">
        <x:v>gross_rental_income</x:v>
      </x:c>
      <x:c r="E65" s="59" t="n">
        <x:v>624.348</x:v>
      </x:c>
      <x:c r="F65" s="58" t="str">
        <x:v>million</x:v>
      </x:c>
      <x:c r="G65" s="58" t="str">
        <x:v>EUR</x:v>
      </x:c>
      <x:c r="H65" s="58" t="str">
        <x:v>2025-01-01</x:v>
      </x:c>
      <x:c r="I65" s="58" t="str">
        <x:v>2025-12-31</x:v>
      </x:c>
      <x:c r="J65" s="58" t="str">
        <x:v>2026-03-18</x:v>
      </x:c>
      <x:c r="K65" s="58" t="str">
        <x:v>E1</x:v>
      </x:c>
      <x:c r="L65" s="60" t="n">
        <x:v>0.99</x:v>
      </x:c>
      <x:c r="M65" s="58" t="str">
        <x:v>PENDING_REVIEW</x:v>
      </x:c>
      <x:c r="N65" s="58" t="str">
        <x:v>NEPI Rockcastle Annual Report 2025</x:v>
      </x:c>
      <x:c r="O65" s="58" t="n">
        <x:v>311</x:v>
      </x:c>
      <x:c r="P65" s="58" t="str">
        <x:v>https://nepirockcastle.com/wp-content/uploads/2026/03/NEPI_Rockcastle_Annual_Report_2025.pdf</x:v>
      </x:c>
      <x:c r="Q65" s="58" t="str">
        <x:v>4124bee2bfb55a181cda56963bd733605a2cc53a7882b1d6108358b33da479f3</x:v>
      </x:c>
      <x:c r="R65" s="58" t="str">
        <x:v>DEVELOPER_VERIFIED / PENDING_REVIEW: excluded from all active anchors and eligible claim paths</x:v>
      </x:c>
    </x:row>
    <x:row r="66">
      <x:c r="A66" s="58" t="str">
        <x:v>PROSUS-2026-CASH</x:v>
      </x:c>
      <x:c r="B66" s="58" t="str">
        <x:v>E14</x:v>
      </x:c>
      <x:c r="C66" s="58" t="str">
        <x:v>Prosus</x:v>
      </x:c>
      <x:c r="D66" s="58" t="str">
        <x:v>cash_and_cash_equivalents</x:v>
      </x:c>
      <x:c r="E66" s="59" t="n">
        <x:v>6682</x:v>
      </x:c>
      <x:c r="F66" s="58" t="str">
        <x:v>million</x:v>
      </x:c>
      <x:c r="G66" s="58" t="str">
        <x:v>USD</x:v>
      </x:c>
      <x:c r="H66" s="58" t="str">
        <x:v>2026-03-31</x:v>
      </x:c>
      <x:c r="I66" s="58" t="str">
        <x:v>2026-03-31</x:v>
      </x:c>
      <x:c r="J66" s="58" t="str">
        <x:v>2026-06-29</x:v>
      </x:c>
      <x:c r="K66" s="58" t="str">
        <x:v>E1</x:v>
      </x:c>
      <x:c r="L66" s="60" t="n">
        <x:v>0.99</x:v>
      </x:c>
      <x:c r="M66" s="58" t="str">
        <x:v>PENDING_REVIEW</x:v>
      </x:c>
      <x:c r="N66" s="58" t="str">
        <x:v>Prosus Annual Report 2026</x:v>
      </x:c>
      <x:c r="O66" s="58" t="n">
        <x:v>140</x:v>
      </x:c>
      <x:c r="P66" s="58" t="str">
        <x:v>https://www.prosus.com/~/media/Files/P/prosus-corp-v2/results-reports-and-events-archive/annual-report/2026/fy2026-annual-report.pdf</x:v>
      </x:c>
      <x:c r="Q66" s="58" t="str">
        <x:v>3ea6278d374118f72fe41ac635d4b622bc1b59be44f5db9c0a7bc321ceabf077</x:v>
      </x:c>
      <x:c r="R66" s="58" t="str">
        <x:v>DEVELOPER_VERIFIED / PENDING_REVIEW: excluded from all active anchors and eligible claim paths</x:v>
      </x:c>
    </x:row>
    <x:row r="67">
      <x:c r="A67" s="58" t="str">
        <x:v>PROSUS-2026-DEBT</x:v>
      </x:c>
      <x:c r="B67" s="58" t="str">
        <x:v>E14</x:v>
      </x:c>
      <x:c r="C67" s="58" t="str">
        <x:v>Prosus</x:v>
      </x:c>
      <x:c r="D67" s="58" t="str">
        <x:v>current_debt</x:v>
      </x:c>
      <x:c r="E67" s="59" t="n">
        <x:v>1953</x:v>
      </x:c>
      <x:c r="F67" s="58" t="str">
        <x:v>million</x:v>
      </x:c>
      <x:c r="G67" s="58" t="str">
        <x:v>USD</x:v>
      </x:c>
      <x:c r="H67" s="58" t="str">
        <x:v>2026-03-31</x:v>
      </x:c>
      <x:c r="I67" s="58" t="str">
        <x:v>2026-03-31</x:v>
      </x:c>
      <x:c r="J67" s="58" t="str">
        <x:v>2026-06-29</x:v>
      </x:c>
      <x:c r="K67" s="58" t="str">
        <x:v>E1</x:v>
      </x:c>
      <x:c r="L67" s="60" t="n">
        <x:v>0.99</x:v>
      </x:c>
      <x:c r="M67" s="58" t="str">
        <x:v>PENDING_REVIEW</x:v>
      </x:c>
      <x:c r="N67" s="58" t="str">
        <x:v>Prosus Annual Report 2026</x:v>
      </x:c>
      <x:c r="O67" s="58" t="n">
        <x:v>140</x:v>
      </x:c>
      <x:c r="P67" s="58" t="str">
        <x:v>https://www.prosus.com/~/media/Files/P/prosus-corp-v2/results-reports-and-events-archive/annual-report/2026/fy2026-annual-report.pdf</x:v>
      </x:c>
      <x:c r="Q67" s="58" t="str">
        <x:v>3ea6278d374118f72fe41ac635d4b622bc1b59be44f5db9c0a7bc321ceabf077</x:v>
      </x:c>
      <x:c r="R67" s="58" t="str">
        <x:v>DEVELOPER_VERIFIED / PENDING_REVIEW: excluded from all active anchors and eligible claim paths</x:v>
      </x:c>
    </x:row>
    <x:row r="68">
      <x:c r="A68" s="58" t="str">
        <x:v>PROSUS-2026-REV</x:v>
      </x:c>
      <x:c r="B68" s="58" t="str">
        <x:v>E14</x:v>
      </x:c>
      <x:c r="C68" s="58" t="str">
        <x:v>Prosus</x:v>
      </x:c>
      <x:c r="D68" s="58" t="str">
        <x:v>revenue</x:v>
      </x:c>
      <x:c r="E68" s="59" t="n">
        <x:v>9705</x:v>
      </x:c>
      <x:c r="F68" s="58" t="str">
        <x:v>million</x:v>
      </x:c>
      <x:c r="G68" s="58" t="str">
        <x:v>USD</x:v>
      </x:c>
      <x:c r="H68" s="58" t="str">
        <x:v>2025-04-01</x:v>
      </x:c>
      <x:c r="I68" s="58" t="str">
        <x:v>2026-03-31</x:v>
      </x:c>
      <x:c r="J68" s="58" t="str">
        <x:v>2026-06-29</x:v>
      </x:c>
      <x:c r="K68" s="58" t="str">
        <x:v>E1</x:v>
      </x:c>
      <x:c r="L68" s="60" t="n">
        <x:v>0.99</x:v>
      </x:c>
      <x:c r="M68" s="58" t="str">
        <x:v>PENDING_REVIEW</x:v>
      </x:c>
      <x:c r="N68" s="58" t="str">
        <x:v>Prosus Annual Report 2026</x:v>
      </x:c>
      <x:c r="O68" s="58" t="n">
        <x:v>141</x:v>
      </x:c>
      <x:c r="P68" s="58" t="str">
        <x:v>https://www.prosus.com/~/media/Files/P/prosus-corp-v2/results-reports-and-events-archive/annual-report/2026/fy2026-annual-report.pdf</x:v>
      </x:c>
      <x:c r="Q68" s="58" t="str">
        <x:v>3ea6278d374118f72fe41ac635d4b622bc1b59be44f5db9c0a7bc321ceabf077</x:v>
      </x:c>
      <x:c r="R68" s="58" t="str">
        <x:v>DEVELOPER_VERIFIED / PENDING_REVIEW: excluded from all active anchors and eligible claim paths</x:v>
      </x:c>
    </x:row>
    <x:row r="69">
      <x:c r="A69" s="58" t="str">
        <x:v>NASPERS-2026-CASH</x:v>
      </x:c>
      <x:c r="B69" s="58" t="str">
        <x:v>E15</x:v>
      </x:c>
      <x:c r="C69" s="58" t="str">
        <x:v>Naspers</x:v>
      </x:c>
      <x:c r="D69" s="58" t="str">
        <x:v>cash_and_cash_equivalents</x:v>
      </x:c>
      <x:c r="E69" s="59" t="n">
        <x:v>6820</x:v>
      </x:c>
      <x:c r="F69" s="58" t="str">
        <x:v>million</x:v>
      </x:c>
      <x:c r="G69" s="58" t="str">
        <x:v>USD</x:v>
      </x:c>
      <x:c r="H69" s="58" t="str">
        <x:v>2026-03-31</x:v>
      </x:c>
      <x:c r="I69" s="58" t="str">
        <x:v>2026-03-31</x:v>
      </x:c>
      <x:c r="J69" s="58" t="str">
        <x:v>2026-06-29</x:v>
      </x:c>
      <x:c r="K69" s="58" t="str">
        <x:v>E1</x:v>
      </x:c>
      <x:c r="L69" s="60" t="n">
        <x:v>0.99</x:v>
      </x:c>
      <x:c r="M69" s="58" t="str">
        <x:v>PENDING_REVIEW</x:v>
      </x:c>
      <x:c r="N69" s="58" t="str">
        <x:v>Naspers Annual Financial Statements 2026</x:v>
      </x:c>
      <x:c r="O69" s="58" t="n">
        <x:v>32</x:v>
      </x:c>
      <x:c r="P69" s="58" t="str">
        <x:v>https://www.naspers.com/~/media/Files/N/Naspers-Corp-V2/results-reports-and-events-archive/latest-results/fy-2026/naspers-annual-financial-statements-2026.pdf</x:v>
      </x:c>
      <x:c r="Q69" s="58" t="str">
        <x:v>e0d23733f611c2b81f2b8c7362c492178fe52b3109472db1e08efe824298f17b</x:v>
      </x:c>
      <x:c r="R69" s="58" t="str">
        <x:v>DEVELOPER_VERIFIED / PENDING_REVIEW: excluded from all active anchors and eligible claim paths</x:v>
      </x:c>
    </x:row>
    <x:row r="70">
      <x:c r="A70" s="58" t="str">
        <x:v>NASPERS-2026-DEBT</x:v>
      </x:c>
      <x:c r="B70" s="58" t="str">
        <x:v>E15</x:v>
      </x:c>
      <x:c r="C70" s="58" t="str">
        <x:v>Naspers</x:v>
      </x:c>
      <x:c r="D70" s="58" t="str">
        <x:v>current_debt</x:v>
      </x:c>
      <x:c r="E70" s="59" t="n">
        <x:v>1987</x:v>
      </x:c>
      <x:c r="F70" s="58" t="str">
        <x:v>million</x:v>
      </x:c>
      <x:c r="G70" s="58" t="str">
        <x:v>USD</x:v>
      </x:c>
      <x:c r="H70" s="58" t="str">
        <x:v>2026-03-31</x:v>
      </x:c>
      <x:c r="I70" s="58" t="str">
        <x:v>2026-03-31</x:v>
      </x:c>
      <x:c r="J70" s="58" t="str">
        <x:v>2026-06-29</x:v>
      </x:c>
      <x:c r="K70" s="58" t="str">
        <x:v>E1</x:v>
      </x:c>
      <x:c r="L70" s="60" t="n">
        <x:v>0.99</x:v>
      </x:c>
      <x:c r="M70" s="58" t="str">
        <x:v>PENDING_REVIEW</x:v>
      </x:c>
      <x:c r="N70" s="58" t="str">
        <x:v>Naspers Annual Financial Statements 2026</x:v>
      </x:c>
      <x:c r="O70" s="58" t="n">
        <x:v>32</x:v>
      </x:c>
      <x:c r="P70" s="58" t="str">
        <x:v>https://www.naspers.com/~/media/Files/N/Naspers-Corp-V2/results-reports-and-events-archive/latest-results/fy-2026/naspers-annual-financial-statements-2026.pdf</x:v>
      </x:c>
      <x:c r="Q70" s="58" t="str">
        <x:v>e0d23733f611c2b81f2b8c7362c492178fe52b3109472db1e08efe824298f17b</x:v>
      </x:c>
      <x:c r="R70" s="58" t="str">
        <x:v>DEVELOPER_VERIFIED / PENDING_REVIEW: excluded from all active anchors and eligible claim paths</x:v>
      </x:c>
    </x:row>
    <x:row r="71">
      <x:c r="A71" s="58" t="str">
        <x:v>NASPERS-2026-REV</x:v>
      </x:c>
      <x:c r="B71" s="58" t="str">
        <x:v>E15</x:v>
      </x:c>
      <x:c r="C71" s="58" t="str">
        <x:v>Naspers</x:v>
      </x:c>
      <x:c r="D71" s="58" t="str">
        <x:v>revenue</x:v>
      </x:c>
      <x:c r="E71" s="59" t="n">
        <x:v>10848</x:v>
      </x:c>
      <x:c r="F71" s="58" t="str">
        <x:v>million</x:v>
      </x:c>
      <x:c r="G71" s="58" t="str">
        <x:v>USD</x:v>
      </x:c>
      <x:c r="H71" s="58" t="str">
        <x:v>2025-04-01</x:v>
      </x:c>
      <x:c r="I71" s="58" t="str">
        <x:v>2026-03-31</x:v>
      </x:c>
      <x:c r="J71" s="58" t="str">
        <x:v>2026-06-29</x:v>
      </x:c>
      <x:c r="K71" s="58" t="str">
        <x:v>E1</x:v>
      </x:c>
      <x:c r="L71" s="60" t="n">
        <x:v>0.99</x:v>
      </x:c>
      <x:c r="M71" s="58" t="str">
        <x:v>PENDING_REVIEW</x:v>
      </x:c>
      <x:c r="N71" s="58" t="str">
        <x:v>Naspers Annual Financial Statements 2026</x:v>
      </x:c>
      <x:c r="O71" s="58" t="n">
        <x:v>33</x:v>
      </x:c>
      <x:c r="P71" s="58" t="str">
        <x:v>https://www.naspers.com/~/media/Files/N/Naspers-Corp-V2/results-reports-and-events-archive/latest-results/fy-2026/naspers-annual-financial-statements-2026.pdf</x:v>
      </x:c>
      <x:c r="Q71" s="58" t="str">
        <x:v>e0d23733f611c2b81f2b8c7362c492178fe52b3109472db1e08efe824298f17b</x:v>
      </x:c>
      <x:c r="R71" s="58" t="str">
        <x:v>DEVELOPER_VERIFIED / PENDING_REVIEW: excluded from all active anchors and eligible claim paths</x:v>
      </x:c>
    </x:row>
    <x:row r="72">
      <x:c r="A72" s="58" t="str">
        <x:v>MTN-2025-CASH</x:v>
      </x:c>
      <x:c r="B72" s="58" t="str">
        <x:v>E16</x:v>
      </x:c>
      <x:c r="C72" s="58" t="str">
        <x:v>MTN Group</x:v>
      </x:c>
      <x:c r="D72" s="58" t="str">
        <x:v>cash_and_cash_equivalents</x:v>
      </x:c>
      <x:c r="E72" s="59" t="n">
        <x:v>42625</x:v>
      </x:c>
      <x:c r="F72" s="58" t="str">
        <x:v>million</x:v>
      </x:c>
      <x:c r="G72" s="58" t="str">
        <x:v>ZAR</x:v>
      </x:c>
      <x:c r="H72" s="58" t="str">
        <x:v>2025-12-31</x:v>
      </x:c>
      <x:c r="I72" s="58" t="str">
        <x:v>2025-12-31</x:v>
      </x:c>
      <x:c r="J72" s="58" t="str">
        <x:v>2026-03-16</x:v>
      </x:c>
      <x:c r="K72" s="58" t="str">
        <x:v>E1</x:v>
      </x:c>
      <x:c r="L72" s="60" t="n">
        <x:v>0.99</x:v>
      </x:c>
      <x:c r="M72" s="58" t="str">
        <x:v>PENDING_REVIEW</x:v>
      </x:c>
      <x:c r="N72" s="58" t="str">
        <x:v>MTN Group Annual Financial Statements 2025</x:v>
      </x:c>
      <x:c r="O72" s="58" t="n">
        <x:v>23</x:v>
      </x:c>
      <x:c r="P72" s="58" t="str">
        <x:v>https://www.mtn.com/wp-content/uploads/2026/03/MTN-Group-FY-25-Annual-Financial-Statements.pdf</x:v>
      </x:c>
      <x:c r="Q72" s="58" t="str">
        <x:v>bea72f5adefd24ecb4dd8ed36e523730e19a3efb2fa9f79b63567bc4fac2e59b</x:v>
      </x:c>
      <x:c r="R72" s="58" t="str">
        <x:v>DEVELOPER_VERIFIED / PENDING_REVIEW: excluded from all active anchors and eligible claim paths</x:v>
      </x:c>
    </x:row>
    <x:row r="73">
      <x:c r="A73" s="58" t="str">
        <x:v>MTN-2025-DEBT</x:v>
      </x:c>
      <x:c r="B73" s="58" t="str">
        <x:v>E16</x:v>
      </x:c>
      <x:c r="C73" s="58" t="str">
        <x:v>MTN Group</x:v>
      </x:c>
      <x:c r="D73" s="58" t="str">
        <x:v>current_debt</x:v>
      </x:c>
      <x:c r="E73" s="59" t="n">
        <x:v>17755</x:v>
      </x:c>
      <x:c r="F73" s="58" t="str">
        <x:v>million</x:v>
      </x:c>
      <x:c r="G73" s="58" t="str">
        <x:v>ZAR</x:v>
      </x:c>
      <x:c r="H73" s="58" t="str">
        <x:v>2025-12-31</x:v>
      </x:c>
      <x:c r="I73" s="58" t="str">
        <x:v>2025-12-31</x:v>
      </x:c>
      <x:c r="J73" s="58" t="str">
        <x:v>2026-03-16</x:v>
      </x:c>
      <x:c r="K73" s="58" t="str">
        <x:v>E1</x:v>
      </x:c>
      <x:c r="L73" s="60" t="n">
        <x:v>0.99</x:v>
      </x:c>
      <x:c r="M73" s="58" t="str">
        <x:v>PENDING_REVIEW</x:v>
      </x:c>
      <x:c r="N73" s="58" t="str">
        <x:v>MTN Group Annual Financial Statements 2025</x:v>
      </x:c>
      <x:c r="O73" s="58" t="n">
        <x:v>23</x:v>
      </x:c>
      <x:c r="P73" s="58" t="str">
        <x:v>https://www.mtn.com/wp-content/uploads/2026/03/MTN-Group-FY-25-Annual-Financial-Statements.pdf</x:v>
      </x:c>
      <x:c r="Q73" s="58" t="str">
        <x:v>bea72f5adefd24ecb4dd8ed36e523730e19a3efb2fa9f79b63567bc4fac2e59b</x:v>
      </x:c>
      <x:c r="R73" s="58" t="str">
        <x:v>DEVELOPER_VERIFIED / PENDING_REVIEW: excluded from all active anchors and eligible claim paths</x:v>
      </x:c>
    </x:row>
    <x:row r="74">
      <x:c r="A74" s="58" t="str">
        <x:v>MTN-2025-REV</x:v>
      </x:c>
      <x:c r="B74" s="58" t="str">
        <x:v>E16</x:v>
      </x:c>
      <x:c r="C74" s="58" t="str">
        <x:v>MTN Group</x:v>
      </x:c>
      <x:c r="D74" s="58" t="str">
        <x:v>revenue</x:v>
      </x:c>
      <x:c r="E74" s="59" t="n">
        <x:v>226707</x:v>
      </x:c>
      <x:c r="F74" s="58" t="str">
        <x:v>million</x:v>
      </x:c>
      <x:c r="G74" s="58" t="str">
        <x:v>ZAR</x:v>
      </x:c>
      <x:c r="H74" s="58" t="str">
        <x:v>2025-01-01</x:v>
      </x:c>
      <x:c r="I74" s="58" t="str">
        <x:v>2025-12-31</x:v>
      </x:c>
      <x:c r="J74" s="58" t="str">
        <x:v>2026-03-16</x:v>
      </x:c>
      <x:c r="K74" s="58" t="str">
        <x:v>E1</x:v>
      </x:c>
      <x:c r="L74" s="60" t="n">
        <x:v>0.99</x:v>
      </x:c>
      <x:c r="M74" s="58" t="str">
        <x:v>PENDING_REVIEW</x:v>
      </x:c>
      <x:c r="N74" s="58" t="str">
        <x:v>MTN Group Annual Financial Statements 2025</x:v>
      </x:c>
      <x:c r="O74" s="58" t="n">
        <x:v>21</x:v>
      </x:c>
      <x:c r="P74" s="58" t="str">
        <x:v>https://www.mtn.com/wp-content/uploads/2026/03/MTN-Group-FY-25-Annual-Financial-Statements.pdf</x:v>
      </x:c>
      <x:c r="Q74" s="58" t="str">
        <x:v>bea72f5adefd24ecb4dd8ed36e523730e19a3efb2fa9f79b63567bc4fac2e59b</x:v>
      </x:c>
      <x:c r="R74" s="58" t="str">
        <x:v>DEVELOPER_VERIFIED / PENDING_REVIEW: excluded from all active anchors and eligible claim paths</x:v>
      </x:c>
    </x:row>
    <x:row r="75">
      <x:c r="A75" s="58" t="str">
        <x:v>VODACOM-2026-CASH</x:v>
      </x:c>
      <x:c r="B75" s="58" t="str">
        <x:v>E17</x:v>
      </x:c>
      <x:c r="C75" s="58" t="str">
        <x:v>Vodacom Group</x:v>
      </x:c>
      <x:c r="D75" s="58" t="str">
        <x:v>cash_and_cash_equivalents</x:v>
      </x:c>
      <x:c r="E75" s="59" t="n">
        <x:v>31209</x:v>
      </x:c>
      <x:c r="F75" s="58" t="str">
        <x:v>million</x:v>
      </x:c>
      <x:c r="G75" s="58" t="str">
        <x:v>ZAR</x:v>
      </x:c>
      <x:c r="H75" s="58" t="str">
        <x:v>2026-03-31</x:v>
      </x:c>
      <x:c r="I75" s="58" t="str">
        <x:v>2026-03-31</x:v>
      </x:c>
      <x:c r="J75" s="58" t="str">
        <x:v>2026-06-12</x:v>
      </x:c>
      <x:c r="K75" s="58" t="str">
        <x:v>E1</x:v>
      </x:c>
      <x:c r="L75" s="60" t="n">
        <x:v>0.99</x:v>
      </x:c>
      <x:c r="M75" s="58" t="str">
        <x:v>PENDING_REVIEW</x:v>
      </x:c>
      <x:c r="N75" s="58" t="str">
        <x:v>Vodacom Consolidated and Separate Financial Statements 2026</x:v>
      </x:c>
      <x:c r="O75" s="58" t="n">
        <x:v>21</x:v>
      </x:c>
      <x:c r="P75" s="58" t="str">
        <x:v>https://vodacom-reports.co.za/integrated-reports/ir-2026/documents/vodacom-consolidated-and-separate-financial-statements-2026.pdf</x:v>
      </x:c>
      <x:c r="Q75" s="58" t="str">
        <x:v>d6f149d15a1e7a0edc82acd536f2d59644e2c9acce621a65878aa322390fd896</x:v>
      </x:c>
      <x:c r="R75" s="58" t="str">
        <x:v>DEVELOPER_VERIFIED / PENDING_REVIEW: excluded from all active anchors and eligible claim paths</x:v>
      </x:c>
    </x:row>
    <x:row r="76">
      <x:c r="A76" s="58" t="str">
        <x:v>VODACOM-2026-DEBT</x:v>
      </x:c>
      <x:c r="B76" s="58" t="str">
        <x:v>E17</x:v>
      </x:c>
      <x:c r="C76" s="58" t="str">
        <x:v>Vodacom Group</x:v>
      </x:c>
      <x:c r="D76" s="58" t="str">
        <x:v>current_debt</x:v>
      </x:c>
      <x:c r="E76" s="59" t="n">
        <x:v>8781</x:v>
      </x:c>
      <x:c r="F76" s="58" t="str">
        <x:v>million</x:v>
      </x:c>
      <x:c r="G76" s="58" t="str">
        <x:v>ZAR</x:v>
      </x:c>
      <x:c r="H76" s="58" t="str">
        <x:v>2026-03-31</x:v>
      </x:c>
      <x:c r="I76" s="58" t="str">
        <x:v>2026-03-31</x:v>
      </x:c>
      <x:c r="J76" s="58" t="str">
        <x:v>2026-06-12</x:v>
      </x:c>
      <x:c r="K76" s="58" t="str">
        <x:v>E1</x:v>
      </x:c>
      <x:c r="L76" s="60" t="n">
        <x:v>0.99</x:v>
      </x:c>
      <x:c r="M76" s="58" t="str">
        <x:v>PENDING_REVIEW</x:v>
      </x:c>
      <x:c r="N76" s="58" t="str">
        <x:v>Vodacom Consolidated and Separate Financial Statements 2026</x:v>
      </x:c>
      <x:c r="O76" s="58" t="n">
        <x:v>21</x:v>
      </x:c>
      <x:c r="P76" s="58" t="str">
        <x:v>https://vodacom-reports.co.za/integrated-reports/ir-2026/documents/vodacom-consolidated-and-separate-financial-statements-2026.pdf</x:v>
      </x:c>
      <x:c r="Q76" s="58" t="str">
        <x:v>d6f149d15a1e7a0edc82acd536f2d59644e2c9acce621a65878aa322390fd896</x:v>
      </x:c>
      <x:c r="R76" s="58" t="str">
        <x:v>DEVELOPER_VERIFIED / PENDING_REVIEW: excluded from all active anchors and eligible claim paths</x:v>
      </x:c>
    </x:row>
    <x:row r="77">
      <x:c r="A77" s="58" t="str">
        <x:v>VODACOM-2026-REV</x:v>
      </x:c>
      <x:c r="B77" s="58" t="str">
        <x:v>E17</x:v>
      </x:c>
      <x:c r="C77" s="58" t="str">
        <x:v>Vodacom Group</x:v>
      </x:c>
      <x:c r="D77" s="58" t="str">
        <x:v>revenue</x:v>
      </x:c>
      <x:c r="E77" s="59" t="n">
        <x:v>167652</x:v>
      </x:c>
      <x:c r="F77" s="58" t="str">
        <x:v>million</x:v>
      </x:c>
      <x:c r="G77" s="58" t="str">
        <x:v>ZAR</x:v>
      </x:c>
      <x:c r="H77" s="58" t="str">
        <x:v>2025-04-01</x:v>
      </x:c>
      <x:c r="I77" s="58" t="str">
        <x:v>2026-03-31</x:v>
      </x:c>
      <x:c r="J77" s="58" t="str">
        <x:v>2026-06-12</x:v>
      </x:c>
      <x:c r="K77" s="58" t="str">
        <x:v>E1</x:v>
      </x:c>
      <x:c r="L77" s="60" t="n">
        <x:v>0.99</x:v>
      </x:c>
      <x:c r="M77" s="58" t="str">
        <x:v>PENDING_REVIEW</x:v>
      </x:c>
      <x:c r="N77" s="58" t="str">
        <x:v>Vodacom Consolidated and Separate Financial Statements 2026</x:v>
      </x:c>
      <x:c r="O77" s="58" t="n">
        <x:v>19</x:v>
      </x:c>
      <x:c r="P77" s="58" t="str">
        <x:v>https://vodacom-reports.co.za/integrated-reports/ir-2026/documents/vodacom-consolidated-and-separate-financial-statements-2026.pdf</x:v>
      </x:c>
      <x:c r="Q77" s="58" t="str">
        <x:v>d6f149d15a1e7a0edc82acd536f2d59644e2c9acce621a65878aa322390fd896</x:v>
      </x:c>
      <x:c r="R77" s="58" t="str">
        <x:v>DEVELOPER_VERIFIED / PENDING_REVIEW: excluded from all active anchors and eligible claim paths</x:v>
      </x:c>
    </x:row>
    <x:row r="78">
      <x:c r="A78" s="58" t="str">
        <x:v>BIDVEST-2025-CASH</x:v>
      </x:c>
      <x:c r="B78" s="58" t="str">
        <x:v>E18</x:v>
      </x:c>
      <x:c r="C78" s="58" t="str">
        <x:v>The Bidvest Group</x:v>
      </x:c>
      <x:c r="D78" s="58" t="str">
        <x:v>cash_and_cash_equivalents</x:v>
      </x:c>
      <x:c r="E78" s="59" t="n">
        <x:v>6193.64</x:v>
      </x:c>
      <x:c r="F78" s="58" t="str">
        <x:v>million</x:v>
      </x:c>
      <x:c r="G78" s="58" t="str">
        <x:v>ZAR</x:v>
      </x:c>
      <x:c r="H78" s="58" t="str">
        <x:v>2025-06-30</x:v>
      </x:c>
      <x:c r="I78" s="58" t="str">
        <x:v>2025-06-30</x:v>
      </x:c>
      <x:c r="J78" s="58" t="str">
        <x:v>2025-10-24</x:v>
      </x:c>
      <x:c r="K78" s="58" t="str">
        <x:v>E1</x:v>
      </x:c>
      <x:c r="L78" s="60" t="n">
        <x:v>0.98</x:v>
      </x:c>
      <x:c r="M78" s="58" t="str">
        <x:v>PENDING_REVIEW</x:v>
      </x:c>
      <x:c r="N78" s="58" t="str">
        <x:v>Bidvest Integrated Report 2025</x:v>
      </x:c>
      <x:c r="O78" s="58" t="n">
        <x:v>43</x:v>
      </x:c>
      <x:c r="P78" s="58" t="str">
        <x:v>https://bidvest.co.za/pdf/annual-reports/2025/bidvest-iar-2025.pdf</x:v>
      </x:c>
      <x:c r="Q78" s="58" t="str">
        <x:v>2a44e26a70a3c05c45814de4aba756ef39bfa15e05137f49edd3ec22b722260a</x:v>
      </x:c>
      <x:c r="R78" s="58" t="str">
        <x:v>DEVELOPER_VERIFIED / PENDING_REVIEW: excluded from all active anchors and eligible claim paths</x:v>
      </x:c>
    </x:row>
    <x:row r="79">
      <x:c r="A79" s="58" t="str">
        <x:v>BIDVEST-2025-DEBT</x:v>
      </x:c>
      <x:c r="B79" s="58" t="str">
        <x:v>E18</x:v>
      </x:c>
      <x:c r="C79" s="58" t="str">
        <x:v>The Bidvest Group</x:v>
      </x:c>
      <x:c r="D79" s="58" t="str">
        <x:v>current_debt</x:v>
      </x:c>
      <x:c r="E79" s="59" t="n">
        <x:v>5336.11</x:v>
      </x:c>
      <x:c r="F79" s="58" t="str">
        <x:v>million</x:v>
      </x:c>
      <x:c r="G79" s="58" t="str">
        <x:v>ZAR</x:v>
      </x:c>
      <x:c r="H79" s="58" t="str">
        <x:v>2025-06-30</x:v>
      </x:c>
      <x:c r="I79" s="58" t="str">
        <x:v>2025-06-30</x:v>
      </x:c>
      <x:c r="J79" s="58" t="str">
        <x:v>2025-10-24</x:v>
      </x:c>
      <x:c r="K79" s="58" t="str">
        <x:v>E1</x:v>
      </x:c>
      <x:c r="L79" s="60" t="n">
        <x:v>0.98</x:v>
      </x:c>
      <x:c r="M79" s="58" t="str">
        <x:v>PENDING_REVIEW</x:v>
      </x:c>
      <x:c r="N79" s="58" t="str">
        <x:v>Bidvest Integrated Report 2025</x:v>
      </x:c>
      <x:c r="O79" s="58" t="n">
        <x:v>44</x:v>
      </x:c>
      <x:c r="P79" s="58" t="str">
        <x:v>https://bidvest.co.za/pdf/annual-reports/2025/bidvest-iar-2025.pdf</x:v>
      </x:c>
      <x:c r="Q79" s="58" t="str">
        <x:v>2a44e26a70a3c05c45814de4aba756ef39bfa15e05137f49edd3ec22b722260a</x:v>
      </x:c>
      <x:c r="R79" s="58" t="str">
        <x:v>DEVELOPER_VERIFIED / PENDING_REVIEW: excluded from all active anchors and eligible claim paths</x:v>
      </x:c>
    </x:row>
    <x:row r="80">
      <x:c r="A80" s="58" t="str">
        <x:v>BIDVEST-2025-REV</x:v>
      </x:c>
      <x:c r="B80" s="58" t="str">
        <x:v>E18</x:v>
      </x:c>
      <x:c r="C80" s="58" t="str">
        <x:v>The Bidvest Group</x:v>
      </x:c>
      <x:c r="D80" s="58" t="str">
        <x:v>revenue</x:v>
      </x:c>
      <x:c r="E80" s="59" t="n">
        <x:v>126605.41</x:v>
      </x:c>
      <x:c r="F80" s="58" t="str">
        <x:v>million</x:v>
      </x:c>
      <x:c r="G80" s="58" t="str">
        <x:v>ZAR</x:v>
      </x:c>
      <x:c r="H80" s="58" t="str">
        <x:v>2024-07-01</x:v>
      </x:c>
      <x:c r="I80" s="58" t="str">
        <x:v>2025-06-30</x:v>
      </x:c>
      <x:c r="J80" s="58" t="str">
        <x:v>2025-10-24</x:v>
      </x:c>
      <x:c r="K80" s="58" t="str">
        <x:v>E1</x:v>
      </x:c>
      <x:c r="L80" s="60" t="n">
        <x:v>0.98</x:v>
      </x:c>
      <x:c r="M80" s="58" t="str">
        <x:v>PENDING_REVIEW</x:v>
      </x:c>
      <x:c r="N80" s="58" t="str">
        <x:v>Bidvest Integrated Report 2025</x:v>
      </x:c>
      <x:c r="O80" s="58" t="n">
        <x:v>40</x:v>
      </x:c>
      <x:c r="P80" s="58" t="str">
        <x:v>https://bidvest.co.za/pdf/annual-reports/2025/bidvest-iar-2025.pdf</x:v>
      </x:c>
      <x:c r="Q80" s="58" t="str">
        <x:v>2a44e26a70a3c05c45814de4aba756ef39bfa15e05137f49edd3ec22b722260a</x:v>
      </x:c>
      <x:c r="R80" s="58" t="str">
        <x:v>DEVELOPER_VERIFIED / PENDING_REVIEW: excluded from all active anchors and eligible claim paths</x:v>
      </x:c>
    </x:row>
    <x:row r="81">
      <x:c r="A81" s="58" t="str">
        <x:v>ASPEN-2025-CASH</x:v>
      </x:c>
      <x:c r="B81" s="58" t="str">
        <x:v>E19</x:v>
      </x:c>
      <x:c r="C81" s="58" t="str">
        <x:v>Aspen Pharmacare</x:v>
      </x:c>
      <x:c r="D81" s="58" t="str">
        <x:v>cash_and_cash_equivalents</x:v>
      </x:c>
      <x:c r="E81" s="59" t="n">
        <x:v>6409</x:v>
      </x:c>
      <x:c r="F81" s="58" t="str">
        <x:v>million</x:v>
      </x:c>
      <x:c r="G81" s="58" t="str">
        <x:v>ZAR</x:v>
      </x:c>
      <x:c r="H81" s="58" t="str">
        <x:v>2025-06-30</x:v>
      </x:c>
      <x:c r="I81" s="58" t="str">
        <x:v>2025-06-30</x:v>
      </x:c>
      <x:c r="J81" s="58" t="str">
        <x:v>2025-10-02</x:v>
      </x:c>
      <x:c r="K81" s="58" t="str">
        <x:v>E1</x:v>
      </x:c>
      <x:c r="L81" s="60" t="n">
        <x:v>0.99</x:v>
      </x:c>
      <x:c r="M81" s="58" t="str">
        <x:v>PENDING_REVIEW</x:v>
      </x:c>
      <x:c r="N81" s="58" t="str">
        <x:v>Aspen Annual Financial Statements 2025</x:v>
      </x:c>
      <x:c r="O81" s="58" t="n">
        <x:v>15</x:v>
      </x:c>
      <x:c r="P81" s="58" t="str">
        <x:v>https://www.aspenpharma.com/download/annual-financial-statements-2/</x:v>
      </x:c>
      <x:c r="Q81" s="58" t="str">
        <x:v>a091fee4d4b575781836440b929291617c128f8f857b2dd0a7e0dfb4c1bcc53d</x:v>
      </x:c>
      <x:c r="R81" s="58" t="str">
        <x:v>DEVELOPER_VERIFIED / PENDING_REVIEW: excluded from all active anchors and eligible claim paths</x:v>
      </x:c>
    </x:row>
    <x:row r="82">
      <x:c r="A82" s="58" t="str">
        <x:v>ASPEN-2025-DEBT</x:v>
      </x:c>
      <x:c r="B82" s="58" t="str">
        <x:v>E19</x:v>
      </x:c>
      <x:c r="C82" s="58" t="str">
        <x:v>Aspen Pharmacare</x:v>
      </x:c>
      <x:c r="D82" s="58" t="str">
        <x:v>current_debt</x:v>
      </x:c>
      <x:c r="E82" s="59" t="n">
        <x:v>4612</x:v>
      </x:c>
      <x:c r="F82" s="58" t="str">
        <x:v>million</x:v>
      </x:c>
      <x:c r="G82" s="58" t="str">
        <x:v>ZAR</x:v>
      </x:c>
      <x:c r="H82" s="58" t="str">
        <x:v>2025-06-30</x:v>
      </x:c>
      <x:c r="I82" s="58" t="str">
        <x:v>2025-06-30</x:v>
      </x:c>
      <x:c r="J82" s="58" t="str">
        <x:v>2025-10-02</x:v>
      </x:c>
      <x:c r="K82" s="58" t="str">
        <x:v>E1</x:v>
      </x:c>
      <x:c r="L82" s="60" t="n">
        <x:v>0.99</x:v>
      </x:c>
      <x:c r="M82" s="58" t="str">
        <x:v>PENDING_REVIEW</x:v>
      </x:c>
      <x:c r="N82" s="58" t="str">
        <x:v>Aspen Annual Financial Statements 2025</x:v>
      </x:c>
      <x:c r="O82" s="58" t="n">
        <x:v>15</x:v>
      </x:c>
      <x:c r="P82" s="58" t="str">
        <x:v>https://www.aspenpharma.com/download/annual-financial-statements-2/</x:v>
      </x:c>
      <x:c r="Q82" s="58" t="str">
        <x:v>a091fee4d4b575781836440b929291617c128f8f857b2dd0a7e0dfb4c1bcc53d</x:v>
      </x:c>
      <x:c r="R82" s="58" t="str">
        <x:v>DEVELOPER_VERIFIED / PENDING_REVIEW: excluded from all active anchors and eligible claim paths</x:v>
      </x:c>
    </x:row>
    <x:row r="83">
      <x:c r="A83" s="58" t="str">
        <x:v>ASPEN-2025-REV</x:v>
      </x:c>
      <x:c r="B83" s="58" t="str">
        <x:v>E19</x:v>
      </x:c>
      <x:c r="C83" s="58" t="str">
        <x:v>Aspen Pharmacare</x:v>
      </x:c>
      <x:c r="D83" s="58" t="str">
        <x:v>revenue</x:v>
      </x:c>
      <x:c r="E83" s="59" t="n">
        <x:v>43363</x:v>
      </x:c>
      <x:c r="F83" s="58" t="str">
        <x:v>million</x:v>
      </x:c>
      <x:c r="G83" s="58" t="str">
        <x:v>ZAR</x:v>
      </x:c>
      <x:c r="H83" s="58" t="str">
        <x:v>2024-07-01</x:v>
      </x:c>
      <x:c r="I83" s="58" t="str">
        <x:v>2025-06-30</x:v>
      </x:c>
      <x:c r="J83" s="58" t="str">
        <x:v>2025-10-02</x:v>
      </x:c>
      <x:c r="K83" s="58" t="str">
        <x:v>E1</x:v>
      </x:c>
      <x:c r="L83" s="60" t="n">
        <x:v>0.99</x:v>
      </x:c>
      <x:c r="M83" s="58" t="str">
        <x:v>PENDING_REVIEW</x:v>
      </x:c>
      <x:c r="N83" s="58" t="str">
        <x:v>Aspen Annual Financial Statements 2025</x:v>
      </x:c>
      <x:c r="O83" s="58" t="n">
        <x:v>16</x:v>
      </x:c>
      <x:c r="P83" s="58" t="str">
        <x:v>https://www.aspenpharma.com/download/annual-financial-statements-2/</x:v>
      </x:c>
      <x:c r="Q83" s="58" t="str">
        <x:v>a091fee4d4b575781836440b929291617c128f8f857b2dd0a7e0dfb4c1bcc53d</x:v>
      </x:c>
      <x:c r="R83" s="58" t="str">
        <x:v>DEVELOPER_VERIFIED / PENDING_REVIEW: excluded from all active anchors and eligible claim paths</x:v>
      </x:c>
    </x:row>
    <x:row r="84">
      <x:c r="A84" s="58" t="str">
        <x:v>SHC-2025-CASH</x:v>
      </x:c>
      <x:c r="B84" s="58" t="str">
        <x:v>E20</x:v>
      </x:c>
      <x:c r="C84" s="58" t="str">
        <x:v>Shaftesbury Capital plc</x:v>
      </x:c>
      <x:c r="D84" s="58" t="str">
        <x:v>cash_and_cash_equivalents</x:v>
      </x:c>
      <x:c r="E84" s="59" t="n">
        <x:v>361.4</x:v>
      </x:c>
      <x:c r="F84" s="58" t="str">
        <x:v>million</x:v>
      </x:c>
      <x:c r="G84" s="58" t="str">
        <x:v>GBP</x:v>
      </x:c>
      <x:c r="H84" s="58" t="str">
        <x:v>2025-12-31</x:v>
      </x:c>
      <x:c r="I84" s="58" t="str">
        <x:v>2025-12-31</x:v>
      </x:c>
      <x:c r="J84" s="58" t="str">
        <x:v>2026-02-25</x:v>
      </x:c>
      <x:c r="K84" s="58" t="str">
        <x:v>E1</x:v>
      </x:c>
      <x:c r="L84" s="60" t="n">
        <x:v>0.98</x:v>
      </x:c>
      <x:c r="M84" s="58" t="str">
        <x:v>PENDING_REVIEW</x:v>
      </x:c>
      <x:c r="N84" s="58" t="str">
        <x:v>Shaftesbury Capital Audited Preliminary Results 2025</x:v>
      </x:c>
      <x:c r="O84" s="58" t="n">
        <x:v>22</x:v>
      </x:c>
      <x:c r="P84" s="58" t="str">
        <x:v>https://senspdf.jse.co.za/documents/2026/JSE/isse/SHCE/FY25Result.pdf</x:v>
      </x:c>
      <x:c r="Q84" s="58" t="str">
        <x:v>71bcff13a20668eea8842f5ef28273ba787b0042b2fe7e1ea9faeb03b581ed53</x:v>
      </x:c>
      <x:c r="R84" s="58" t="str">
        <x:v>DEVELOPER_VERIFIED / PENDING_REVIEW: excluded from all active anchors and eligible claim paths</x:v>
      </x:c>
    </x:row>
    <x:row r="85">
      <x:c r="A85" s="58" t="str">
        <x:v>SHC-2025-DEBT</x:v>
      </x:c>
      <x:c r="B85" s="58" t="str">
        <x:v>E20</x:v>
      </x:c>
      <x:c r="C85" s="58" t="str">
        <x:v>Shaftesbury Capital plc</x:v>
      </x:c>
      <x:c r="D85" s="58" t="str">
        <x:v>current_debt</x:v>
      </x:c>
      <x:c r="E85" s="59" t="n">
        <x:v>438.4</x:v>
      </x:c>
      <x:c r="F85" s="58" t="str">
        <x:v>million</x:v>
      </x:c>
      <x:c r="G85" s="58" t="str">
        <x:v>GBP</x:v>
      </x:c>
      <x:c r="H85" s="58" t="str">
        <x:v>2025-12-31</x:v>
      </x:c>
      <x:c r="I85" s="58" t="str">
        <x:v>2025-12-31</x:v>
      </x:c>
      <x:c r="J85" s="58" t="str">
        <x:v>2026-02-25</x:v>
      </x:c>
      <x:c r="K85" s="58" t="str">
        <x:v>E1</x:v>
      </x:c>
      <x:c r="L85" s="60" t="n">
        <x:v>0.98</x:v>
      </x:c>
      <x:c r="M85" s="58" t="str">
        <x:v>PENDING_REVIEW</x:v>
      </x:c>
      <x:c r="N85" s="58" t="str">
        <x:v>Shaftesbury Capital Audited Preliminary Results 2025</x:v>
      </x:c>
      <x:c r="O85" s="58" t="n">
        <x:v>22</x:v>
      </x:c>
      <x:c r="P85" s="58" t="str">
        <x:v>https://senspdf.jse.co.za/documents/2026/JSE/isse/SHCE/FY25Result.pdf</x:v>
      </x:c>
      <x:c r="Q85" s="58" t="str">
        <x:v>71bcff13a20668eea8842f5ef28273ba787b0042b2fe7e1ea9faeb03b581ed53</x:v>
      </x:c>
      <x:c r="R85" s="58" t="str">
        <x:v>DEVELOPER_VERIFIED / PENDING_REVIEW: excluded from all active anchors and eligible claim paths</x:v>
      </x:c>
    </x:row>
    <x:row r="86">
      <x:c r="A86" s="58" t="str">
        <x:v>SHC-2025-REV</x:v>
      </x:c>
      <x:c r="B86" s="58" t="str">
        <x:v>E20</x:v>
      </x:c>
      <x:c r="C86" s="58" t="str">
        <x:v>Shaftesbury Capital plc</x:v>
      </x:c>
      <x:c r="D86" s="58" t="str">
        <x:v>revenue</x:v>
      </x:c>
      <x:c r="E86" s="59" t="n">
        <x:v>238.9</x:v>
      </x:c>
      <x:c r="F86" s="58" t="str">
        <x:v>million</x:v>
      </x:c>
      <x:c r="G86" s="58" t="str">
        <x:v>GBP</x:v>
      </x:c>
      <x:c r="H86" s="58" t="str">
        <x:v>2025-01-01</x:v>
      </x:c>
      <x:c r="I86" s="58" t="str">
        <x:v>2025-12-31</x:v>
      </x:c>
      <x:c r="J86" s="58" t="str">
        <x:v>2026-02-25</x:v>
      </x:c>
      <x:c r="K86" s="58" t="str">
        <x:v>E1</x:v>
      </x:c>
      <x:c r="L86" s="60" t="n">
        <x:v>0.98</x:v>
      </x:c>
      <x:c r="M86" s="58" t="str">
        <x:v>PENDING_REVIEW</x:v>
      </x:c>
      <x:c r="N86" s="58" t="str">
        <x:v>Shaftesbury Capital Audited Preliminary Results 2025</x:v>
      </x:c>
      <x:c r="O86" s="58" t="n">
        <x:v>21</x:v>
      </x:c>
      <x:c r="P86" s="58" t="str">
        <x:v>https://senspdf.jse.co.za/documents/2026/JSE/isse/SHCE/FY25Result.pdf</x:v>
      </x:c>
      <x:c r="Q86" s="58" t="str">
        <x:v>71bcff13a20668eea8842f5ef28273ba787b0042b2fe7e1ea9faeb03b581ed53</x:v>
      </x:c>
      <x:c r="R86" s="58" t="str">
        <x:v>DEVELOPER_VERIFIED / PENDING_REVIEW: excluded from all active anchors and eligible claim paths</x:v>
      </x:c>
    </x:row>
  </x:sheetData>
  <x:mergeCells>
    <x:mergeCell ref="A1:R1"/>
    <x:mergeCell ref="A2:R2"/>
  </x:mergeCells>
  <x:conditionalFormatting sqref="A5:R86">
    <x:cfRule type="expression" dxfId="0" priority="1">
      <x:formula>$M5="APPROVED"</x:formula>
    </x:cfRule>
    <x:cfRule type="expression" dxfId="1" priority="2">
      <x:formula>$M5="PENDING_REVIEW"</x:formula>
    </x:cfRule>
  </x:conditionalFormatting>
  <x:pageMargins left="0.7" right="0.7" top="0.75" bottom="0.75" header="0.3" footer="0.3"/>
  <x:legacyDrawing xmlns:r="http://schemas.openxmlformats.org/officeDocument/2006/relationships" r:id="Rc12e983b47534b1a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42" hidden="0" customWidth="1"/>
    <x:col min="8" max="8" width="17" hidden="0" customWidth="1"/>
    <x:col min="9" max="9" width="17" hidden="0" customWidth="1"/>
    <x:col min="10" max="10" width="40" hidden="0" customWidth="1"/>
    <x:col min="12" max="12" width="24" hidden="0" customWidth="1"/>
  </x:cols>
  <x:sheetData>
    <x:row r="1" ht="35" customHeight="1">
      <x:c r="A1" s="3" t="str">
        <x:v>Client Evidence Coverage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6" customHeight="1">
      <x:c r="A2" s="7" t="str">
        <x:v>Coverage counts derive directly from the Public Facts sheet; approval is not inferred from presence.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66" t="str">
        <x:v>Entity ID</x:v>
      </x:c>
      <x:c r="B4" s="66" t="str">
        <x:v>Entity name</x:v>
      </x:c>
      <x:c r="C4" s="66" t="str">
        <x:v>Total E1 facts</x:v>
      </x:c>
      <x:c r="D4" s="66" t="str">
        <x:v>Approved</x:v>
      </x:c>
      <x:c r="E4" s="66" t="str">
        <x:v>Pending review</x:v>
      </x:c>
      <x:c r="F4" s="66" t="str">
        <x:v>Approval rate</x:v>
      </x:c>
      <x:c r="G4" s="66" t="str">
        <x:v>Concepts represented</x:v>
      </x:c>
      <x:c r="H4" s="66" t="str">
        <x:v>Source documents</x:v>
      </x:c>
      <x:c r="I4" s="66" t="str">
        <x:v>Coverage status</x:v>
      </x:c>
      <x:c r="J4" s="66" t="str">
        <x:v>Decision boundary</x:v>
      </x:c>
      <x:c r="L4" s="71" t="str">
        <x:v>Client</x:v>
      </x:c>
      <x:c r="M4" s="71" t="str">
        <x:v>Approved</x:v>
      </x:c>
      <x:c r="N4" s="71" t="str">
        <x:v>Pending</x:v>
      </x:c>
    </x:row>
    <x:row r="5">
      <x:c r="A5" s="58" t="str">
        <x:v>E01</x:v>
      </x:c>
      <x:c r="B5" s="58" t="str">
        <x:v>BHP Group</x:v>
      </x:c>
      <x:c r="C5" s="58" t="n">
        <x:f>COUNTIF('Public Facts'!$B$5:$B$86,A5)</x:f>
        <x:v>10</x:v>
      </x:c>
      <x:c r="D5" s="58" t="n">
        <x:f>COUNTIFS('Public Facts'!$B$5:$B$86,A5,'Public Facts'!$M$5:$M$86,"APPROVED")</x:f>
        <x:v>10</x:v>
      </x:c>
      <x:c r="E5" s="58" t="n">
        <x:f>COUNTIFS('Public Facts'!$B$5:$B$86,A5,'Public Facts'!$M$5:$M$86,"PENDING_REVIEW")</x:f>
        <x:v>0</x:v>
      </x:c>
      <x:c r="F5" s="60" t="n">
        <x:f>IF(C5=0,0,D5/C5)</x:f>
        <x:v>1</x:v>
      </x:c>
      <x:c r="G5" s="58" t="str">
        <x:v>current_debt, fx_exposure, inventories_close, inventories_open, operating_cost_base, revenue, trade_payables_close, trade_payables_open, trade_receivables_close, trade_receivables_open</x:v>
      </x:c>
      <x:c r="H5" s="58" t="n">
        <x:v>1</x:v>
      </x:c>
      <x:c r="I5" s="58" t="str">
        <x:f>IF(D5=C5,"APPROVED",IF(D5&gt;0,"PARTIAL","PENDING"))</x:f>
        <x:v>APPROVED</x:v>
      </x:c>
      <x:c r="J5" s="58" t="str">
        <x:v>E1 public evidence only; E3 required for measured share</x:v>
      </x:c>
      <x:c r="L5" s="58" t="str">
        <x:v>BHP Group</x:v>
      </x:c>
      <x:c r="M5" s="58" t="n">
        <x:f>D5</x:f>
        <x:v>10</x:v>
      </x:c>
      <x:c r="N5" s="58" t="n">
        <x:f>E5</x:f>
        <x:v>0</x:v>
      </x:c>
    </x:row>
    <x:row r="6">
      <x:c r="A6" s="58" t="str">
        <x:v>E02</x:v>
      </x:c>
      <x:c r="B6" s="58" t="str">
        <x:v>Glencore</x:v>
      </x:c>
      <x:c r="C6" s="58" t="n">
        <x:f>COUNTIF('Public Facts'!$B$5:$B$86,A6)</x:f>
        <x:v>10</x:v>
      </x:c>
      <x:c r="D6" s="58" t="n">
        <x:f>COUNTIFS('Public Facts'!$B$5:$B$86,A6,'Public Facts'!$M$5:$M$86,"APPROVED")</x:f>
        <x:v>10</x:v>
      </x:c>
      <x:c r="E6" s="58" t="n">
        <x:f>COUNTIFS('Public Facts'!$B$5:$B$86,A6,'Public Facts'!$M$5:$M$86,"PENDING_REVIEW")</x:f>
        <x:v>0</x:v>
      </x:c>
      <x:c r="F6" s="60" t="n">
        <x:f>IF(C6=0,0,D6/C6)</x:f>
        <x:v>1</x:v>
      </x:c>
      <x:c r="G6" s="58" t="str">
        <x:v>current_debt, fx_exposure, inventories_close, inventories_open, operating_cost_base, revenue, trade_payables_close, trade_payables_open, trade_receivables_close, trade_receivables_open</x:v>
      </x:c>
      <x:c r="H6" s="58" t="n">
        <x:v>1</x:v>
      </x:c>
      <x:c r="I6" s="58" t="str">
        <x:f>IF(D6=C6,"APPROVED",IF(D6&gt;0,"PARTIAL","PENDING"))</x:f>
        <x:v>APPROVED</x:v>
      </x:c>
      <x:c r="J6" s="58" t="str">
        <x:v>E1 public evidence only; E3 required for measured share</x:v>
      </x:c>
      <x:c r="L6" s="58" t="str">
        <x:v>Glencore</x:v>
      </x:c>
      <x:c r="M6" s="58" t="n">
        <x:f>D6</x:f>
        <x:v>10</x:v>
      </x:c>
      <x:c r="N6" s="58" t="n">
        <x:f>E6</x:f>
        <x:v>0</x:v>
      </x:c>
    </x:row>
    <x:row r="7">
      <x:c r="A7" s="58" t="str">
        <x:v>E03</x:v>
      </x:c>
      <x:c r="B7" s="58" t="str">
        <x:v>Anglo American</x:v>
      </x:c>
      <x:c r="C7" s="58" t="n">
        <x:f>COUNTIF('Public Facts'!$B$5:$B$86,A7)</x:f>
        <x:v>3</x:v>
      </x:c>
      <x:c r="D7" s="58" t="n">
        <x:f>COUNTIFS('Public Facts'!$B$5:$B$86,A7,'Public Facts'!$M$5:$M$86,"APPROVED")</x:f>
        <x:v>0</x:v>
      </x:c>
      <x:c r="E7" s="58" t="n">
        <x:f>COUNTIFS('Public Facts'!$B$5:$B$86,A7,'Public Facts'!$M$5:$M$86,"PENDING_REVIEW")</x:f>
        <x:v>3</x:v>
      </x:c>
      <x:c r="F7" s="60" t="n">
        <x:f>IF(C7=0,0,D7/C7)</x:f>
        <x:v>0</x:v>
      </x:c>
      <x:c r="G7" s="58" t="str">
        <x:v>cash_and_cash_equivalents, current_debt, revenue</x:v>
      </x:c>
      <x:c r="H7" s="58" t="n">
        <x:v>1</x:v>
      </x:c>
      <x:c r="I7" s="58" t="str">
        <x:f>IF(D7=C7,"APPROVED",IF(D7&gt;0,"PARTIAL","PENDING"))</x:f>
        <x:v>PENDING</x:v>
      </x:c>
      <x:c r="J7" s="58" t="str">
        <x:v>E1 public evidence only; E3 required for measured share</x:v>
      </x:c>
      <x:c r="L7" s="58" t="str">
        <x:v>Anglo American</x:v>
      </x:c>
      <x:c r="M7" s="58" t="n">
        <x:f>D7</x:f>
        <x:v>0</x:v>
      </x:c>
      <x:c r="N7" s="58" t="n">
        <x:f>E7</x:f>
        <x:v>3</x:v>
      </x:c>
    </x:row>
    <x:row r="8">
      <x:c r="A8" s="58" t="str">
        <x:v>E04</x:v>
      </x:c>
      <x:c r="B8" s="58" t="str">
        <x:v>AngloGold Ashanti</x:v>
      </x:c>
      <x:c r="C8" s="58" t="n">
        <x:f>COUNTIF('Public Facts'!$B$5:$B$86,A8)</x:f>
        <x:v>3</x:v>
      </x:c>
      <x:c r="D8" s="58" t="n">
        <x:f>COUNTIFS('Public Facts'!$B$5:$B$86,A8,'Public Facts'!$M$5:$M$86,"APPROVED")</x:f>
        <x:v>0</x:v>
      </x:c>
      <x:c r="E8" s="58" t="n">
        <x:f>COUNTIFS('Public Facts'!$B$5:$B$86,A8,'Public Facts'!$M$5:$M$86,"PENDING_REVIEW")</x:f>
        <x:v>3</x:v>
      </x:c>
      <x:c r="F8" s="60" t="n">
        <x:f>IF(C8=0,0,D8/C8)</x:f>
        <x:v>0</x:v>
      </x:c>
      <x:c r="G8" s="58" t="str">
        <x:v>cash_and_cash_equivalents, current_debt, revenue</x:v>
      </x:c>
      <x:c r="H8" s="58" t="n">
        <x:v>1</x:v>
      </x:c>
      <x:c r="I8" s="58" t="str">
        <x:f>IF(D8=C8,"APPROVED",IF(D8&gt;0,"PARTIAL","PENDING"))</x:f>
        <x:v>PENDING</x:v>
      </x:c>
      <x:c r="J8" s="58" t="str">
        <x:v>E1 public evidence only; E3 required for measured share</x:v>
      </x:c>
      <x:c r="L8" s="58" t="str">
        <x:v>AngloGold Ashanti</x:v>
      </x:c>
      <x:c r="M8" s="58" t="n">
        <x:f>D8</x:f>
        <x:v>0</x:v>
      </x:c>
      <x:c r="N8" s="58" t="n">
        <x:f>E8</x:f>
        <x:v>3</x:v>
      </x:c>
    </x:row>
    <x:row r="9">
      <x:c r="A9" s="58" t="str">
        <x:v>E05</x:v>
      </x:c>
      <x:c r="B9" s="58" t="str">
        <x:v>Gold Fields</x:v>
      </x:c>
      <x:c r="C9" s="58" t="n">
        <x:f>COUNTIF('Public Facts'!$B$5:$B$86,A9)</x:f>
        <x:v>3</x:v>
      </x:c>
      <x:c r="D9" s="58" t="n">
        <x:f>COUNTIFS('Public Facts'!$B$5:$B$86,A9,'Public Facts'!$M$5:$M$86,"APPROVED")</x:f>
        <x:v>0</x:v>
      </x:c>
      <x:c r="E9" s="58" t="n">
        <x:f>COUNTIFS('Public Facts'!$B$5:$B$86,A9,'Public Facts'!$M$5:$M$86,"PENDING_REVIEW")</x:f>
        <x:v>3</x:v>
      </x:c>
      <x:c r="F9" s="60" t="n">
        <x:f>IF(C9=0,0,D9/C9)</x:f>
        <x:v>0</x:v>
      </x:c>
      <x:c r="G9" s="58" t="str">
        <x:v>cash_and_cash_equivalents, current_debt, revenue</x:v>
      </x:c>
      <x:c r="H9" s="58" t="n">
        <x:v>1</x:v>
      </x:c>
      <x:c r="I9" s="58" t="str">
        <x:f>IF(D9=C9,"APPROVED",IF(D9&gt;0,"PARTIAL","PENDING"))</x:f>
        <x:v>PENDING</x:v>
      </x:c>
      <x:c r="J9" s="58" t="str">
        <x:v>E1 public evidence only; E3 required for measured share</x:v>
      </x:c>
      <x:c r="L9" s="58" t="str">
        <x:v>Gold Fields</x:v>
      </x:c>
      <x:c r="M9" s="58" t="n">
        <x:f>D9</x:f>
        <x:v>0</x:v>
      </x:c>
      <x:c r="N9" s="58" t="n">
        <x:f>E9</x:f>
        <x:v>3</x:v>
      </x:c>
    </x:row>
    <x:row r="10">
      <x:c r="A10" s="58" t="str">
        <x:v>E06</x:v>
      </x:c>
      <x:c r="B10" s="58" t="str">
        <x:v>Valterra Platinum</x:v>
      </x:c>
      <x:c r="C10" s="58" t="n">
        <x:f>COUNTIF('Public Facts'!$B$5:$B$86,A10)</x:f>
        <x:v>3</x:v>
      </x:c>
      <x:c r="D10" s="58" t="n">
        <x:f>COUNTIFS('Public Facts'!$B$5:$B$86,A10,'Public Facts'!$M$5:$M$86,"APPROVED")</x:f>
        <x:v>0</x:v>
      </x:c>
      <x:c r="E10" s="58" t="n">
        <x:f>COUNTIFS('Public Facts'!$B$5:$B$86,A10,'Public Facts'!$M$5:$M$86,"PENDING_REVIEW")</x:f>
        <x:v>3</x:v>
      </x:c>
      <x:c r="F10" s="60" t="n">
        <x:f>IF(C10=0,0,D10/C10)</x:f>
        <x:v>0</x:v>
      </x:c>
      <x:c r="G10" s="58" t="str">
        <x:v>cash_and_cash_equivalents, current_debt, revenue</x:v>
      </x:c>
      <x:c r="H10" s="58" t="n">
        <x:v>1</x:v>
      </x:c>
      <x:c r="I10" s="58" t="str">
        <x:f>IF(D10=C10,"APPROVED",IF(D10&gt;0,"PARTIAL","PENDING"))</x:f>
        <x:v>PENDING</x:v>
      </x:c>
      <x:c r="J10" s="58" t="str">
        <x:v>E1 public evidence only; E3 required for measured share</x:v>
      </x:c>
      <x:c r="L10" s="58" t="str">
        <x:v>Valterra Platinum</x:v>
      </x:c>
      <x:c r="M10" s="58" t="n">
        <x:f>D10</x:f>
        <x:v>0</x:v>
      </x:c>
      <x:c r="N10" s="58" t="n">
        <x:f>E10</x:f>
        <x:v>3</x:v>
      </x:c>
    </x:row>
    <x:row r="11">
      <x:c r="A11" s="58" t="str">
        <x:v>E07</x:v>
      </x:c>
      <x:c r="B11" s="58" t="str">
        <x:v>OUTsurance Group</x:v>
      </x:c>
      <x:c r="C11" s="58" t="n">
        <x:f>COUNTIF('Public Facts'!$B$5:$B$86,A11)</x:f>
        <x:v>3</x:v>
      </x:c>
      <x:c r="D11" s="58" t="n">
        <x:f>COUNTIFS('Public Facts'!$B$5:$B$86,A11,'Public Facts'!$M$5:$M$86,"APPROVED")</x:f>
        <x:v>0</x:v>
      </x:c>
      <x:c r="E11" s="58" t="n">
        <x:f>COUNTIFS('Public Facts'!$B$5:$B$86,A11,'Public Facts'!$M$5:$M$86,"PENDING_REVIEW")</x:f>
        <x:v>3</x:v>
      </x:c>
      <x:c r="F11" s="60" t="n">
        <x:f>IF(C11=0,0,D11/C11)</x:f>
        <x:v>0</x:v>
      </x:c>
      <x:c r="G11" s="58" t="str">
        <x:v>cash_and_cash_equivalents, insurance_liabilities, insurance_revenue</x:v>
      </x:c>
      <x:c r="H11" s="58" t="n">
        <x:v>1</x:v>
      </x:c>
      <x:c r="I11" s="58" t="str">
        <x:f>IF(D11=C11,"APPROVED",IF(D11&gt;0,"PARTIAL","PENDING"))</x:f>
        <x:v>PENDING</x:v>
      </x:c>
      <x:c r="J11" s="58" t="str">
        <x:v>E1 public evidence only; E3 required for measured share</x:v>
      </x:c>
      <x:c r="L11" s="58" t="str">
        <x:v>OUTsurance Group</x:v>
      </x:c>
      <x:c r="M11" s="58" t="n">
        <x:f>D11</x:f>
        <x:v>0</x:v>
      </x:c>
      <x:c r="N11" s="58" t="n">
        <x:f>E11</x:f>
        <x:v>3</x:v>
      </x:c>
    </x:row>
    <x:row r="12">
      <x:c r="A12" s="58" t="str">
        <x:v>E08</x:v>
      </x:c>
      <x:c r="B12" s="58" t="str">
        <x:v>Sanlam</x:v>
      </x:c>
      <x:c r="C12" s="58" t="n">
        <x:f>COUNTIF('Public Facts'!$B$5:$B$86,A12)</x:f>
        <x:v>3</x:v>
      </x:c>
      <x:c r="D12" s="58" t="n">
        <x:f>COUNTIFS('Public Facts'!$B$5:$B$86,A12,'Public Facts'!$M$5:$M$86,"APPROVED")</x:f>
        <x:v>0</x:v>
      </x:c>
      <x:c r="E12" s="58" t="n">
        <x:f>COUNTIFS('Public Facts'!$B$5:$B$86,A12,'Public Facts'!$M$5:$M$86,"PENDING_REVIEW")</x:f>
        <x:v>3</x:v>
      </x:c>
      <x:c r="F12" s="60" t="n">
        <x:f>IF(C12=0,0,D12/C12)</x:f>
        <x:v>0</x:v>
      </x:c>
      <x:c r="G12" s="58" t="str">
        <x:v>cash_and_cash_equivalents, insurance_revenue, term_finance</x:v>
      </x:c>
      <x:c r="H12" s="58" t="n">
        <x:v>1</x:v>
      </x:c>
      <x:c r="I12" s="58" t="str">
        <x:f>IF(D12=C12,"APPROVED",IF(D12&gt;0,"PARTIAL","PENDING"))</x:f>
        <x:v>PENDING</x:v>
      </x:c>
      <x:c r="J12" s="58" t="str">
        <x:v>E1 public evidence only; E3 required for measured share</x:v>
      </x:c>
      <x:c r="L12" s="58" t="str">
        <x:v>Sanlam</x:v>
      </x:c>
      <x:c r="M12" s="58" t="n">
        <x:f>D12</x:f>
        <x:v>0</x:v>
      </x:c>
      <x:c r="N12" s="58" t="n">
        <x:f>E12</x:f>
        <x:v>3</x:v>
      </x:c>
    </x:row>
    <x:row r="13">
      <x:c r="A13" s="58" t="str">
        <x:v>E09</x:v>
      </x:c>
      <x:c r="B13" s="58" t="str">
        <x:v>Shoprite Holdings</x:v>
      </x:c>
      <x:c r="C13" s="58" t="n">
        <x:f>COUNTIF('Public Facts'!$B$5:$B$86,A13)</x:f>
        <x:v>11</x:v>
      </x:c>
      <x:c r="D13" s="58" t="n">
        <x:f>COUNTIFS('Public Facts'!$B$5:$B$86,A13,'Public Facts'!$M$5:$M$86,"APPROVED")</x:f>
        <x:v>11</x:v>
      </x:c>
      <x:c r="E13" s="58" t="n">
        <x:f>COUNTIFS('Public Facts'!$B$5:$B$86,A13,'Public Facts'!$M$5:$M$86,"PENDING_REVIEW")</x:f>
        <x:v>0</x:v>
      </x:c>
      <x:c r="F13" s="60" t="n">
        <x:f>IF(C13=0,0,D13/C13)</x:f>
        <x:v>1</x:v>
      </x:c>
      <x:c r="G13" s="58" t="str">
        <x:v>current_debt, fx_exposure, inventories_close, inventories_open, operating_cost_base, revenue, short_term_facilities, trade_payables_close, trade_payables_open, trade_receivables_close, trade_receivables_open</x:v>
      </x:c>
      <x:c r="H13" s="58" t="n">
        <x:v>1</x:v>
      </x:c>
      <x:c r="I13" s="58" t="str">
        <x:f>IF(D13=C13,"APPROVED",IF(D13&gt;0,"PARTIAL","PENDING"))</x:f>
        <x:v>APPROVED</x:v>
      </x:c>
      <x:c r="J13" s="58" t="str">
        <x:v>E1 public evidence only; E3 required for measured share</x:v>
      </x:c>
      <x:c r="L13" s="58" t="str">
        <x:v>Shoprite Holdings</x:v>
      </x:c>
      <x:c r="M13" s="58" t="n">
        <x:f>D13</x:f>
        <x:v>11</x:v>
      </x:c>
      <x:c r="N13" s="58" t="n">
        <x:f>E13</x:f>
        <x:v>0</x:v>
      </x:c>
    </x:row>
    <x:row r="14">
      <x:c r="A14" s="58" t="str">
        <x:v>E10</x:v>
      </x:c>
      <x:c r="B14" s="58" t="str">
        <x:v>Bid Corporation</x:v>
      </x:c>
      <x:c r="C14" s="58" t="n">
        <x:f>COUNTIF('Public Facts'!$B$5:$B$86,A14)</x:f>
        <x:v>3</x:v>
      </x:c>
      <x:c r="D14" s="58" t="n">
        <x:f>COUNTIFS('Public Facts'!$B$5:$B$86,A14,'Public Facts'!$M$5:$M$86,"APPROVED")</x:f>
        <x:v>0</x:v>
      </x:c>
      <x:c r="E14" s="58" t="n">
        <x:f>COUNTIFS('Public Facts'!$B$5:$B$86,A14,'Public Facts'!$M$5:$M$86,"PENDING_REVIEW")</x:f>
        <x:v>3</x:v>
      </x:c>
      <x:c r="F14" s="60" t="n">
        <x:f>IF(C14=0,0,D14/C14)</x:f>
        <x:v>0</x:v>
      </x:c>
      <x:c r="G14" s="58" t="str">
        <x:v>cash_and_cash_equivalents, current_liabilities, revenue</x:v>
      </x:c>
      <x:c r="H14" s="58" t="n">
        <x:v>1</x:v>
      </x:c>
      <x:c r="I14" s="58" t="str">
        <x:f>IF(D14=C14,"APPROVED",IF(D14&gt;0,"PARTIAL","PENDING"))</x:f>
        <x:v>PENDING</x:v>
      </x:c>
      <x:c r="J14" s="58" t="str">
        <x:v>E1 public evidence only; E3 required for measured share</x:v>
      </x:c>
      <x:c r="L14" s="58" t="str">
        <x:v>Bid Corporation</x:v>
      </x:c>
      <x:c r="M14" s="58" t="n">
        <x:f>D14</x:f>
        <x:v>0</x:v>
      </x:c>
      <x:c r="N14" s="58" t="n">
        <x:f>E14</x:f>
        <x:v>3</x:v>
      </x:c>
    </x:row>
    <x:row r="15">
      <x:c r="A15" s="58" t="str">
        <x:v>E11</x:v>
      </x:c>
      <x:c r="B15" s="58" t="str">
        <x:v>Pepkor Holdings</x:v>
      </x:c>
      <x:c r="C15" s="58" t="n">
        <x:f>COUNTIF('Public Facts'!$B$5:$B$86,A15)</x:f>
        <x:v>3</x:v>
      </x:c>
      <x:c r="D15" s="58" t="n">
        <x:f>COUNTIFS('Public Facts'!$B$5:$B$86,A15,'Public Facts'!$M$5:$M$86,"APPROVED")</x:f>
        <x:v>0</x:v>
      </x:c>
      <x:c r="E15" s="58" t="n">
        <x:f>COUNTIFS('Public Facts'!$B$5:$B$86,A15,'Public Facts'!$M$5:$M$86,"PENDING_REVIEW")</x:f>
        <x:v>3</x:v>
      </x:c>
      <x:c r="F15" s="60" t="n">
        <x:f>IF(C15=0,0,D15/C15)</x:f>
        <x:v>0</x:v>
      </x:c>
      <x:c r="G15" s="58" t="str">
        <x:v>cash_and_cash_equivalents, current_debt, revenue</x:v>
      </x:c>
      <x:c r="H15" s="58" t="n">
        <x:v>1</x:v>
      </x:c>
      <x:c r="I15" s="58" t="str">
        <x:f>IF(D15=C15,"APPROVED",IF(D15&gt;0,"PARTIAL","PENDING"))</x:f>
        <x:v>PENDING</x:v>
      </x:c>
      <x:c r="J15" s="58" t="str">
        <x:v>E1 public evidence only; E3 required for measured share</x:v>
      </x:c>
      <x:c r="L15" s="58" t="str">
        <x:v>Pepkor Holdings</x:v>
      </x:c>
      <x:c r="M15" s="58" t="n">
        <x:f>D15</x:f>
        <x:v>0</x:v>
      </x:c>
      <x:c r="N15" s="58" t="n">
        <x:f>E15</x:f>
        <x:v>3</x:v>
      </x:c>
    </x:row>
    <x:row r="16">
      <x:c r="A16" s="58" t="str">
        <x:v>E12</x:v>
      </x:c>
      <x:c r="B16" s="58" t="str">
        <x:v>Clicks Group</x:v>
      </x:c>
      <x:c r="C16" s="58" t="n">
        <x:f>COUNTIF('Public Facts'!$B$5:$B$86,A16)</x:f>
        <x:v>3</x:v>
      </x:c>
      <x:c r="D16" s="58" t="n">
        <x:f>COUNTIFS('Public Facts'!$B$5:$B$86,A16,'Public Facts'!$M$5:$M$86,"APPROVED")</x:f>
        <x:v>0</x:v>
      </x:c>
      <x:c r="E16" s="58" t="n">
        <x:f>COUNTIFS('Public Facts'!$B$5:$B$86,A16,'Public Facts'!$M$5:$M$86,"PENDING_REVIEW")</x:f>
        <x:v>3</x:v>
      </x:c>
      <x:c r="F16" s="60" t="n">
        <x:f>IF(C16=0,0,D16/C16)</x:f>
        <x:v>0</x:v>
      </x:c>
      <x:c r="G16" s="58" t="str">
        <x:v>cash_and_cash_equivalents, revenue, trade_payables</x:v>
      </x:c>
      <x:c r="H16" s="58" t="n">
        <x:v>1</x:v>
      </x:c>
      <x:c r="I16" s="58" t="str">
        <x:f>IF(D16=C16,"APPROVED",IF(D16&gt;0,"PARTIAL","PENDING"))</x:f>
        <x:v>PENDING</x:v>
      </x:c>
      <x:c r="J16" s="58" t="str">
        <x:v>E1 public evidence only; E3 required for measured share</x:v>
      </x:c>
      <x:c r="L16" s="58" t="str">
        <x:v>Clicks Group</x:v>
      </x:c>
      <x:c r="M16" s="58" t="n">
        <x:f>D16</x:f>
        <x:v>0</x:v>
      </x:c>
      <x:c r="N16" s="58" t="n">
        <x:f>E16</x:f>
        <x:v>3</x:v>
      </x:c>
    </x:row>
    <x:row r="17">
      <x:c r="A17" s="58" t="str">
        <x:v>E13</x:v>
      </x:c>
      <x:c r="B17" s="58" t="str">
        <x:v>NEPI Rockcastle</x:v>
      </x:c>
      <x:c r="C17" s="58" t="n">
        <x:f>COUNTIF('Public Facts'!$B$5:$B$86,A17)</x:f>
        <x:v>3</x:v>
      </x:c>
      <x:c r="D17" s="58" t="n">
        <x:f>COUNTIFS('Public Facts'!$B$5:$B$86,A17,'Public Facts'!$M$5:$M$86,"APPROVED")</x:f>
        <x:v>0</x:v>
      </x:c>
      <x:c r="E17" s="58" t="n">
        <x:f>COUNTIFS('Public Facts'!$B$5:$B$86,A17,'Public Facts'!$M$5:$M$86,"PENDING_REVIEW")</x:f>
        <x:v>3</x:v>
      </x:c>
      <x:c r="F17" s="60" t="n">
        <x:f>IF(C17=0,0,D17/C17)</x:f>
        <x:v>0</x:v>
      </x:c>
      <x:c r="G17" s="58" t="str">
        <x:v>cash_and_cash_equivalents, current_debt, gross_rental_income</x:v>
      </x:c>
      <x:c r="H17" s="58" t="n">
        <x:v>1</x:v>
      </x:c>
      <x:c r="I17" s="58" t="str">
        <x:f>IF(D17=C17,"APPROVED",IF(D17&gt;0,"PARTIAL","PENDING"))</x:f>
        <x:v>PENDING</x:v>
      </x:c>
      <x:c r="J17" s="58" t="str">
        <x:v>E1 public evidence only; E3 required for measured share</x:v>
      </x:c>
      <x:c r="L17" s="58" t="str">
        <x:v>NEPI Rockcastle</x:v>
      </x:c>
      <x:c r="M17" s="58" t="n">
        <x:f>D17</x:f>
        <x:v>0</x:v>
      </x:c>
      <x:c r="N17" s="58" t="n">
        <x:f>E17</x:f>
        <x:v>3</x:v>
      </x:c>
    </x:row>
    <x:row r="18">
      <x:c r="A18" s="58" t="str">
        <x:v>E14</x:v>
      </x:c>
      <x:c r="B18" s="58" t="str">
        <x:v>Prosus</x:v>
      </x:c>
      <x:c r="C18" s="58" t="n">
        <x:f>COUNTIF('Public Facts'!$B$5:$B$86,A18)</x:f>
        <x:v>3</x:v>
      </x:c>
      <x:c r="D18" s="58" t="n">
        <x:f>COUNTIFS('Public Facts'!$B$5:$B$86,A18,'Public Facts'!$M$5:$M$86,"APPROVED")</x:f>
        <x:v>0</x:v>
      </x:c>
      <x:c r="E18" s="58" t="n">
        <x:f>COUNTIFS('Public Facts'!$B$5:$B$86,A18,'Public Facts'!$M$5:$M$86,"PENDING_REVIEW")</x:f>
        <x:v>3</x:v>
      </x:c>
      <x:c r="F18" s="60" t="n">
        <x:f>IF(C18=0,0,D18/C18)</x:f>
        <x:v>0</x:v>
      </x:c>
      <x:c r="G18" s="58" t="str">
        <x:v>cash_and_cash_equivalents, current_debt, revenue</x:v>
      </x:c>
      <x:c r="H18" s="58" t="n">
        <x:v>1</x:v>
      </x:c>
      <x:c r="I18" s="58" t="str">
        <x:f>IF(D18=C18,"APPROVED",IF(D18&gt;0,"PARTIAL","PENDING"))</x:f>
        <x:v>PENDING</x:v>
      </x:c>
      <x:c r="J18" s="58" t="str">
        <x:v>E1 public evidence only; E3 required for measured share</x:v>
      </x:c>
      <x:c r="L18" s="58" t="str">
        <x:v>Prosus</x:v>
      </x:c>
      <x:c r="M18" s="58" t="n">
        <x:f>D18</x:f>
        <x:v>0</x:v>
      </x:c>
      <x:c r="N18" s="58" t="n">
        <x:f>E18</x:f>
        <x:v>3</x:v>
      </x:c>
    </x:row>
    <x:row r="19">
      <x:c r="A19" s="58" t="str">
        <x:v>E15</x:v>
      </x:c>
      <x:c r="B19" s="58" t="str">
        <x:v>Naspers</x:v>
      </x:c>
      <x:c r="C19" s="58" t="n">
        <x:f>COUNTIF('Public Facts'!$B$5:$B$86,A19)</x:f>
        <x:v>3</x:v>
      </x:c>
      <x:c r="D19" s="58" t="n">
        <x:f>COUNTIFS('Public Facts'!$B$5:$B$86,A19,'Public Facts'!$M$5:$M$86,"APPROVED")</x:f>
        <x:v>0</x:v>
      </x:c>
      <x:c r="E19" s="58" t="n">
        <x:f>COUNTIFS('Public Facts'!$B$5:$B$86,A19,'Public Facts'!$M$5:$M$86,"PENDING_REVIEW")</x:f>
        <x:v>3</x:v>
      </x:c>
      <x:c r="F19" s="60" t="n">
        <x:f>IF(C19=0,0,D19/C19)</x:f>
        <x:v>0</x:v>
      </x:c>
      <x:c r="G19" s="58" t="str">
        <x:v>cash_and_cash_equivalents, current_debt, revenue</x:v>
      </x:c>
      <x:c r="H19" s="58" t="n">
        <x:v>1</x:v>
      </x:c>
      <x:c r="I19" s="58" t="str">
        <x:f>IF(D19=C19,"APPROVED",IF(D19&gt;0,"PARTIAL","PENDING"))</x:f>
        <x:v>PENDING</x:v>
      </x:c>
      <x:c r="J19" s="58" t="str">
        <x:v>E1 public evidence only; E3 required for measured share</x:v>
      </x:c>
      <x:c r="L19" s="58" t="str">
        <x:v>Naspers</x:v>
      </x:c>
      <x:c r="M19" s="58" t="n">
        <x:f>D19</x:f>
        <x:v>0</x:v>
      </x:c>
      <x:c r="N19" s="58" t="n">
        <x:f>E19</x:f>
        <x:v>3</x:v>
      </x:c>
    </x:row>
    <x:row r="20">
      <x:c r="A20" s="58" t="str">
        <x:v>E16</x:v>
      </x:c>
      <x:c r="B20" s="58" t="str">
        <x:v>MTN Group</x:v>
      </x:c>
      <x:c r="C20" s="58" t="n">
        <x:f>COUNTIF('Public Facts'!$B$5:$B$86,A20)</x:f>
        <x:v>3</x:v>
      </x:c>
      <x:c r="D20" s="58" t="n">
        <x:f>COUNTIFS('Public Facts'!$B$5:$B$86,A20,'Public Facts'!$M$5:$M$86,"APPROVED")</x:f>
        <x:v>0</x:v>
      </x:c>
      <x:c r="E20" s="58" t="n">
        <x:f>COUNTIFS('Public Facts'!$B$5:$B$86,A20,'Public Facts'!$M$5:$M$86,"PENDING_REVIEW")</x:f>
        <x:v>3</x:v>
      </x:c>
      <x:c r="F20" s="60" t="n">
        <x:f>IF(C20=0,0,D20/C20)</x:f>
        <x:v>0</x:v>
      </x:c>
      <x:c r="G20" s="58" t="str">
        <x:v>cash_and_cash_equivalents, current_debt, revenue</x:v>
      </x:c>
      <x:c r="H20" s="58" t="n">
        <x:v>1</x:v>
      </x:c>
      <x:c r="I20" s="58" t="str">
        <x:f>IF(D20=C20,"APPROVED",IF(D20&gt;0,"PARTIAL","PENDING"))</x:f>
        <x:v>PENDING</x:v>
      </x:c>
      <x:c r="J20" s="58" t="str">
        <x:v>E1 public evidence only; E3 required for measured share</x:v>
      </x:c>
      <x:c r="L20" s="58" t="str">
        <x:v>MTN Group</x:v>
      </x:c>
      <x:c r="M20" s="58" t="n">
        <x:f>D20</x:f>
        <x:v>0</x:v>
      </x:c>
      <x:c r="N20" s="58" t="n">
        <x:f>E20</x:f>
        <x:v>3</x:v>
      </x:c>
    </x:row>
    <x:row r="21">
      <x:c r="A21" s="58" t="str">
        <x:v>E17</x:v>
      </x:c>
      <x:c r="B21" s="58" t="str">
        <x:v>Vodacom Group</x:v>
      </x:c>
      <x:c r="C21" s="58" t="n">
        <x:f>COUNTIF('Public Facts'!$B$5:$B$86,A21)</x:f>
        <x:v>3</x:v>
      </x:c>
      <x:c r="D21" s="58" t="n">
        <x:f>COUNTIFS('Public Facts'!$B$5:$B$86,A21,'Public Facts'!$M$5:$M$86,"APPROVED")</x:f>
        <x:v>0</x:v>
      </x:c>
      <x:c r="E21" s="58" t="n">
        <x:f>COUNTIFS('Public Facts'!$B$5:$B$86,A21,'Public Facts'!$M$5:$M$86,"PENDING_REVIEW")</x:f>
        <x:v>3</x:v>
      </x:c>
      <x:c r="F21" s="60" t="n">
        <x:f>IF(C21=0,0,D21/C21)</x:f>
        <x:v>0</x:v>
      </x:c>
      <x:c r="G21" s="58" t="str">
        <x:v>cash_and_cash_equivalents, current_debt, revenue</x:v>
      </x:c>
      <x:c r="H21" s="58" t="n">
        <x:v>1</x:v>
      </x:c>
      <x:c r="I21" s="58" t="str">
        <x:f>IF(D21=C21,"APPROVED",IF(D21&gt;0,"PARTIAL","PENDING"))</x:f>
        <x:v>PENDING</x:v>
      </x:c>
      <x:c r="J21" s="58" t="str">
        <x:v>E1 public evidence only; E3 required for measured share</x:v>
      </x:c>
      <x:c r="L21" s="58" t="str">
        <x:v>Vodacom Group</x:v>
      </x:c>
      <x:c r="M21" s="58" t="n">
        <x:f>D21</x:f>
        <x:v>0</x:v>
      </x:c>
      <x:c r="N21" s="58" t="n">
        <x:f>E21</x:f>
        <x:v>3</x:v>
      </x:c>
    </x:row>
    <x:row r="22">
      <x:c r="A22" s="58" t="str">
        <x:v>E18</x:v>
      </x:c>
      <x:c r="B22" s="58" t="str">
        <x:v>The Bidvest Group</x:v>
      </x:c>
      <x:c r="C22" s="58" t="n">
        <x:f>COUNTIF('Public Facts'!$B$5:$B$86,A22)</x:f>
        <x:v>3</x:v>
      </x:c>
      <x:c r="D22" s="58" t="n">
        <x:f>COUNTIFS('Public Facts'!$B$5:$B$86,A22,'Public Facts'!$M$5:$M$86,"APPROVED")</x:f>
        <x:v>0</x:v>
      </x:c>
      <x:c r="E22" s="58" t="n">
        <x:f>COUNTIFS('Public Facts'!$B$5:$B$86,A22,'Public Facts'!$M$5:$M$86,"PENDING_REVIEW")</x:f>
        <x:v>3</x:v>
      </x:c>
      <x:c r="F22" s="60" t="n">
        <x:f>IF(C22=0,0,D22/C22)</x:f>
        <x:v>0</x:v>
      </x:c>
      <x:c r="G22" s="58" t="str">
        <x:v>cash_and_cash_equivalents, current_debt, revenue</x:v>
      </x:c>
      <x:c r="H22" s="58" t="n">
        <x:v>1</x:v>
      </x:c>
      <x:c r="I22" s="58" t="str">
        <x:f>IF(D22=C22,"APPROVED",IF(D22&gt;0,"PARTIAL","PENDING"))</x:f>
        <x:v>PENDING</x:v>
      </x:c>
      <x:c r="J22" s="58" t="str">
        <x:v>E1 public evidence only; E3 required for measured share</x:v>
      </x:c>
      <x:c r="L22" s="58" t="str">
        <x:v>The Bidvest Group</x:v>
      </x:c>
      <x:c r="M22" s="58" t="n">
        <x:f>D22</x:f>
        <x:v>0</x:v>
      </x:c>
      <x:c r="N22" s="58" t="n">
        <x:f>E22</x:f>
        <x:v>3</x:v>
      </x:c>
    </x:row>
    <x:row r="23">
      <x:c r="A23" s="58" t="str">
        <x:v>E19</x:v>
      </x:c>
      <x:c r="B23" s="58" t="str">
        <x:v>Aspen Pharmacare</x:v>
      </x:c>
      <x:c r="C23" s="58" t="n">
        <x:f>COUNTIF('Public Facts'!$B$5:$B$86,A23)</x:f>
        <x:v>3</x:v>
      </x:c>
      <x:c r="D23" s="58" t="n">
        <x:f>COUNTIFS('Public Facts'!$B$5:$B$86,A23,'Public Facts'!$M$5:$M$86,"APPROVED")</x:f>
        <x:v>0</x:v>
      </x:c>
      <x:c r="E23" s="58" t="n">
        <x:f>COUNTIFS('Public Facts'!$B$5:$B$86,A23,'Public Facts'!$M$5:$M$86,"PENDING_REVIEW")</x:f>
        <x:v>3</x:v>
      </x:c>
      <x:c r="F23" s="60" t="n">
        <x:f>IF(C23=0,0,D23/C23)</x:f>
        <x:v>0</x:v>
      </x:c>
      <x:c r="G23" s="58" t="str">
        <x:v>cash_and_cash_equivalents, current_debt, revenue</x:v>
      </x:c>
      <x:c r="H23" s="58" t="n">
        <x:v>1</x:v>
      </x:c>
      <x:c r="I23" s="58" t="str">
        <x:f>IF(D23=C23,"APPROVED",IF(D23&gt;0,"PARTIAL","PENDING"))</x:f>
        <x:v>PENDING</x:v>
      </x:c>
      <x:c r="J23" s="58" t="str">
        <x:v>E1 public evidence only; E3 required for measured share</x:v>
      </x:c>
      <x:c r="L23" s="58" t="str">
        <x:v>Aspen Pharmacare</x:v>
      </x:c>
      <x:c r="M23" s="58" t="n">
        <x:f>D23</x:f>
        <x:v>0</x:v>
      </x:c>
      <x:c r="N23" s="58" t="n">
        <x:f>E23</x:f>
        <x:v>3</x:v>
      </x:c>
    </x:row>
    <x:row r="24">
      <x:c r="A24" s="58" t="str">
        <x:v>E20</x:v>
      </x:c>
      <x:c r="B24" s="58" t="str">
        <x:v>Shaftesbury Capital plc</x:v>
      </x:c>
      <x:c r="C24" s="58" t="n">
        <x:f>COUNTIF('Public Facts'!$B$5:$B$86,A24)</x:f>
        <x:v>3</x:v>
      </x:c>
      <x:c r="D24" s="58" t="n">
        <x:f>COUNTIFS('Public Facts'!$B$5:$B$86,A24,'Public Facts'!$M$5:$M$86,"APPROVED")</x:f>
        <x:v>0</x:v>
      </x:c>
      <x:c r="E24" s="58" t="n">
        <x:f>COUNTIFS('Public Facts'!$B$5:$B$86,A24,'Public Facts'!$M$5:$M$86,"PENDING_REVIEW")</x:f>
        <x:v>3</x:v>
      </x:c>
      <x:c r="F24" s="60" t="n">
        <x:f>IF(C24=0,0,D24/C24)</x:f>
        <x:v>0</x:v>
      </x:c>
      <x:c r="G24" s="58" t="str">
        <x:v>cash_and_cash_equivalents, current_debt, revenue</x:v>
      </x:c>
      <x:c r="H24" s="58" t="n">
        <x:v>1</x:v>
      </x:c>
      <x:c r="I24" s="58" t="str">
        <x:f>IF(D24=C24,"APPROVED",IF(D24&gt;0,"PARTIAL","PENDING"))</x:f>
        <x:v>PENDING</x:v>
      </x:c>
      <x:c r="J24" s="58" t="str">
        <x:v>E1 public evidence only; E3 required for measured share</x:v>
      </x:c>
      <x:c r="L24" s="58" t="str">
        <x:v>Shaftesbury Capital plc</x:v>
      </x:c>
      <x:c r="M24" s="58" t="n">
        <x:f>D24</x:f>
        <x:v>0</x:v>
      </x:c>
      <x:c r="N24" s="58" t="n">
        <x:f>E24</x:f>
        <x:v>3</x:v>
      </x:c>
    </x:row>
  </x:sheetData>
  <x:mergeCells>
    <x:mergeCell ref="A1:J1"/>
    <x:mergeCell ref="A2:J2"/>
  </x:mergeCells>
  <x:conditionalFormatting sqref="I5:I24">
    <x:cfRule type="containsText" dxfId="2" priority="1" operator="containsText" text="APPROVED"/>
    <x:cfRule type="containsText" dxfId="3" priority="2" operator="containsText" text="PENDING"/>
  </x:conditionalFormatting>
  <x:pageMargins left="0.7" right="0.7" top="0.75" bottom="0.75" header="0.3" footer="0.3"/>
  <x:drawing xmlns:r="http://schemas.openxmlformats.org/officeDocument/2006/relationships" r:id="R458cac95bef44c85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3" hidden="0" customWidth="1"/>
    <x:col min="3" max="3" width="15" hidden="0" customWidth="1"/>
    <x:col min="4" max="4" width="30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42" hidden="0" customWidth="1"/>
    <x:col min="12" max="12" width="42" hidden="0" customWidth="1"/>
    <x:col min="13" max="13" width="40" hidden="0" customWidth="1"/>
    <x:col min="14" max="14" width="40" hidden="0" customWidth="1"/>
    <x:col min="15" max="15" width="15" hidden="0" customWidth="1"/>
    <x:col min="16" max="16" width="42" hidden="0" customWidth="1"/>
  </x:cols>
  <x:sheetData>
    <x:row r="1" ht="35" customHeight="1">
      <x:c r="A1" s="3" t="str">
        <x:v>Approved Product Anchors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6" customHeight="1">
      <x:c r="A2" s="7" t="str">
        <x:v>15 active calculations for BHP, Glencore and Shoprite; approved facts only; E1 pooling weight 0.35.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30" customHeight="1">
      <x:c r="A4" s="77" t="str">
        <x:v>Entity ID</x:v>
      </x:c>
      <x:c r="B4" s="77" t="str">
        <x:v>Entity name</x:v>
      </x:c>
      <x:c r="C4" s="77" t="str">
        <x:v>Product</x:v>
      </x:c>
      <x:c r="D4" s="77" t="str">
        <x:v>Anchor</x:v>
      </x:c>
      <x:c r="E4" s="77" t="str">
        <x:v>Low ZAR</x:v>
      </x:c>
      <x:c r="F4" s="77" t="str">
        <x:v>Base ZAR</x:v>
      </x:c>
      <x:c r="G4" s="77" t="str">
        <x:v>High ZAR</x:v>
      </x:c>
      <x:c r="H4" s="77" t="str">
        <x:v>Interval width</x:v>
      </x:c>
      <x:c r="I4" s="77" t="str">
        <x:v>Relative width</x:v>
      </x:c>
      <x:c r="J4" s="77" t="str">
        <x:v>Weight</x:v>
      </x:c>
      <x:c r="K4" s="77" t="str">
        <x:v>Formula</x:v>
      </x:c>
      <x:c r="L4" s="77" t="str">
        <x:v>Assumption</x:v>
      </x:c>
      <x:c r="M4" s="77" t="str">
        <x:v>Fact IDs</x:v>
      </x:c>
      <x:c r="N4" s="77" t="str">
        <x:v>Source pages</x:v>
      </x:c>
      <x:c r="O4" s="77" t="str">
        <x:v>Available date</x:v>
      </x:c>
      <x:c r="P4" s="77" t="str">
        <x:v>Lineage</x:v>
      </x:c>
    </x:row>
    <x:row r="5">
      <x:c r="A5" s="58" t="str">
        <x:v>E01</x:v>
      </x:c>
      <x:c r="B5" s="58" t="str">
        <x:v>BHP Group</x:v>
      </x:c>
      <x:c r="C5" s="58" t="str">
        <x:v>Collections</x:v>
      </x:c>
      <x:c r="D5" s="58" t="str">
        <x:v>Audited cash-collections identity</x:v>
      </x:c>
      <x:c r="E5" s="78" t="n">
        <x:v>815198982400</x:v>
      </x:c>
      <x:c r="F5" s="78" t="n">
        <x:v>926362480000</x:v>
      </x:c>
      <x:c r="G5" s="78" t="n">
        <x:v>1037525977600</x:v>
      </x:c>
      <x:c r="H5" s="78" t="n">
        <x:f>G5-E5</x:f>
        <x:v>222326995200</x:v>
      </x:c>
      <x:c r="I5" s="60" t="n">
        <x:f>IF(F5=0,0,H5/F5)</x:f>
        <x:v>0.24</x:v>
      </x:c>
      <x:c r="J5" s="60" t="n">
        <x:v>0.35</x:v>
      </x:c>
      <x:c r="K5" s="58" t="str">
        <x:v>Revenue + opening trade receivables - closing trade receivables</x:v>
      </x:c>
      <x:c r="L5" s="58" t="str">
        <x:v>Accounting proxy bounded at 88%/112% to allow non-cash and classification effects.</x:v>
      </x:c>
      <x:c r="M5" s="58" t="str">
        <x:v>BHP-2025-REV, BHP-2025-AR-OPEN, BHP-2025-AR-CLOSE</x:v>
      </x:c>
      <x:c r="N5" s="58" t="str">
        <x:v>BHP Annual Report 2025 p.118; BHP Annual Report 2025 p.139</x:v>
      </x:c>
      <x:c r="O5" s="58" t="str">
        <x:v>2025-08-19</x:v>
      </x:c>
      <x:c r="P5" s="58" t="str">
        <x:v>V1 formula frozen; V3.2.0 preserves V3.1.1 approval-authoritative activation; measurement policy 1.1.0</x:v>
      </x:c>
    </x:row>
    <x:row r="6">
      <x:c r="A6" s="58" t="str">
        <x:v>E01</x:v>
      </x:c>
      <x:c r="B6" s="58" t="str">
        <x:v>BHP Group</x:v>
      </x:c>
      <x:c r="C6" s="58" t="str">
        <x:v>Payments</x:v>
      </x:c>
      <x:c r="D6" s="58" t="str">
        <x:v>Audited supplier-payments identity</x:v>
      </x:c>
      <x:c r="E6" s="78" t="n">
        <x:v>511016035200</x:v>
      </x:c>
      <x:c r="F6" s="78" t="n">
        <x:v>580700040000</x:v>
      </x:c>
      <x:c r="G6" s="78" t="n">
        <x:v>650384044800</x:v>
      </x:c>
      <x:c r="H6" s="78" t="n">
        <x:f>G6-E6</x:f>
        <x:v>139368009600</x:v>
      </x:c>
      <x:c r="I6" s="60" t="n">
        <x:f>IF(F6=0,0,H6/F6)</x:f>
        <x:v>0.24</x:v>
      </x:c>
      <x:c r="J6" s="60" t="n">
        <x:v>0.35</x:v>
      </x:c>
      <x:c r="K6" s="58" t="str">
        <x:v>Cost base + closing inventory - opening inventory + opening trade payables - closing trade payables</x:v>
      </x:c>
      <x:c r="L6" s="58" t="str">
        <x:v>Accounting proxy bounded at 88%/112%; BHP's cost base is expenses excluding net finance costs.</x:v>
      </x:c>
      <x:c r="M6" s="58" t="str">
        <x:v>BHP-2025-COST, BHP-2025-INV-OPEN, BHP-2025-INV-CLOSE, BHP-2025-AP-OPEN, BHP-2025-AP-CLOSE</x:v>
      </x:c>
      <x:c r="N6" s="58" t="str">
        <x:v>BHP Annual Report 2025 p.118; BHP Annual Report 2025 p.139</x:v>
      </x:c>
      <x:c r="O6" s="58" t="str">
        <x:v>2025-08-19</x:v>
      </x:c>
      <x:c r="P6" s="58" t="str">
        <x:v>V1 formula frozen; V3.2.0 preserves V3.1.1 approval-authoritative activation; measurement policy 1.1.0</x:v>
      </x:c>
    </x:row>
    <x:row r="7">
      <x:c r="A7" s="58" t="str">
        <x:v>E01</x:v>
      </x:c>
      <x:c r="B7" s="58" t="str">
        <x:v>BHP Group</x:v>
      </x:c>
      <x:c r="C7" s="58" t="str">
        <x:v>Cross-border FX</x:v>
      </x:c>
      <x:c r="D7" s="58" t="str">
        <x:v>Audited FX exposure/notional turnover range</x:v>
      </x:c>
      <x:c r="E7" s="78" t="n">
        <x:v>91496780000</x:v>
      </x:c>
      <x:c r="F7" s="78" t="n">
        <x:v>182993560000</x:v>
      </x:c>
      <x:c r="G7" s="78" t="n">
        <x:v>365987120000</x:v>
      </x:c>
      <x:c r="H7" s="78" t="n">
        <x:f>G7-E7</x:f>
        <x:v>274490340000</x:v>
      </x:c>
      <x:c r="I7" s="60" t="n">
        <x:f>IF(F7=0,0,H7/F7)</x:f>
        <x:v>1.5</x:v>
      </x:c>
      <x:c r="J7" s="60" t="n">
        <x:v>0.35</x:v>
      </x:c>
      <x:c r="K7" s="58" t="str">
        <x:v>Audited FX point exposure or hedge notional × annual turnover multiple</x:v>
      </x:c>
      <x:c r="L7" s="58" t="str">
        <x:v>Annual turnover low/base/high = 1.0x/2.0x/4.0x the disclosed point exposure/notional.</x:v>
      </x:c>
      <x:c r="M7" s="58" t="str">
        <x:v>BHP-2025-FX</x:v>
      </x:c>
      <x:c r="N7" s="58" t="str">
        <x:v>BHP Annual Report 2025 p.160</x:v>
      </x:c>
      <x:c r="O7" s="58" t="str">
        <x:v>2025-08-19</x:v>
      </x:c>
      <x:c r="P7" s="58" t="str">
        <x:v>V1 formula frozen; V3.2.0 preserves V3.1.1 approval-authoritative activation; measurement policy 1.1.0</x:v>
      </x:c>
    </x:row>
    <x:row r="8">
      <x:c r="A8" s="58" t="str">
        <x:v>E01</x:v>
      </x:c>
      <x:c r="B8" s="58" t="str">
        <x:v>BHP Group</x:v>
      </x:c>
      <x:c r="C8" s="58" t="str">
        <x:v>Liquidity</x:v>
      </x:c>
      <x:c r="D8" s="58" t="str">
        <x:v>Audited debt-maturity liquidity range</x:v>
      </x:c>
      <x:c r="E8" s="78" t="n">
        <x:v>27031110000</x:v>
      </x:c>
      <x:c r="F8" s="78" t="n">
        <x:v>36041480000</x:v>
      </x:c>
      <x:c r="G8" s="78" t="n">
        <x:v>54062220000</x:v>
      </x:c>
      <x:c r="H8" s="78" t="n">
        <x:f>G8-E8</x:f>
        <x:v>27031110000</x:v>
      </x:c>
      <x:c r="I8" s="60" t="n">
        <x:f>IF(F8=0,0,H8/F8)</x:f>
        <x:v>0.75</x:v>
      </x:c>
      <x:c r="J8" s="60" t="n">
        <x:v>0.35</x:v>
      </x:c>
      <x:c r="K8" s="58" t="str">
        <x:v>Current debt maturity/refinancing amount × declared liquidity multiple</x:v>
      </x:c>
      <x:c r="L8" s="58" t="str">
        <x:v>Liquidity low/base/high = 0.75x/1.00x/1.50x current debt and facilities.</x:v>
      </x:c>
      <x:c r="M8" s="58" t="str">
        <x:v>BHP-2025-DEBT</x:v>
      </x:c>
      <x:c r="N8" s="58" t="str">
        <x:v>BHP Annual Report 2025 p.119</x:v>
      </x:c>
      <x:c r="O8" s="58" t="str">
        <x:v>2025-08-19</x:v>
      </x:c>
      <x:c r="P8" s="58" t="str">
        <x:v>V1 formula frozen; V3.2.0 preserves V3.1.1 approval-authoritative activation; measurement policy 1.1.0</x:v>
      </x:c>
    </x:row>
    <x:row r="9">
      <x:c r="A9" s="58" t="str">
        <x:v>E01</x:v>
      </x:c>
      <x:c r="B9" s="58" t="str">
        <x:v>BHP Group</x:v>
      </x:c>
      <x:c r="C9" s="58" t="str">
        <x:v>Trade finance</x:v>
      </x:c>
      <x:c r="D9" s="58" t="str">
        <x:v>Audited payments base × trade-utilisation range</x:v>
      </x:c>
      <x:c r="E9" s="78" t="n">
        <x:v>5807000400</x:v>
      </x:c>
      <x:c r="F9" s="78" t="n">
        <x:v>17421001200</x:v>
      </x:c>
      <x:c r="G9" s="78" t="n">
        <x:v>34842002400</x:v>
      </x:c>
      <x:c r="H9" s="78" t="n">
        <x:f>G9-E9</x:f>
        <x:v>29035002000</x:v>
      </x:c>
      <x:c r="I9" s="60" t="n">
        <x:f>IF(F9=0,0,H9/F9)</x:f>
        <x:v>1.6666666666666667</x:v>
      </x:c>
      <x:c r="J9" s="60" t="n">
        <x:v>0.35</x:v>
      </x:c>
      <x:c r="K9" s="58" t="str">
        <x:v>Audited supplier-payments proxy × declared sector trade-finance utilisation</x:v>
      </x:c>
      <x:c r="L9" s="58" t="str">
        <x:v>Sector utilisation low/base/high = 1.0%/3.0%/6.0%.</x:v>
      </x:c>
      <x:c r="M9" s="58" t="str">
        <x:v>BHP-2025-COST, BHP-2025-INV-OPEN, BHP-2025-INV-CLOSE, BHP-2025-AP-OPEN, BHP-2025-AP-CLOSE</x:v>
      </x:c>
      <x:c r="N9" s="58" t="str">
        <x:v>BHP Annual Report 2025 p.118; BHP Annual Report 2025 p.139</x:v>
      </x:c>
      <x:c r="O9" s="58" t="str">
        <x:v>2025-08-19</x:v>
      </x:c>
      <x:c r="P9" s="58" t="str">
        <x:v>V1 formula frozen; V3.2.0 preserves V3.1.1 approval-authoritative activation; measurement policy 1.1.0</x:v>
      </x:c>
    </x:row>
    <x:row r="10">
      <x:c r="A10" s="58" t="str">
        <x:v>E02</x:v>
      </x:c>
      <x:c r="B10" s="58" t="str">
        <x:v>Glencore</x:v>
      </x:c>
      <x:c r="C10" s="58" t="str">
        <x:v>Collections</x:v>
      </x:c>
      <x:c r="D10" s="58" t="str">
        <x:v>Audited cash-collections identity</x:v>
      </x:c>
      <x:c r="E10" s="78" t="n">
        <x:v>3850380248000</x:v>
      </x:c>
      <x:c r="F10" s="78" t="n">
        <x:v>4375432100000</x:v>
      </x:c>
      <x:c r="G10" s="78" t="n">
        <x:v>4900483952000</x:v>
      </x:c>
      <x:c r="H10" s="78" t="n">
        <x:f>G10-E10</x:f>
        <x:v>1050103704000</x:v>
      </x:c>
      <x:c r="I10" s="60" t="n">
        <x:f>IF(F10=0,0,H10/F10)</x:f>
        <x:v>0.24</x:v>
      </x:c>
      <x:c r="J10" s="60" t="n">
        <x:v>0.35</x:v>
      </x:c>
      <x:c r="K10" s="58" t="str">
        <x:v>Revenue + opening trade receivables - closing trade receivables</x:v>
      </x:c>
      <x:c r="L10" s="58" t="str">
        <x:v>Accounting proxy bounded at 88%/112% to allow non-cash and classification effects.</x:v>
      </x:c>
      <x:c r="M10" s="58" t="str">
        <x:v>GLEN-2025-REV, GLEN-2025-AR-OPEN, GLEN-2025-AR-CLOSE</x:v>
      </x:c>
      <x:c r="N10" s="58" t="str">
        <x:v>Glencore Annual Report 2025 p.136; Glencore Annual Report 2025 p.186</x:v>
      </x:c>
      <x:c r="O10" s="58" t="str">
        <x:v>2026-03-10</x:v>
      </x:c>
      <x:c r="P10" s="58" t="str">
        <x:v>V1 formula frozen; V3.2.0 preserves V3.1.1 approval-authoritative activation; measurement policy 1.1.0</x:v>
      </x:c>
    </x:row>
    <x:row r="11">
      <x:c r="A11" s="58" t="str">
        <x:v>E02</x:v>
      </x:c>
      <x:c r="B11" s="58" t="str">
        <x:v>Glencore</x:v>
      </x:c>
      <x:c r="C11" s="58" t="str">
        <x:v>Payments</x:v>
      </x:c>
      <x:c r="D11" s="58" t="str">
        <x:v>Audited supplier-payments identity</x:v>
      </x:c>
      <x:c r="E11" s="78" t="n">
        <x:v>3769910232000</x:v>
      </x:c>
      <x:c r="F11" s="78" t="n">
        <x:v>4283988900000</x:v>
      </x:c>
      <x:c r="G11" s="78" t="n">
        <x:v>4798067568000</x:v>
      </x:c>
      <x:c r="H11" s="78" t="n">
        <x:f>G11-E11</x:f>
        <x:v>1028157336000</x:v>
      </x:c>
      <x:c r="I11" s="60" t="n">
        <x:f>IF(F11=0,0,H11/F11)</x:f>
        <x:v>0.24</x:v>
      </x:c>
      <x:c r="J11" s="60" t="n">
        <x:v>0.35</x:v>
      </x:c>
      <x:c r="K11" s="58" t="str">
        <x:v>Cost base + closing inventory - opening inventory + opening trade payables - closing trade payables</x:v>
      </x:c>
      <x:c r="L11" s="58" t="str">
        <x:v>Accounting proxy bounded at 88%/112%; BHP's cost base is expenses excluding net finance costs.</x:v>
      </x:c>
      <x:c r="M11" s="58" t="str">
        <x:v>GLEN-2025-COST, GLEN-2025-INV-OPEN, GLEN-2025-INV-CLOSE, GLEN-2025-AP-OPEN, GLEN-2025-AP-CLOSE</x:v>
      </x:c>
      <x:c r="N11" s="58" t="str">
        <x:v>Glencore Annual Report 2025 p.136; Glencore Annual Report 2025 p.185; Glencore Annual Report 2025 p.205</x:v>
      </x:c>
      <x:c r="O11" s="58" t="str">
        <x:v>2026-03-10</x:v>
      </x:c>
      <x:c r="P11" s="58" t="str">
        <x:v>V1 formula frozen; V3.2.0 preserves V3.1.1 approval-authoritative activation; measurement policy 1.1.0</x:v>
      </x:c>
    </x:row>
    <x:row r="12">
      <x:c r="A12" s="58" t="str">
        <x:v>E02</x:v>
      </x:c>
      <x:c r="B12" s="58" t="str">
        <x:v>Glencore</x:v>
      </x:c>
      <x:c r="C12" s="58" t="str">
        <x:v>Cross-border FX</x:v>
      </x:c>
      <x:c r="D12" s="58" t="str">
        <x:v>Audited FX exposure/notional turnover range</x:v>
      </x:c>
      <x:c r="E12" s="78" t="n">
        <x:v>135503820000</x:v>
      </x:c>
      <x:c r="F12" s="78" t="n">
        <x:v>271007640000</x:v>
      </x:c>
      <x:c r="G12" s="78" t="n">
        <x:v>542015280000</x:v>
      </x:c>
      <x:c r="H12" s="78" t="n">
        <x:f>G12-E12</x:f>
        <x:v>406511460000</x:v>
      </x:c>
      <x:c r="I12" s="60" t="n">
        <x:f>IF(F12=0,0,H12/F12)</x:f>
        <x:v>1.5</x:v>
      </x:c>
      <x:c r="J12" s="60" t="n">
        <x:v>0.35</x:v>
      </x:c>
      <x:c r="K12" s="58" t="str">
        <x:v>Audited FX point exposure or hedge notional × annual turnover multiple</x:v>
      </x:c>
      <x:c r="L12" s="58" t="str">
        <x:v>Annual turnover low/base/high = 1.0x/2.0x/4.0x the disclosed point exposure/notional.</x:v>
      </x:c>
      <x:c r="M12" s="58" t="str">
        <x:v>GLEN-2025-FX</x:v>
      </x:c>
      <x:c r="N12" s="58" t="str">
        <x:v>Glencore Annual Report 2025 p.212</x:v>
      </x:c>
      <x:c r="O12" s="58" t="str">
        <x:v>2026-03-10</x:v>
      </x:c>
      <x:c r="P12" s="58" t="str">
        <x:v>V1 formula frozen; V3.2.0 preserves V3.1.1 approval-authoritative activation; measurement policy 1.1.0</x:v>
      </x:c>
    </x:row>
    <x:row r="13">
      <x:c r="A13" s="58" t="str">
        <x:v>E02</x:v>
      </x:c>
      <x:c r="B13" s="58" t="str">
        <x:v>Glencore</x:v>
      </x:c>
      <x:c r="C13" s="58" t="str">
        <x:v>Liquidity</x:v>
      </x:c>
      <x:c r="D13" s="58" t="str">
        <x:v>Audited debt-maturity liquidity range</x:v>
      </x:c>
      <x:c r="E13" s="78" t="n">
        <x:v>194147130000</x:v>
      </x:c>
      <x:c r="F13" s="78" t="n">
        <x:v>258862840000</x:v>
      </x:c>
      <x:c r="G13" s="78" t="n">
        <x:v>388294260000</x:v>
      </x:c>
      <x:c r="H13" s="78" t="n">
        <x:f>G13-E13</x:f>
        <x:v>194147130000</x:v>
      </x:c>
      <x:c r="I13" s="60" t="n">
        <x:f>IF(F13=0,0,H13/F13)</x:f>
        <x:v>0.75</x:v>
      </x:c>
      <x:c r="J13" s="60" t="n">
        <x:v>0.35</x:v>
      </x:c>
      <x:c r="K13" s="58" t="str">
        <x:v>Current debt maturity/refinancing amount × declared liquidity multiple</x:v>
      </x:c>
      <x:c r="L13" s="58" t="str">
        <x:v>Liquidity low/base/high = 0.75x/1.00x/1.50x current debt and facilities.</x:v>
      </x:c>
      <x:c r="M13" s="58" t="str">
        <x:v>GLEN-2025-DEBT</x:v>
      </x:c>
      <x:c r="N13" s="58" t="str">
        <x:v>Glencore Annual Report 2025 p.138</x:v>
      </x:c>
      <x:c r="O13" s="58" t="str">
        <x:v>2026-03-10</x:v>
      </x:c>
      <x:c r="P13" s="58" t="str">
        <x:v>V1 formula frozen; V3.2.0 preserves V3.1.1 approval-authoritative activation; measurement policy 1.1.0</x:v>
      </x:c>
    </x:row>
    <x:row r="14">
      <x:c r="A14" s="58" t="str">
        <x:v>E02</x:v>
      </x:c>
      <x:c r="B14" s="58" t="str">
        <x:v>Glencore</x:v>
      </x:c>
      <x:c r="C14" s="58" t="str">
        <x:v>Trade finance</x:v>
      </x:c>
      <x:c r="D14" s="58" t="str">
        <x:v>Audited payments base × trade-utilisation range</x:v>
      </x:c>
      <x:c r="E14" s="78" t="n">
        <x:v>42839889000</x:v>
      </x:c>
      <x:c r="F14" s="78" t="n">
        <x:v>128519667000</x:v>
      </x:c>
      <x:c r="G14" s="78" t="n">
        <x:v>257039334000</x:v>
      </x:c>
      <x:c r="H14" s="78" t="n">
        <x:f>G14-E14</x:f>
        <x:v>214199445000</x:v>
      </x:c>
      <x:c r="I14" s="60" t="n">
        <x:f>IF(F14=0,0,H14/F14)</x:f>
        <x:v>1.6666666666666667</x:v>
      </x:c>
      <x:c r="J14" s="60" t="n">
        <x:v>0.35</x:v>
      </x:c>
      <x:c r="K14" s="58" t="str">
        <x:v>Audited supplier-payments proxy × declared sector trade-finance utilisation</x:v>
      </x:c>
      <x:c r="L14" s="58" t="str">
        <x:v>Sector utilisation low/base/high = 1.0%/3.0%/6.0%.</x:v>
      </x:c>
      <x:c r="M14" s="58" t="str">
        <x:v>GLEN-2025-COST, GLEN-2025-INV-OPEN, GLEN-2025-INV-CLOSE, GLEN-2025-AP-OPEN, GLEN-2025-AP-CLOSE</x:v>
      </x:c>
      <x:c r="N14" s="58" t="str">
        <x:v>Glencore Annual Report 2025 p.136; Glencore Annual Report 2025 p.185; Glencore Annual Report 2025 p.205</x:v>
      </x:c>
      <x:c r="O14" s="58" t="str">
        <x:v>2026-03-10</x:v>
      </x:c>
      <x:c r="P14" s="58" t="str">
        <x:v>V1 formula frozen; V3.2.0 preserves V3.1.1 approval-authoritative activation; measurement policy 1.1.0</x:v>
      </x:c>
    </x:row>
    <x:row r="15">
      <x:c r="A15" s="58" t="str">
        <x:v>E09</x:v>
      </x:c>
      <x:c r="B15" s="58" t="str">
        <x:v>Shoprite Holdings</x:v>
      </x:c>
      <x:c r="C15" s="58" t="str">
        <x:v>Collections</x:v>
      </x:c>
      <x:c r="D15" s="58" t="str">
        <x:v>Audited cash-collections identity</x:v>
      </x:c>
      <x:c r="E15" s="78" t="n">
        <x:v>226252400000</x:v>
      </x:c>
      <x:c r="F15" s="78" t="n">
        <x:v>257105000000</x:v>
      </x:c>
      <x:c r="G15" s="78" t="n">
        <x:v>287957600000</x:v>
      </x:c>
      <x:c r="H15" s="78" t="n">
        <x:f>G15-E15</x:f>
        <x:v>61705200000</x:v>
      </x:c>
      <x:c r="I15" s="60" t="n">
        <x:f>IF(F15=0,0,H15/F15)</x:f>
        <x:v>0.24</x:v>
      </x:c>
      <x:c r="J15" s="60" t="n">
        <x:v>0.35</x:v>
      </x:c>
      <x:c r="K15" s="58" t="str">
        <x:v>Revenue + opening trade receivables - closing trade receivables</x:v>
      </x:c>
      <x:c r="L15" s="58" t="str">
        <x:v>Accounting proxy bounded at 88%/112% to allow non-cash and classification effects.</x:v>
      </x:c>
      <x:c r="M15" s="58" t="str">
        <x:v>SHP-2025-REV, SHP-2025-AR-OPEN, SHP-2025-AR-CLOSE</x:v>
      </x:c>
      <x:c r="N15" s="58" t="str">
        <x:v>Shoprite Holdings Annual Financial Statements 2025 p.18; Shoprite Holdings Annual Financial Statements 2025 p.19</x:v>
      </x:c>
      <x:c r="O15" s="58" t="str">
        <x:v>2025-10-13</x:v>
      </x:c>
      <x:c r="P15" s="58" t="str">
        <x:v>V1 formula frozen; V3.2.0 preserves V3.1.1 approval-authoritative activation; measurement policy 1.1.0</x:v>
      </x:c>
    </x:row>
    <x:row r="16">
      <x:c r="A16" s="58" t="str">
        <x:v>E09</x:v>
      </x:c>
      <x:c r="B16" s="58" t="str">
        <x:v>Shoprite Holdings</x:v>
      </x:c>
      <x:c r="C16" s="58" t="str">
        <x:v>Payments</x:v>
      </x:c>
      <x:c r="D16" s="58" t="str">
        <x:v>Audited supplier-payments identity</x:v>
      </x:c>
      <x:c r="E16" s="78" t="n">
        <x:v>168102000000</x:v>
      </x:c>
      <x:c r="F16" s="78" t="n">
        <x:v>191025000000</x:v>
      </x:c>
      <x:c r="G16" s="78" t="n">
        <x:v>213948000000</x:v>
      </x:c>
      <x:c r="H16" s="78" t="n">
        <x:f>G16-E16</x:f>
        <x:v>45846000000</x:v>
      </x:c>
      <x:c r="I16" s="60" t="n">
        <x:f>IF(F16=0,0,H16/F16)</x:f>
        <x:v>0.24</x:v>
      </x:c>
      <x:c r="J16" s="60" t="n">
        <x:v>0.35</x:v>
      </x:c>
      <x:c r="K16" s="58" t="str">
        <x:v>Cost base + closing inventory - opening inventory + opening trade payables - closing trade payables</x:v>
      </x:c>
      <x:c r="L16" s="58" t="str">
        <x:v>Accounting proxy bounded at 88%/112%; BHP's cost base is expenses excluding net finance costs.</x:v>
      </x:c>
      <x:c r="M16" s="58" t="str">
        <x:v>SHP-2025-COST, SHP-2025-INV-OPEN, SHP-2025-INV-CLOSE, SHP-2025-AP-OPEN, SHP-2025-AP-CLOSE</x:v>
      </x:c>
      <x:c r="N16" s="58" t="str">
        <x:v>Shoprite Holdings Annual Financial Statements 2025 p.18; Shoprite Holdings Annual Financial Statements 2025 p.19</x:v>
      </x:c>
      <x:c r="O16" s="58" t="str">
        <x:v>2025-10-13</x:v>
      </x:c>
      <x:c r="P16" s="58" t="str">
        <x:v>V1 formula frozen; V3.2.0 preserves V3.1.1 approval-authoritative activation; measurement policy 1.1.0</x:v>
      </x:c>
    </x:row>
    <x:row r="17">
      <x:c r="A17" s="58" t="str">
        <x:v>E09</x:v>
      </x:c>
      <x:c r="B17" s="58" t="str">
        <x:v>Shoprite Holdings</x:v>
      </x:c>
      <x:c r="C17" s="58" t="str">
        <x:v>Cross-border FX</x:v>
      </x:c>
      <x:c r="D17" s="58" t="str">
        <x:v>Audited FX exposure/notional turnover range</x:v>
      </x:c>
      <x:c r="E17" s="78" t="n">
        <x:v>3572000000</x:v>
      </x:c>
      <x:c r="F17" s="78" t="n">
        <x:v>7144000000</x:v>
      </x:c>
      <x:c r="G17" s="78" t="n">
        <x:v>14288000000</x:v>
      </x:c>
      <x:c r="H17" s="78" t="n">
        <x:f>G17-E17</x:f>
        <x:v>10716000000</x:v>
      </x:c>
      <x:c r="I17" s="60" t="n">
        <x:f>IF(F17=0,0,H17/F17)</x:f>
        <x:v>1.5</x:v>
      </x:c>
      <x:c r="J17" s="60" t="n">
        <x:v>0.35</x:v>
      </x:c>
      <x:c r="K17" s="58" t="str">
        <x:v>Audited FX point exposure or hedge notional × annual turnover multiple</x:v>
      </x:c>
      <x:c r="L17" s="58" t="str">
        <x:v>Annual turnover low/base/high = 1.0x/2.0x/4.0x the disclosed point exposure/notional.</x:v>
      </x:c>
      <x:c r="M17" s="58" t="str">
        <x:v>SHP-2025-FX</x:v>
      </x:c>
      <x:c r="N17" s="58" t="str">
        <x:v>Shoprite Holdings Annual Financial Statements 2025 p.118-119</x:v>
      </x:c>
      <x:c r="O17" s="58" t="str">
        <x:v>2025-10-13</x:v>
      </x:c>
      <x:c r="P17" s="58" t="str">
        <x:v>V1 formula frozen; V3.2.0 preserves V3.1.1 approval-authoritative activation; measurement policy 1.1.0</x:v>
      </x:c>
    </x:row>
    <x:row r="18">
      <x:c r="A18" s="58" t="str">
        <x:v>E09</x:v>
      </x:c>
      <x:c r="B18" s="58" t="str">
        <x:v>Shoprite Holdings</x:v>
      </x:c>
      <x:c r="C18" s="58" t="str">
        <x:v>Liquidity</x:v>
      </x:c>
      <x:c r="D18" s="58" t="str">
        <x:v>Audited debt-maturity liquidity range</x:v>
      </x:c>
      <x:c r="E18" s="78" t="n">
        <x:v>1764000000</x:v>
      </x:c>
      <x:c r="F18" s="78" t="n">
        <x:v>2352000000</x:v>
      </x:c>
      <x:c r="G18" s="78" t="n">
        <x:v>3528000000</x:v>
      </x:c>
      <x:c r="H18" s="78" t="n">
        <x:f>G18-E18</x:f>
        <x:v>1764000000</x:v>
      </x:c>
      <x:c r="I18" s="60" t="n">
        <x:f>IF(F18=0,0,H18/F18)</x:f>
        <x:v>0.75</x:v>
      </x:c>
      <x:c r="J18" s="60" t="n">
        <x:v>0.35</x:v>
      </x:c>
      <x:c r="K18" s="58" t="str">
        <x:v>Current debt maturity/refinancing amount × declared liquidity multiple</x:v>
      </x:c>
      <x:c r="L18" s="58" t="str">
        <x:v>Liquidity low/base/high = 0.75x/1.00x/1.50x current debt and facilities.</x:v>
      </x:c>
      <x:c r="M18" s="58" t="str">
        <x:v>SHP-2025-DEBT, SHP-2025-STF</x:v>
      </x:c>
      <x:c r="N18" s="58" t="str">
        <x:v>Shoprite Holdings Annual Financial Statements 2025 p.18</x:v>
      </x:c>
      <x:c r="O18" s="58" t="str">
        <x:v>2025-10-13</x:v>
      </x:c>
      <x:c r="P18" s="58" t="str">
        <x:v>V1 formula frozen; V3.2.0 preserves V3.1.1 approval-authoritative activation; measurement policy 1.1.0</x:v>
      </x:c>
    </x:row>
    <x:row r="19">
      <x:c r="A19" s="58" t="str">
        <x:v>E09</x:v>
      </x:c>
      <x:c r="B19" s="58" t="str">
        <x:v>Shoprite Holdings</x:v>
      </x:c>
      <x:c r="C19" s="58" t="str">
        <x:v>Trade finance</x:v>
      </x:c>
      <x:c r="D19" s="58" t="str">
        <x:v>Audited payments base × trade-utilisation range</x:v>
      </x:c>
      <x:c r="E19" s="78" t="n">
        <x:v>955125000</x:v>
      </x:c>
      <x:c r="F19" s="78" t="n">
        <x:v>2865375000</x:v>
      </x:c>
      <x:c r="G19" s="78" t="n">
        <x:v>7641000000</x:v>
      </x:c>
      <x:c r="H19" s="78" t="n">
        <x:f>G19-E19</x:f>
        <x:v>6685875000</x:v>
      </x:c>
      <x:c r="I19" s="60" t="n">
        <x:f>IF(F19=0,0,H19/F19)</x:f>
        <x:v>2.3333333333333335</x:v>
      </x:c>
      <x:c r="J19" s="60" t="n">
        <x:v>0.35</x:v>
      </x:c>
      <x:c r="K19" s="58" t="str">
        <x:v>Audited supplier-payments proxy × declared sector trade-finance utilisation</x:v>
      </x:c>
      <x:c r="L19" s="58" t="str">
        <x:v>Sector utilisation low/base/high = 0.5%/1.5%/4.0%.</x:v>
      </x:c>
      <x:c r="M19" s="58" t="str">
        <x:v>SHP-2025-COST, SHP-2025-INV-OPEN, SHP-2025-INV-CLOSE, SHP-2025-AP-OPEN, SHP-2025-AP-CLOSE</x:v>
      </x:c>
      <x:c r="N19" s="58" t="str">
        <x:v>Shoprite Holdings Annual Financial Statements 2025 p.18; Shoprite Holdings Annual Financial Statements 2025 p.19</x:v>
      </x:c>
      <x:c r="O19" s="58" t="str">
        <x:v>2025-10-13</x:v>
      </x:c>
      <x:c r="P19" s="58" t="str">
        <x:v>V1 formula frozen; V3.2.0 preserves V3.1.1 approval-authoritative activation; measurement policy 1.1.0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15" hidden="0" customWidth="1"/>
    <x:col min="4" max="4" width="23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48" hidden="0" customWidth="1"/>
  </x:cols>
  <x:sheetData>
    <x:row r="1" ht="35" customHeight="1">
      <x:c r="A1" s="3" t="str">
        <x:v>V3.2.0 Wallet Decision Impact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26" customHeight="1">
      <x:c r="A2" s="7" t="str">
        <x:v>The complete 20 x 5 surface: A, T, q, q*, contestable gap, economics and approval boundary.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4" ht="30" customHeight="1">
      <x:c r="A4" s="54" t="str">
        <x:v>Rank</x:v>
      </x:c>
      <x:c r="B4" s="54" t="str">
        <x:v>Opportunity ID</x:v>
      </x:c>
      <x:c r="C4" s="54" t="str">
        <x:v>Entity ID</x:v>
      </x:c>
      <x:c r="D4" s="54" t="str">
        <x:v>Client</x:v>
      </x:c>
      <x:c r="E4" s="54" t="str">
        <x:v>Sector</x:v>
      </x:c>
      <x:c r="F4" s="54" t="str">
        <x:v>Product</x:v>
      </x:c>
      <x:c r="G4" s="54" t="str">
        <x:v>Approval state</x:v>
      </x:c>
      <x:c r="H4" s="54" t="str">
        <x:v>Evidence tier</x:v>
      </x:c>
      <x:c r="I4" s="54" t="str">
        <x:v>Observed A</x:v>
      </x:c>
      <x:c r="J4" s="54" t="str">
        <x:v>T P10</x:v>
      </x:c>
      <x:c r="K4" s="54" t="str">
        <x:v>T P50</x:v>
      </x:c>
      <x:c r="L4" s="54" t="str">
        <x:v>T P90</x:v>
      </x:c>
      <x:c r="M4" s="54" t="str">
        <x:v>q P10</x:v>
      </x:c>
      <x:c r="N4" s="54" t="str">
        <x:v>q P50</x:v>
      </x:c>
      <x:c r="O4" s="54" t="str">
        <x:v>q P90</x:v>
      </x:c>
      <x:c r="P4" s="54" t="str">
        <x:v>q*</x:v>
      </x:c>
      <x:c r="Q4" s="54" t="str">
        <x:v>G P50</x:v>
      </x:c>
      <x:c r="R4" s="54" t="str">
        <x:v>Contribution P50 ZAR</x:v>
      </x:c>
      <x:c r="S4" s="54" t="str">
        <x:v>Action now</x:v>
      </x:c>
      <x:c r="T4" s="54" t="str">
        <x:v>Claim boundary</x:v>
      </x:c>
    </x:row>
    <x:row r="5">
      <x:c r="A5" s="58" t="n">
        <x:v>1</x:v>
      </x:c>
      <x:c r="B5" s="58" t="str">
        <x:v>E02-trade-finance</x:v>
      </x:c>
      <x:c r="C5" s="58" t="str">
        <x:v>E02</x:v>
      </x:c>
      <x:c r="D5" s="58" t="str">
        <x:v>Glencore</x:v>
      </x:c>
      <x:c r="E5" s="58" t="str">
        <x:v>mining</x:v>
      </x:c>
      <x:c r="F5" s="58" t="str">
        <x:v>Trade finance</x:v>
      </x:c>
      <x:c r="G5" s="58" t="str">
        <x:v>APPROVED</x:v>
      </x:c>
      <x:c r="H5" s="58" t="str">
        <x:v>E1</x:v>
      </x:c>
      <x:c r="I5" s="79" t="n">
        <x:v>1085073576</x:v>
      </x:c>
      <x:c r="J5" s="79" t="n">
        <x:v>8603362330</x:v>
      </x:c>
      <x:c r="K5" s="79" t="n">
        <x:v>14991302366</x:v>
      </x:c>
      <x:c r="L5" s="79" t="n">
        <x:v>36007930395</x:v>
      </x:c>
      <x:c r="M5" s="60" t="n">
        <x:v>0.03013429</x:v>
      </x:c>
      <x:c r="N5" s="60" t="n">
        <x:v>0.07238021</x:v>
      </x:c>
      <x:c r="O5" s="60" t="n">
        <x:v>0.12612205</x:v>
      </x:c>
      <x:c r="P5" s="60" t="n">
        <x:v>0.4</x:v>
      </x:c>
      <x:c r="Q5" s="78" t="n">
        <x:v>4911447370</x:v>
      </x:c>
      <x:c r="R5" s="78" t="n">
        <x:v>17018165</x:v>
      </x:c>
      <x:c r="S5" s="58" t="str">
        <x:v>VALIDATE_WALLET_AND_FEASIBILITY</x:v>
      </x:c>
      <x:c r="T5" s="58" t="str">
        <x:v>POSTERIOR/SCENARIO; ACTIVATED</x:v>
      </x:c>
    </x:row>
    <x:row r="6">
      <x:c r="A6" s="58" t="n">
        <x:v>2</x:v>
      </x:c>
      <x:c r="B6" s="58" t="str">
        <x:v>E01-trade-finance</x:v>
      </x:c>
      <x:c r="C6" s="58" t="str">
        <x:v>E01</x:v>
      </x:c>
      <x:c r="D6" s="58" t="str">
        <x:v>BHP Group</x:v>
      </x:c>
      <x:c r="E6" s="58" t="str">
        <x:v>mining</x:v>
      </x:c>
      <x:c r="F6" s="58" t="str">
        <x:v>Trade finance</x:v>
      </x:c>
      <x:c r="G6" s="58" t="str">
        <x:v>APPROVED</x:v>
      </x:c>
      <x:c r="H6" s="58" t="str">
        <x:v>E1</x:v>
      </x:c>
      <x:c r="I6" s="79" t="n">
        <x:v>1444550118</x:v>
      </x:c>
      <x:c r="J6" s="79" t="n">
        <x:v>5152199053</x:v>
      </x:c>
      <x:c r="K6" s="79" t="n">
        <x:v>8926976666</x:v>
      </x:c>
      <x:c r="L6" s="79" t="n">
        <x:v>22082831233</x:v>
      </x:c>
      <x:c r="M6" s="60" t="n">
        <x:v>0.06541509</x:v>
      </x:c>
      <x:c r="N6" s="60" t="n">
        <x:v>0.16181852</x:v>
      </x:c>
      <x:c r="O6" s="60" t="n">
        <x:v>0.28037549</x:v>
      </x:c>
      <x:c r="P6" s="60" t="n">
        <x:v>0.4</x:v>
      </x:c>
      <x:c r="Q6" s="78" t="n">
        <x:v>2126240548</x:v>
      </x:c>
      <x:c r="R6" s="78" t="n">
        <x:v>7367424</x:v>
      </x:c>
      <x:c r="S6" s="58" t="str">
        <x:v>VALIDATE_WALLET_AND_FEASIBILITY</x:v>
      </x:c>
      <x:c r="T6" s="58" t="str">
        <x:v>POSTERIOR/SCENARIO; ACTIVATED</x:v>
      </x:c>
    </x:row>
    <x:row r="7">
      <x:c r="A7" s="58" t="n">
        <x:v>3</x:v>
      </x:c>
      <x:c r="B7" s="58" t="str">
        <x:v>E02-cross-border-fx</x:v>
      </x:c>
      <x:c r="C7" s="58" t="str">
        <x:v>E02</x:v>
      </x:c>
      <x:c r="D7" s="58" t="str">
        <x:v>Glencore</x:v>
      </x:c>
      <x:c r="E7" s="58" t="str">
        <x:v>mining</x:v>
      </x:c>
      <x:c r="F7" s="58" t="str">
        <x:v>Cross-border FX</x:v>
      </x:c>
      <x:c r="G7" s="58" t="str">
        <x:v>APPROVED</x:v>
      </x:c>
      <x:c r="H7" s="58" t="str">
        <x:v>E1</x:v>
      </x:c>
      <x:c r="I7" s="79" t="n">
        <x:v>2320701125</x:v>
      </x:c>
      <x:c r="J7" s="79" t="n">
        <x:v>18036954730</x:v>
      </x:c>
      <x:c r="K7" s="79" t="n">
        <x:v>29075297991</x:v>
      </x:c>
      <x:c r="L7" s="79" t="n">
        <x:v>60403577441</x:v>
      </x:c>
      <x:c r="M7" s="60" t="n">
        <x:v>0.03841995</x:v>
      </x:c>
      <x:c r="N7" s="60" t="n">
        <x:v>0.07981693</x:v>
      </x:c>
      <x:c r="O7" s="60" t="n">
        <x:v>0.12866369</x:v>
      </x:c>
      <x:c r="P7" s="60" t="n">
        <x:v>0.4</x:v>
      </x:c>
      <x:c r="Q7" s="78" t="n">
        <x:v>9309418072</x:v>
      </x:c>
      <x:c r="R7" s="78" t="n">
        <x:v>6451427</x:v>
      </x:c>
      <x:c r="S7" s="58" t="str">
        <x:v>VALIDATE_WALLET_AND_FEASIBILITY</x:v>
      </x:c>
      <x:c r="T7" s="58" t="str">
        <x:v>POSTERIOR/SCENARIO; ACTIVATED</x:v>
      </x:c>
    </x:row>
    <x:row r="8">
      <x:c r="A8" s="58" t="n">
        <x:v>4</x:v>
      </x:c>
      <x:c r="B8" s="58" t="str">
        <x:v>E01-cross-border-fx</x:v>
      </x:c>
      <x:c r="C8" s="58" t="str">
        <x:v>E01</x:v>
      </x:c>
      <x:c r="D8" s="58" t="str">
        <x:v>BHP Group</x:v>
      </x:c>
      <x:c r="E8" s="58" t="str">
        <x:v>mining</x:v>
      </x:c>
      <x:c r="F8" s="58" t="str">
        <x:v>Cross-border FX</x:v>
      </x:c>
      <x:c r="G8" s="58" t="str">
        <x:v>APPROVED</x:v>
      </x:c>
      <x:c r="H8" s="58" t="str">
        <x:v>E1</x:v>
      </x:c>
      <x:c r="I8" s="79" t="n">
        <x:v>2079487623</x:v>
      </x:c>
      <x:c r="J8" s="79" t="n">
        <x:v>15026375864</x:v>
      </x:c>
      <x:c r="K8" s="79" t="n">
        <x:v>23892772227</x:v>
      </x:c>
      <x:c r="L8" s="79" t="n">
        <x:v>47872524086</x:v>
      </x:c>
      <x:c r="M8" s="60" t="n">
        <x:v>0.04343802</x:v>
      </x:c>
      <x:c r="N8" s="60" t="n">
        <x:v>0.08703417</x:v>
      </x:c>
      <x:c r="O8" s="60" t="n">
        <x:v>0.13838917</x:v>
      </x:c>
      <x:c r="P8" s="60" t="n">
        <x:v>0.4</x:v>
      </x:c>
      <x:c r="Q8" s="78" t="n">
        <x:v>7477621268</x:v>
      </x:c>
      <x:c r="R8" s="78" t="n">
        <x:v>5181992</x:v>
      </x:c>
      <x:c r="S8" s="58" t="str">
        <x:v>VALIDATE_WALLET_AND_FEASIBILITY</x:v>
      </x:c>
      <x:c r="T8" s="58" t="str">
        <x:v>POSTERIOR/SCENARIO; ACTIVATED</x:v>
      </x:c>
    </x:row>
    <x:row r="9">
      <x:c r="A9" s="58" t="n">
        <x:v>5</x:v>
      </x:c>
      <x:c r="B9" s="58" t="str">
        <x:v>E02-liquidity</x:v>
      </x:c>
      <x:c r="C9" s="58" t="str">
        <x:v>E02</x:v>
      </x:c>
      <x:c r="D9" s="58" t="str">
        <x:v>Glencore</x:v>
      </x:c>
      <x:c r="E9" s="58" t="str">
        <x:v>mining</x:v>
      </x:c>
      <x:c r="F9" s="58" t="str">
        <x:v>Liquidity</x:v>
      </x:c>
      <x:c r="G9" s="58" t="str">
        <x:v>APPROVED</x:v>
      </x:c>
      <x:c r="H9" s="58" t="str">
        <x:v>E1</x:v>
      </x:c>
      <x:c r="I9" s="79" t="n">
        <x:v>2169617089</x:v>
      </x:c>
      <x:c r="J9" s="79" t="n">
        <x:v>17441145822</x:v>
      </x:c>
      <x:c r="K9" s="79" t="n">
        <x:v>28477368214</x:v>
      </x:c>
      <x:c r="L9" s="79" t="n">
        <x:v>64088597983</x:v>
      </x:c>
      <x:c r="M9" s="60" t="n">
        <x:v>0.0338534</x:v>
      </x:c>
      <x:c r="N9" s="60" t="n">
        <x:v>0.07618742</x:v>
      </x:c>
      <x:c r="O9" s="60" t="n">
        <x:v>0.12439649</x:v>
      </x:c>
      <x:c r="P9" s="60" t="n">
        <x:v>0.4</x:v>
      </x:c>
      <x:c r="Q9" s="78" t="n">
        <x:v>9221330196</x:v>
      </x:c>
      <x:c r="R9" s="78" t="n">
        <x:v>4260255</x:v>
      </x:c>
      <x:c r="S9" s="58" t="str">
        <x:v>VALIDATE_WALLET_AND_FEASIBILITY</x:v>
      </x:c>
      <x:c r="T9" s="58" t="str">
        <x:v>POSTERIOR/SCENARIO; ACTIVATED</x:v>
      </x:c>
    </x:row>
    <x:row r="10">
      <x:c r="A10" s="58" t="n">
        <x:v>6</x:v>
      </x:c>
      <x:c r="B10" s="58" t="str">
        <x:v>E10-trade-finance</x:v>
      </x:c>
      <x:c r="C10" s="58" t="str">
        <x:v>E10</x:v>
      </x:c>
      <x:c r="D10" s="58" t="str">
        <x:v>Bid Corporation</x:v>
      </x:c>
      <x:c r="E10" s="58" t="str">
        <x:v>consumer</x:v>
      </x:c>
      <x:c r="F10" s="58" t="str">
        <x:v>Trade finance</x:v>
      </x:c>
      <x:c r="G10" s="58" t="str">
        <x:v>PENDING_REVIEW_EXCLUDED</x:v>
      </x:c>
      <x:c r="H10" s="58" t="str">
        <x:v>E0</x:v>
      </x:c>
      <x:c r="I10" s="79" t="n">
        <x:v>1878698745</x:v>
      </x:c>
      <x:c r="J10" s="79" t="n">
        <x:v>3599283918</x:v>
      </x:c>
      <x:c r="K10" s="79" t="n">
        <x:v>7713997311</x:v>
      </x:c>
      <x:c r="L10" s="79" t="n">
        <x:v>31235678739</x:v>
      </x:c>
      <x:c r="M10" s="60" t="n">
        <x:v>0.06014593</x:v>
      </x:c>
      <x:c r="N10" s="60" t="n">
        <x:v>0.24354413</x:v>
      </x:c>
      <x:c r="O10" s="60" t="n">
        <x:v>0.52196462</x:v>
      </x:c>
      <x:c r="P10" s="60" t="n">
        <x:v>0.4</x:v>
      </x:c>
      <x:c r="Q10" s="78" t="n">
        <x:v>1206900180</x:v>
      </x:c>
      <x:c r="R10" s="78" t="n">
        <x:v>4181909</x:v>
      </x:c>
      <x:c r="S10" s="58" t="str">
        <x:v>DISCOVER_TOTAL_WALLET_AND_VALIDATE_PUBLIC_CANDIDATE</x:v>
      </x:c>
      <x:c r="T10" s="58" t="str">
        <x:v>POSTERIOR/SCENARIO; WITHHELD_PENDING_APPROVAL</x:v>
      </x:c>
    </x:row>
    <x:row r="11">
      <x:c r="A11" s="58" t="n">
        <x:v>7</x:v>
      </x:c>
      <x:c r="B11" s="58" t="str">
        <x:v>E11-liquidity</x:v>
      </x:c>
      <x:c r="C11" s="58" t="str">
        <x:v>E11</x:v>
      </x:c>
      <x:c r="D11" s="58" t="str">
        <x:v>Pepkor Holdings</x:v>
      </x:c>
      <x:c r="E11" s="58" t="str">
        <x:v>consumer</x:v>
      </x:c>
      <x:c r="F11" s="58" t="str">
        <x:v>Liquidity</x:v>
      </x:c>
      <x:c r="G11" s="58" t="str">
        <x:v>PENDING_REVIEW_EXCLUDED</x:v>
      </x:c>
      <x:c r="H11" s="58" t="str">
        <x:v>E0</x:v>
      </x:c>
      <x:c r="I11" s="79" t="n">
        <x:v>16661048006</x:v>
      </x:c>
      <x:c r="J11" s="79" t="n">
        <x:v>30539037033</x:v>
      </x:c>
      <x:c r="K11" s="79" t="n">
        <x:v>63793860143</x:v>
      </x:c>
      <x:c r="L11" s="79" t="n">
        <x:v>208847608848</x:v>
      </x:c>
      <x:c r="M11" s="60" t="n">
        <x:v>0.07977618</x:v>
      </x:c>
      <x:c r="N11" s="60" t="n">
        <x:v>0.2611701</x:v>
      </x:c>
      <x:c r="O11" s="60" t="n">
        <x:v>0.5455656</x:v>
      </x:c>
      <x:c r="P11" s="60" t="n">
        <x:v>0.4</x:v>
      </x:c>
      <x:c r="Q11" s="78" t="n">
        <x:v>8856496051</x:v>
      </x:c>
      <x:c r="R11" s="78" t="n">
        <x:v>4091701</x:v>
      </x:c>
      <x:c r="S11" s="58" t="str">
        <x:v>DISCOVER_TOTAL_WALLET_AND_VALIDATE_PUBLIC_CANDIDATE</x:v>
      </x:c>
      <x:c r="T11" s="58" t="str">
        <x:v>POSTERIOR/SCENARIO; WITHHELD_PENDING_APPROVAL</x:v>
      </x:c>
    </x:row>
    <x:row r="12">
      <x:c r="A12" s="58" t="n">
        <x:v>8</x:v>
      </x:c>
      <x:c r="B12" s="58" t="str">
        <x:v>E16-trade-finance</x:v>
      </x:c>
      <x:c r="C12" s="58" t="str">
        <x:v>E16</x:v>
      </x:c>
      <x:c r="D12" s="58" t="str">
        <x:v>MTN Group</x:v>
      </x:c>
      <x:c r="E12" s="58" t="str">
        <x:v>telecoms</x:v>
      </x:c>
      <x:c r="F12" s="58" t="str">
        <x:v>Trade finance</x:v>
      </x:c>
      <x:c r="G12" s="58" t="str">
        <x:v>PENDING_REVIEW_EXCLUDED</x:v>
      </x:c>
      <x:c r="H12" s="58" t="str">
        <x:v>E0</x:v>
      </x:c>
      <x:c r="I12" s="79" t="n">
        <x:v>1443169161</x:v>
      </x:c>
      <x:c r="J12" s="79" t="n">
        <x:v>2673729003</x:v>
      </x:c>
      <x:c r="K12" s="79" t="n">
        <x:v>6153125811</x:v>
      </x:c>
      <x:c r="L12" s="79" t="n">
        <x:v>24984685620</x:v>
      </x:c>
      <x:c r="M12" s="60" t="n">
        <x:v>0.05776215</x:v>
      </x:c>
      <x:c r="N12" s="60" t="n">
        <x:v>0.23454245</x:v>
      </x:c>
      <x:c r="O12" s="60" t="n">
        <x:v>0.53975895</x:v>
      </x:c>
      <x:c r="P12" s="60" t="n">
        <x:v>0.4</x:v>
      </x:c>
      <x:c r="Q12" s="78" t="n">
        <x:v>1018081163</x:v>
      </x:c>
      <x:c r="R12" s="78" t="n">
        <x:v>3527651</x:v>
      </x:c>
      <x:c r="S12" s="58" t="str">
        <x:v>DISCOVER_TOTAL_WALLET_AND_VALIDATE_PUBLIC_CANDIDATE</x:v>
      </x:c>
      <x:c r="T12" s="58" t="str">
        <x:v>POSTERIOR/SCENARIO; WITHHELD_PENDING_APPROVAL</x:v>
      </x:c>
    </x:row>
    <x:row r="13">
      <x:c r="A13" s="58" t="n">
        <x:v>9</x:v>
      </x:c>
      <x:c r="B13" s="58" t="str">
        <x:v>E11-trade-finance</x:v>
      </x:c>
      <x:c r="C13" s="58" t="str">
        <x:v>E11</x:v>
      </x:c>
      <x:c r="D13" s="58" t="str">
        <x:v>Pepkor Holdings</x:v>
      </x:c>
      <x:c r="E13" s="58" t="str">
        <x:v>consumer</x:v>
      </x:c>
      <x:c r="F13" s="58" t="str">
        <x:v>Trade finance</x:v>
      </x:c>
      <x:c r="G13" s="58" t="str">
        <x:v>PENDING_REVIEW_EXCLUDED</x:v>
      </x:c>
      <x:c r="H13" s="58" t="str">
        <x:v>E0</x:v>
      </x:c>
      <x:c r="I13" s="79" t="n">
        <x:v>1533077406</x:v>
      </x:c>
      <x:c r="J13" s="79" t="n">
        <x:v>2830209030</x:v>
      </x:c>
      <x:c r="K13" s="79" t="n">
        <x:v>6276983485</x:v>
      </x:c>
      <x:c r="L13" s="79" t="n">
        <x:v>25767187433</x:v>
      </x:c>
      <x:c r="M13" s="60" t="n">
        <x:v>0.05949733</x:v>
      </x:c>
      <x:c r="N13" s="60" t="n">
        <x:v>0.24423793</x:v>
      </x:c>
      <x:c r="O13" s="60" t="n">
        <x:v>0.54168346</x:v>
      </x:c>
      <x:c r="P13" s="60" t="n">
        <x:v>0.4</x:v>
      </x:c>
      <x:c r="Q13" s="78" t="n">
        <x:v>977715988</x:v>
      </x:c>
      <x:c r="R13" s="78" t="n">
        <x:v>3387786</x:v>
      </x:c>
      <x:c r="S13" s="58" t="str">
        <x:v>DISCOVER_TOTAL_WALLET_AND_VALIDATE_PUBLIC_CANDIDATE</x:v>
      </x:c>
      <x:c r="T13" s="58" t="str">
        <x:v>POSTERIOR/SCENARIO; WITHHELD_PENDING_APPROVAL</x:v>
      </x:c>
    </x:row>
    <x:row r="14">
      <x:c r="A14" s="58" t="n">
        <x:v>10</x:v>
      </x:c>
      <x:c r="B14" s="58" t="str">
        <x:v>E18-trade-finance</x:v>
      </x:c>
      <x:c r="C14" s="58" t="str">
        <x:v>E18</x:v>
      </x:c>
      <x:c r="D14" s="58" t="str">
        <x:v>The Bidvest Group</x:v>
      </x:c>
      <x:c r="E14" s="58" t="str">
        <x:v>industrials_pharma</x:v>
      </x:c>
      <x:c r="F14" s="58" t="str">
        <x:v>Trade finance</x:v>
      </x:c>
      <x:c r="G14" s="58" t="str">
        <x:v>PENDING_REVIEW_EXCLUDED</x:v>
      </x:c>
      <x:c r="H14" s="58" t="str">
        <x:v>E0</x:v>
      </x:c>
      <x:c r="I14" s="79" t="n">
        <x:v>1462356646</x:v>
      </x:c>
      <x:c r="J14" s="79" t="n">
        <x:v>2749628000</x:v>
      </x:c>
      <x:c r="K14" s="79" t="n">
        <x:v>6065059686</x:v>
      </x:c>
      <x:c r="L14" s="79" t="n">
        <x:v>24938791725</x:v>
      </x:c>
      <x:c r="M14" s="60" t="n">
        <x:v>0.05863789</x:v>
      </x:c>
      <x:c r="N14" s="60" t="n">
        <x:v>0.24111169</x:v>
      </x:c>
      <x:c r="O14" s="60" t="n">
        <x:v>0.531838</x:v>
      </x:c>
      <x:c r="P14" s="60" t="n">
        <x:v>0.4</x:v>
      </x:c>
      <x:c r="Q14" s="78" t="n">
        <x:v>963667228</x:v>
      </x:c>
      <x:c r="R14" s="78" t="n">
        <x:v>3339107</x:v>
      </x:c>
      <x:c r="S14" s="58" t="str">
        <x:v>DISCOVER_TOTAL_WALLET_AND_VALIDATE_PUBLIC_CANDIDATE</x:v>
      </x:c>
      <x:c r="T14" s="58" t="str">
        <x:v>POSTERIOR/SCENARIO; WITHHELD_PENDING_APPROVAL</x:v>
      </x:c>
    </x:row>
    <x:row r="15">
      <x:c r="A15" s="58" t="n">
        <x:v>11</x:v>
      </x:c>
      <x:c r="B15" s="58" t="str">
        <x:v>E01-collections</x:v>
      </x:c>
      <x:c r="C15" s="58" t="str">
        <x:v>E01</x:v>
      </x:c>
      <x:c r="D15" s="58" t="str">
        <x:v>BHP Group</x:v>
      </x:c>
      <x:c r="E15" s="58" t="str">
        <x:v>mining</x:v>
      </x:c>
      <x:c r="F15" s="58" t="str">
        <x:v>Collections</x:v>
      </x:c>
      <x:c r="G15" s="58" t="str">
        <x:v>APPROVED</x:v>
      </x:c>
      <x:c r="H15" s="58" t="str">
        <x:v>E1</x:v>
      </x:c>
      <x:c r="I15" s="79" t="n">
        <x:v>9185914038</x:v>
      </x:c>
      <x:c r="J15" s="79" t="n">
        <x:v>65249193923</x:v>
      </x:c>
      <x:c r="K15" s="79" t="n">
        <x:v>91204520082</x:v>
      </x:c>
      <x:c r="L15" s="79" t="n">
        <x:v>154561619771</x:v>
      </x:c>
      <x:c r="M15" s="60" t="n">
        <x:v>0.05943205</x:v>
      </x:c>
      <x:c r="N15" s="60" t="n">
        <x:v>0.10071775</x:v>
      </x:c>
      <x:c r="O15" s="60" t="n">
        <x:v>0.14078206</x:v>
      </x:c>
      <x:c r="P15" s="60" t="n">
        <x:v>0.4</x:v>
      </x:c>
      <x:c r="Q15" s="78" t="n">
        <x:v>27295893994</x:v>
      </x:c>
      <x:c r="R15" s="78" t="n">
        <x:v>2522141</x:v>
      </x:c>
      <x:c r="S15" s="58" t="str">
        <x:v>VALIDATE_WALLET_AND_FEASIBILITY</x:v>
      </x:c>
      <x:c r="T15" s="58" t="str">
        <x:v>POSTERIOR/SCENARIO; ACTIVATED</x:v>
      </x:c>
    </x:row>
    <x:row r="16">
      <x:c r="A16" s="58" t="n">
        <x:v>12</x:v>
      </x:c>
      <x:c r="B16" s="58" t="str">
        <x:v>E01-liquidity</x:v>
      </x:c>
      <x:c r="C16" s="58" t="str">
        <x:v>E01</x:v>
      </x:c>
      <x:c r="D16" s="58" t="str">
        <x:v>BHP Group</x:v>
      </x:c>
      <x:c r="E16" s="58" t="str">
        <x:v>mining</x:v>
      </x:c>
      <x:c r="F16" s="58" t="str">
        <x:v>Liquidity</x:v>
      </x:c>
      <x:c r="G16" s="58" t="str">
        <x:v>APPROVED</x:v>
      </x:c>
      <x:c r="H16" s="58" t="str">
        <x:v>E1</x:v>
      </x:c>
      <x:c r="I16" s="79" t="n">
        <x:v>8160659696</x:v>
      </x:c>
      <x:c r="J16" s="79" t="n">
        <x:v>21085121967</x:v>
      </x:c>
      <x:c r="K16" s="79" t="n">
        <x:v>33794885019</x:v>
      </x:c>
      <x:c r="L16" s="79" t="n">
        <x:v>73790534040</x:v>
      </x:c>
      <x:c r="M16" s="60" t="n">
        <x:v>0.11059224</x:v>
      </x:c>
      <x:c r="N16" s="60" t="n">
        <x:v>0.24147618</x:v>
      </x:c>
      <x:c r="O16" s="60" t="n">
        <x:v>0.38703403</x:v>
      </x:c>
      <x:c r="P16" s="60" t="n">
        <x:v>0.4</x:v>
      </x:c>
      <x:c r="Q16" s="78" t="n">
        <x:v>5357294312</x:v>
      </x:c>
      <x:c r="R16" s="78" t="n">
        <x:v>2475070</x:v>
      </x:c>
      <x:c r="S16" s="58" t="str">
        <x:v>VALIDATE_WALLET_AND_FEASIBILITY</x:v>
      </x:c>
      <x:c r="T16" s="58" t="str">
        <x:v>POSTERIOR/SCENARIO; ACTIVATED</x:v>
      </x:c>
    </x:row>
    <x:row r="17">
      <x:c r="A17" s="58" t="n">
        <x:v>13</x:v>
      </x:c>
      <x:c r="B17" s="58" t="str">
        <x:v>E08-liquidity</x:v>
      </x:c>
      <x:c r="C17" s="58" t="str">
        <x:v>E08</x:v>
      </x:c>
      <x:c r="D17" s="58" t="str">
        <x:v>Sanlam</x:v>
      </x:c>
      <x:c r="E17" s="58" t="str">
        <x:v>insurance</x:v>
      </x:c>
      <x:c r="F17" s="58" t="str">
        <x:v>Liquidity</x:v>
      </x:c>
      <x:c r="G17" s="58" t="str">
        <x:v>PENDING_REVIEW_EXCLUDED</x:v>
      </x:c>
      <x:c r="H17" s="58" t="str">
        <x:v>E0</x:v>
      </x:c>
      <x:c r="I17" s="79" t="n">
        <x:v>9384388880</x:v>
      </x:c>
      <x:c r="J17" s="79" t="n">
        <x:v>17521543981</x:v>
      </x:c>
      <x:c r="K17" s="79" t="n">
        <x:v>36109260246</x:v>
      </x:c>
      <x:c r="L17" s="79" t="n">
        <x:v>124356088867</x:v>
      </x:c>
      <x:c r="M17" s="60" t="n">
        <x:v>0.07546386</x:v>
      </x:c>
      <x:c r="N17" s="60" t="n">
        <x:v>0.25988873</x:v>
      </x:c>
      <x:c r="O17" s="60" t="n">
        <x:v>0.53559147</x:v>
      </x:c>
      <x:c r="P17" s="60" t="n">
        <x:v>0.4</x:v>
      </x:c>
      <x:c r="Q17" s="78" t="n">
        <x:v>5059315218</x:v>
      </x:c>
      <x:c r="R17" s="78" t="n">
        <x:v>2337404</x:v>
      </x:c>
      <x:c r="S17" s="58" t="str">
        <x:v>DISCOVER_TOTAL_WALLET_AND_VALIDATE_PUBLIC_CANDIDATE</x:v>
      </x:c>
      <x:c r="T17" s="58" t="str">
        <x:v>POSTERIOR/SCENARIO; WITHHELD_PENDING_APPROVAL</x:v>
      </x:c>
    </x:row>
    <x:row r="18">
      <x:c r="A18" s="58" t="n">
        <x:v>14</x:v>
      </x:c>
      <x:c r="B18" s="58" t="str">
        <x:v>E02-collections</x:v>
      </x:c>
      <x:c r="C18" s="58" t="str">
        <x:v>E02</x:v>
      </x:c>
      <x:c r="D18" s="58" t="str">
        <x:v>Glencore</x:v>
      </x:c>
      <x:c r="E18" s="58" t="str">
        <x:v>mining</x:v>
      </x:c>
      <x:c r="F18" s="58" t="str">
        <x:v>Collections</x:v>
      </x:c>
      <x:c r="G18" s="58" t="str">
        <x:v>APPROVED</x:v>
      </x:c>
      <x:c r="H18" s="58" t="str">
        <x:v>E1</x:v>
      </x:c>
      <x:c r="I18" s="79" t="n">
        <x:v>2463125157</x:v>
      </x:c>
      <x:c r="J18" s="79" t="n">
        <x:v>47395590807</x:v>
      </x:c>
      <x:c r="K18" s="79" t="n">
        <x:v>66159253387</x:v>
      </x:c>
      <x:c r="L18" s="79" t="n">
        <x:v>112253986260</x:v>
      </x:c>
      <x:c r="M18" s="60" t="n">
        <x:v>0.02194243</x:v>
      </x:c>
      <x:c r="N18" s="60" t="n">
        <x:v>0.03723024</x:v>
      </x:c>
      <x:c r="O18" s="60" t="n">
        <x:v>0.0519695</x:v>
      </x:c>
      <x:c r="P18" s="60" t="n">
        <x:v>0.4</x:v>
      </x:c>
      <x:c r="Q18" s="78" t="n">
        <x:v>24000576197</x:v>
      </x:c>
      <x:c r="R18" s="78" t="n">
        <x:v>2217653</x:v>
      </x:c>
      <x:c r="S18" s="58" t="str">
        <x:v>VALIDATE_WALLET_AND_FEASIBILITY</x:v>
      </x:c>
      <x:c r="T18" s="58" t="str">
        <x:v>POSTERIOR/SCENARIO; ACTIVATED</x:v>
      </x:c>
    </x:row>
    <x:row r="19">
      <x:c r="A19" s="58" t="n">
        <x:v>15</x:v>
      </x:c>
      <x:c r="B19" s="58" t="str">
        <x:v>E09-trade-finance</x:v>
      </x:c>
      <x:c r="C19" s="58" t="str">
        <x:v>E09</x:v>
      </x:c>
      <x:c r="D19" s="58" t="str">
        <x:v>Shoprite Holdings</x:v>
      </x:c>
      <x:c r="E19" s="58" t="str">
        <x:v>consumer</x:v>
      </x:c>
      <x:c r="F19" s="58" t="str">
        <x:v>Trade finance</x:v>
      </x:c>
      <x:c r="G19" s="58" t="str">
        <x:v>APPROVED</x:v>
      </x:c>
      <x:c r="H19" s="58" t="str">
        <x:v>E1</x:v>
      </x:c>
      <x:c r="I19" s="79" t="n">
        <x:v>1539090587</x:v>
      </x:c>
      <x:c r="J19" s="79" t="n">
        <x:v>3065470375</x:v>
      </x:c>
      <x:c r="K19" s="79" t="n">
        <x:v>5367490652</x:v>
      </x:c>
      <x:c r="L19" s="79" t="n">
        <x:v>13590432589</x:v>
      </x:c>
      <x:c r="M19" s="60" t="n">
        <x:v>0.11324812</x:v>
      </x:c>
      <x:c r="N19" s="60" t="n">
        <x:v>0.28674305</x:v>
      </x:c>
      <x:c r="O19" s="60" t="n">
        <x:v>0.50207322</x:v>
      </x:c>
      <x:c r="P19" s="60" t="n">
        <x:v>0.4</x:v>
      </x:c>
      <x:c r="Q19" s="78" t="n">
        <x:v>607905674</x:v>
      </x:c>
      <x:c r="R19" s="78" t="n">
        <x:v>2106393</x:v>
      </x:c>
      <x:c r="S19" s="58" t="str">
        <x:v>VALIDATE_WALLET_AND_FEASIBILITY</x:v>
      </x:c>
      <x:c r="T19" s="58" t="str">
        <x:v>POSTERIOR/SCENARIO; ACTIVATED</x:v>
      </x:c>
    </x:row>
    <x:row r="20">
      <x:c r="A20" s="58" t="n">
        <x:v>16</x:v>
      </x:c>
      <x:c r="B20" s="58" t="str">
        <x:v>E11-cross-border-fx</x:v>
      </x:c>
      <x:c r="C20" s="58" t="str">
        <x:v>E11</x:v>
      </x:c>
      <x:c r="D20" s="58" t="str">
        <x:v>Pepkor Holdings</x:v>
      </x:c>
      <x:c r="E20" s="58" t="str">
        <x:v>consumer</x:v>
      </x:c>
      <x:c r="F20" s="58" t="str">
        <x:v>Cross-border FX</x:v>
      </x:c>
      <x:c r="G20" s="58" t="str">
        <x:v>PENDING_REVIEW_EXCLUDED</x:v>
      </x:c>
      <x:c r="H20" s="58" t="str">
        <x:v>E0</x:v>
      </x:c>
      <x:c r="I20" s="79" t="n">
        <x:v>6634085230</x:v>
      </x:c>
      <x:c r="J20" s="79" t="n">
        <x:v>11938015475</x:v>
      </x:c>
      <x:c r="K20" s="79" t="n">
        <x:v>22875976295</x:v>
      </x:c>
      <x:c r="L20" s="79" t="n">
        <x:v>68899417238</x:v>
      </x:c>
      <x:c r="M20" s="60" t="n">
        <x:v>0.09628654</x:v>
      </x:c>
      <x:c r="N20" s="60" t="n">
        <x:v>0.29000231</x:v>
      </x:c>
      <x:c r="O20" s="60" t="n">
        <x:v>0.5557109</x:v>
      </x:c>
      <x:c r="P20" s="60" t="n">
        <x:v>0.4</x:v>
      </x:c>
      <x:c r="Q20" s="78" t="n">
        <x:v>2516305288</x:v>
      </x:c>
      <x:c r="R20" s="78" t="n">
        <x:v>1743800</x:v>
      </x:c>
      <x:c r="S20" s="58" t="str">
        <x:v>DISCOVER_TOTAL_WALLET_AND_VALIDATE_PUBLIC_CANDIDATE</x:v>
      </x:c>
      <x:c r="T20" s="58" t="str">
        <x:v>POSTERIOR/SCENARIO; WITHHELD_PENDING_APPROVAL</x:v>
      </x:c>
    </x:row>
    <x:row r="21">
      <x:c r="A21" s="58" t="n">
        <x:v>17</x:v>
      </x:c>
      <x:c r="B21" s="58" t="str">
        <x:v>E16-cross-border-fx</x:v>
      </x:c>
      <x:c r="C21" s="58" t="str">
        <x:v>E16</x:v>
      </x:c>
      <x:c r="D21" s="58" t="str">
        <x:v>MTN Group</x:v>
      </x:c>
      <x:c r="E21" s="58" t="str">
        <x:v>telecoms</x:v>
      </x:c>
      <x:c r="F21" s="58" t="str">
        <x:v>Cross-border FX</x:v>
      </x:c>
      <x:c r="G21" s="58" t="str">
        <x:v>PENDING_REVIEW_EXCLUDED</x:v>
      </x:c>
      <x:c r="H21" s="58" t="str">
        <x:v>E0</x:v>
      </x:c>
      <x:c r="I21" s="79" t="n">
        <x:v>6198359964</x:v>
      </x:c>
      <x:c r="J21" s="79" t="n">
        <x:v>11174065444</x:v>
      </x:c>
      <x:c r="K21" s="79" t="n">
        <x:v>21373922776</x:v>
      </x:c>
      <x:c r="L21" s="79" t="n">
        <x:v>62930227771</x:v>
      </x:c>
      <x:c r="M21" s="60" t="n">
        <x:v>0.09849576</x:v>
      </x:c>
      <x:c r="N21" s="60" t="n">
        <x:v>0.28999637</x:v>
      </x:c>
      <x:c r="O21" s="60" t="n">
        <x:v>0.55470948</x:v>
      </x:c>
      <x:c r="P21" s="60" t="n">
        <x:v>0.4</x:v>
      </x:c>
      <x:c r="Q21" s="78" t="n">
        <x:v>2351209147</x:v>
      </x:c>
      <x:c r="R21" s="78" t="n">
        <x:v>1629388</x:v>
      </x:c>
      <x:c r="S21" s="58" t="str">
        <x:v>DISCOVER_TOTAL_WALLET_AND_VALIDATE_PUBLIC_CANDIDATE</x:v>
      </x:c>
      <x:c r="T21" s="58" t="str">
        <x:v>POSTERIOR/SCENARIO; WITHHELD_PENDING_APPROVAL</x:v>
      </x:c>
    </x:row>
    <x:row r="22">
      <x:c r="A22" s="58" t="n">
        <x:v>18</x:v>
      </x:c>
      <x:c r="B22" s="58" t="str">
        <x:v>E10-cross-border-fx</x:v>
      </x:c>
      <x:c r="C22" s="58" t="str">
        <x:v>E10</x:v>
      </x:c>
      <x:c r="D22" s="58" t="str">
        <x:v>Bid Corporation</x:v>
      </x:c>
      <x:c r="E22" s="58" t="str">
        <x:v>consumer</x:v>
      </x:c>
      <x:c r="F22" s="58" t="str">
        <x:v>Cross-border FX</x:v>
      </x:c>
      <x:c r="G22" s="58" t="str">
        <x:v>PENDING_REVIEW_EXCLUDED</x:v>
      </x:c>
      <x:c r="H22" s="58" t="str">
        <x:v>E0</x:v>
      </x:c>
      <x:c r="I22" s="79" t="n">
        <x:v>6147453597</x:v>
      </x:c>
      <x:c r="J22" s="79" t="n">
        <x:v>11067495788</x:v>
      </x:c>
      <x:c r="K22" s="79" t="n">
        <x:v>21085465681</x:v>
      </x:c>
      <x:c r="L22" s="79" t="n">
        <x:v>61919411222</x:v>
      </x:c>
      <x:c r="M22" s="60" t="n">
        <x:v>0.09928181</x:v>
      </x:c>
      <x:c r="N22" s="60" t="n">
        <x:v>0.29154934</x:v>
      </x:c>
      <x:c r="O22" s="60" t="n">
        <x:v>0.55545118</x:v>
      </x:c>
      <x:c r="P22" s="60" t="n">
        <x:v>0.4</x:v>
      </x:c>
      <x:c r="Q22" s="78" t="n">
        <x:v>2286732675</x:v>
      </x:c>
      <x:c r="R22" s="78" t="n">
        <x:v>1584706</x:v>
      </x:c>
      <x:c r="S22" s="58" t="str">
        <x:v>DISCOVER_TOTAL_WALLET_AND_VALIDATE_PUBLIC_CANDIDATE</x:v>
      </x:c>
      <x:c r="T22" s="58" t="str">
        <x:v>POSTERIOR/SCENARIO; WITHHELD_PENDING_APPROVAL</x:v>
      </x:c>
    </x:row>
    <x:row r="23">
      <x:c r="A23" s="58" t="n">
        <x:v>19</x:v>
      </x:c>
      <x:c r="B23" s="58" t="str">
        <x:v>E05-trade-finance</x:v>
      </x:c>
      <x:c r="C23" s="58" t="str">
        <x:v>E05</x:v>
      </x:c>
      <x:c r="D23" s="58" t="str">
        <x:v>Gold Fields</x:v>
      </x:c>
      <x:c r="E23" s="58" t="str">
        <x:v>mining</x:v>
      </x:c>
      <x:c r="F23" s="58" t="str">
        <x:v>Trade finance</x:v>
      </x:c>
      <x:c r="G23" s="58" t="str">
        <x:v>PENDING_REVIEW_EXCLUDED</x:v>
      </x:c>
      <x:c r="H23" s="58" t="str">
        <x:v>E0</x:v>
      </x:c>
      <x:c r="I23" s="79" t="n">
        <x:v>695385752</x:v>
      </x:c>
      <x:c r="J23" s="79" t="n">
        <x:v>1300098956</x:v>
      </x:c>
      <x:c r="K23" s="79" t="n">
        <x:v>2872391482</x:v>
      </x:c>
      <x:c r="L23" s="79" t="n">
        <x:v>11617699393</x:v>
      </x:c>
      <x:c r="M23" s="60" t="n">
        <x:v>0.05985572</x:v>
      </x:c>
      <x:c r="N23" s="60" t="n">
        <x:v>0.24209299</x:v>
      </x:c>
      <x:c r="O23" s="60" t="n">
        <x:v>0.53487145</x:v>
      </x:c>
      <x:c r="P23" s="60" t="n">
        <x:v>0.4</x:v>
      </x:c>
      <x:c r="Q23" s="78" t="n">
        <x:v>453570841</x:v>
      </x:c>
      <x:c r="R23" s="78" t="n">
        <x:v>1571623</x:v>
      </x:c>
      <x:c r="S23" s="58" t="str">
        <x:v>DISCOVER_TOTAL_WALLET_AND_VALIDATE_PUBLIC_CANDIDATE</x:v>
      </x:c>
      <x:c r="T23" s="58" t="str">
        <x:v>POSTERIOR/SCENARIO; WITHHELD_PENDING_APPROVAL</x:v>
      </x:c>
    </x:row>
    <x:row r="24">
      <x:c r="A24" s="58" t="n">
        <x:v>20</x:v>
      </x:c>
      <x:c r="B24" s="58" t="str">
        <x:v>E10-liquidity</x:v>
      </x:c>
      <x:c r="C24" s="58" t="str">
        <x:v>E10</x:v>
      </x:c>
      <x:c r="D24" s="58" t="str">
        <x:v>Bid Corporation</x:v>
      </x:c>
      <x:c r="E24" s="58" t="str">
        <x:v>consumer</x:v>
      </x:c>
      <x:c r="F24" s="58" t="str">
        <x:v>Liquidity</x:v>
      </x:c>
      <x:c r="G24" s="58" t="str">
        <x:v>PENDING_REVIEW_EXCLUDED</x:v>
      </x:c>
      <x:c r="H24" s="58" t="str">
        <x:v>E0</x:v>
      </x:c>
      <x:c r="I24" s="79" t="n">
        <x:v>6290589174</x:v>
      </x:c>
      <x:c r="J24" s="79" t="n">
        <x:v>11920753621</x:v>
      </x:c>
      <x:c r="K24" s="79" t="n">
        <x:v>23967449252</x:v>
      </x:c>
      <x:c r="L24" s="79" t="n">
        <x:v>81350630066</x:v>
      </x:c>
      <x:c r="M24" s="60" t="n">
        <x:v>0.07732687</x:v>
      </x:c>
      <x:c r="N24" s="60" t="n">
        <x:v>0.26246387</x:v>
      </x:c>
      <x:c r="O24" s="60" t="n">
        <x:v>0.52770064</x:v>
      </x:c>
      <x:c r="P24" s="60" t="n">
        <x:v>0.4</x:v>
      </x:c>
      <x:c r="Q24" s="78" t="n">
        <x:v>3296390527</x:v>
      </x:c>
      <x:c r="R24" s="78" t="n">
        <x:v>1522932</x:v>
      </x:c>
      <x:c r="S24" s="58" t="str">
        <x:v>DISCOVER_TOTAL_WALLET_AND_VALIDATE_PUBLIC_CANDIDATE</x:v>
      </x:c>
      <x:c r="T24" s="58" t="str">
        <x:v>POSTERIOR/SCENARIO; WITHHELD_PENDING_APPROVAL</x:v>
      </x:c>
    </x:row>
    <x:row r="25">
      <x:c r="A25" s="58" t="n">
        <x:v>21</x:v>
      </x:c>
      <x:c r="B25" s="58" t="str">
        <x:v>E03-trade-finance</x:v>
      </x:c>
      <x:c r="C25" s="58" t="str">
        <x:v>E03</x:v>
      </x:c>
      <x:c r="D25" s="58" t="str">
        <x:v>Anglo American</x:v>
      </x:c>
      <x:c r="E25" s="58" t="str">
        <x:v>mining</x:v>
      </x:c>
      <x:c r="F25" s="58" t="str">
        <x:v>Trade finance</x:v>
      </x:c>
      <x:c r="G25" s="58" t="str">
        <x:v>PENDING_REVIEW_EXCLUDED</x:v>
      </x:c>
      <x:c r="H25" s="58" t="str">
        <x:v>E0</x:v>
      </x:c>
      <x:c r="I25" s="79" t="n">
        <x:v>632016628</x:v>
      </x:c>
      <x:c r="J25" s="79" t="n">
        <x:v>1166161816</x:v>
      </x:c>
      <x:c r="K25" s="79" t="n">
        <x:v>2626885045</x:v>
      </x:c>
      <x:c r="L25" s="79" t="n">
        <x:v>11223146539</x:v>
      </x:c>
      <x:c r="M25" s="60" t="n">
        <x:v>0.05631368</x:v>
      </x:c>
      <x:c r="N25" s="60" t="n">
        <x:v>0.24059547</x:v>
      </x:c>
      <x:c r="O25" s="60" t="n">
        <x:v>0.54196308</x:v>
      </x:c>
      <x:c r="P25" s="60" t="n">
        <x:v>0.4</x:v>
      </x:c>
      <x:c r="Q25" s="78" t="n">
        <x:v>418737390</x:v>
      </x:c>
      <x:c r="R25" s="78" t="n">
        <x:v>1450925</x:v>
      </x:c>
      <x:c r="S25" s="58" t="str">
        <x:v>DISCOVER_TOTAL_WALLET_AND_VALIDATE_PUBLIC_CANDIDATE</x:v>
      </x:c>
      <x:c r="T25" s="58" t="str">
        <x:v>POSTERIOR/SCENARIO; WITHHELD_PENDING_APPROVAL</x:v>
      </x:c>
    </x:row>
    <x:row r="26">
      <x:c r="A26" s="58" t="n">
        <x:v>22</x:v>
      </x:c>
      <x:c r="B26" s="58" t="str">
        <x:v>E02-payments</x:v>
      </x:c>
      <x:c r="C26" s="58" t="str">
        <x:v>E02</x:v>
      </x:c>
      <x:c r="D26" s="58" t="str">
        <x:v>Glencore</x:v>
      </x:c>
      <x:c r="E26" s="58" t="str">
        <x:v>mining</x:v>
      </x:c>
      <x:c r="F26" s="58" t="str">
        <x:v>Payments</x:v>
      </x:c>
      <x:c r="G26" s="58" t="str">
        <x:v>APPROVED</x:v>
      </x:c>
      <x:c r="H26" s="58" t="str">
        <x:v>E1</x:v>
      </x:c>
      <x:c r="I26" s="79" t="n">
        <x:v>1876109021</x:v>
      </x:c>
      <x:c r="J26" s="79" t="n">
        <x:v>40596021888</x:v>
      </x:c>
      <x:c r="K26" s="79" t="n">
        <x:v>58051230695</x:v>
      </x:c>
      <x:c r="L26" s="79" t="n">
        <x:v>100955034356</x:v>
      </x:c>
      <x:c r="M26" s="60" t="n">
        <x:v>0.01858361</x:v>
      </x:c>
      <x:c r="N26" s="60" t="n">
        <x:v>0.03231816</x:v>
      </x:c>
      <x:c r="O26" s="60" t="n">
        <x:v>0.04621411</x:v>
      </x:c>
      <x:c r="P26" s="60" t="n">
        <x:v>0.4</x:v>
      </x:c>
      <x:c r="Q26" s="78" t="n">
        <x:v>21344383257</x:v>
      </x:c>
      <x:c r="R26" s="78" t="n">
        <x:v>1314814</x:v>
      </x:c>
      <x:c r="S26" s="58" t="str">
        <x:v>VALIDATE_WALLET_AND_FEASIBILITY</x:v>
      </x:c>
      <x:c r="T26" s="58" t="str">
        <x:v>POSTERIOR/SCENARIO; ACTIVATED</x:v>
      </x:c>
    </x:row>
    <x:row r="27">
      <x:c r="A27" s="58" t="n">
        <x:v>23</x:v>
      </x:c>
      <x:c r="B27" s="58" t="str">
        <x:v>E16-liquidity</x:v>
      </x:c>
      <x:c r="C27" s="58" t="str">
        <x:v>E16</x:v>
      </x:c>
      <x:c r="D27" s="58" t="str">
        <x:v>MTN Group</x:v>
      </x:c>
      <x:c r="E27" s="58" t="str">
        <x:v>telecoms</x:v>
      </x:c>
      <x:c r="F27" s="58" t="str">
        <x:v>Liquidity</x:v>
      </x:c>
      <x:c r="G27" s="58" t="str">
        <x:v>PENDING_REVIEW_EXCLUDED</x:v>
      </x:c>
      <x:c r="H27" s="58" t="str">
        <x:v>E0</x:v>
      </x:c>
      <x:c r="I27" s="79" t="n">
        <x:v>5085488242</x:v>
      </x:c>
      <x:c r="J27" s="79" t="n">
        <x:v>9457593364</x:v>
      </x:c>
      <x:c r="K27" s="79" t="n">
        <x:v>19543878248</x:v>
      </x:c>
      <x:c r="L27" s="79" t="n">
        <x:v>64068421354</x:v>
      </x:c>
      <x:c r="M27" s="60" t="n">
        <x:v>0.0793759</x:v>
      </x:c>
      <x:c r="N27" s="60" t="n">
        <x:v>0.2602088</x:v>
      </x:c>
      <x:c r="O27" s="60" t="n">
        <x:v>0.53771484</x:v>
      </x:c>
      <x:c r="P27" s="60" t="n">
        <x:v>0.4</x:v>
      </x:c>
      <x:c r="Q27" s="78" t="n">
        <x:v>2732063057</x:v>
      </x:c>
      <x:c r="R27" s="78" t="n">
        <x:v>1262213</x:v>
      </x:c>
      <x:c r="S27" s="58" t="str">
        <x:v>DISCOVER_TOTAL_WALLET_AND_VALIDATE_PUBLIC_CANDIDATE</x:v>
      </x:c>
      <x:c r="T27" s="58" t="str">
        <x:v>POSTERIOR/SCENARIO; WITHHELD_PENDING_APPROVAL</x:v>
      </x:c>
    </x:row>
    <x:row r="28">
      <x:c r="A28" s="58" t="n">
        <x:v>24</x:v>
      </x:c>
      <x:c r="B28" s="58" t="str">
        <x:v>E01-payments</x:v>
      </x:c>
      <x:c r="C28" s="58" t="str">
        <x:v>E01</x:v>
      </x:c>
      <x:c r="D28" s="58" t="str">
        <x:v>BHP Group</x:v>
      </x:c>
      <x:c r="E28" s="58" t="str">
        <x:v>mining</x:v>
      </x:c>
      <x:c r="F28" s="58" t="str">
        <x:v>Payments</x:v>
      </x:c>
      <x:c r="G28" s="58" t="str">
        <x:v>APPROVED</x:v>
      </x:c>
      <x:c r="H28" s="58" t="str">
        <x:v>E1</x:v>
      </x:c>
      <x:c r="I28" s="79" t="n">
        <x:v>7135405353</x:v>
      </x:c>
      <x:c r="J28" s="79" t="n">
        <x:v>47947409246</x:v>
      </x:c>
      <x:c r="K28" s="79" t="n">
        <x:v>68117149750</x:v>
      </x:c>
      <x:c r="L28" s="79" t="n">
        <x:v>119532978629</x:v>
      </x:c>
      <x:c r="M28" s="60" t="n">
        <x:v>0.05969403</x:v>
      </x:c>
      <x:c r="N28" s="60" t="n">
        <x:v>0.10475197</x:v>
      </x:c>
      <x:c r="O28" s="60" t="n">
        <x:v>0.14881733</x:v>
      </x:c>
      <x:c r="P28" s="60" t="n">
        <x:v>0.4</x:v>
      </x:c>
      <x:c r="Q28" s="78" t="n">
        <x:v>20111454547</x:v>
      </x:c>
      <x:c r="R28" s="78" t="n">
        <x:v>1238866</x:v>
      </x:c>
      <x:c r="S28" s="58" t="str">
        <x:v>VALIDATE_WALLET_AND_FEASIBILITY</x:v>
      </x:c>
      <x:c r="T28" s="58" t="str">
        <x:v>POSTERIOR/SCENARIO; ACTIVATED</x:v>
      </x:c>
    </x:row>
    <x:row r="29">
      <x:c r="A29" s="58" t="n">
        <x:v>25</x:v>
      </x:c>
      <x:c r="B29" s="58" t="str">
        <x:v>E04-trade-finance</x:v>
      </x:c>
      <x:c r="C29" s="58" t="str">
        <x:v>E04</x:v>
      </x:c>
      <x:c r="D29" s="58" t="str">
        <x:v>AngloGold Ashanti</x:v>
      </x:c>
      <x:c r="E29" s="58" t="str">
        <x:v>mining</x:v>
      </x:c>
      <x:c r="F29" s="58" t="str">
        <x:v>Trade finance</x:v>
      </x:c>
      <x:c r="G29" s="58" t="str">
        <x:v>PENDING_REVIEW_EXCLUDED</x:v>
      </x:c>
      <x:c r="H29" s="58" t="str">
        <x:v>E0</x:v>
      </x:c>
      <x:c r="I29" s="79" t="n">
        <x:v>515693855</x:v>
      </x:c>
      <x:c r="J29" s="79" t="n">
        <x:v>975587577</x:v>
      </x:c>
      <x:c r="K29" s="79" t="n">
        <x:v>2135383605</x:v>
      </x:c>
      <x:c r="L29" s="79" t="n">
        <x:v>8828885285</x:v>
      </x:c>
      <x:c r="M29" s="60" t="n">
        <x:v>0.05840985</x:v>
      </x:c>
      <x:c r="N29" s="60" t="n">
        <x:v>0.2414994</x:v>
      </x:c>
      <x:c r="O29" s="60" t="n">
        <x:v>0.52859823</x:v>
      </x:c>
      <x:c r="P29" s="60" t="n">
        <x:v>0.4</x:v>
      </x:c>
      <x:c r="Q29" s="78" t="n">
        <x:v>338459586</x:v>
      </x:c>
      <x:c r="R29" s="78" t="n">
        <x:v>1172762</x:v>
      </x:c>
      <x:c r="S29" s="58" t="str">
        <x:v>DISCOVER_TOTAL_WALLET_AND_VALIDATE_PUBLIC_CANDIDATE</x:v>
      </x:c>
      <x:c r="T29" s="58" t="str">
        <x:v>POSTERIOR/SCENARIO; WITHHELD_PENDING_APPROVAL</x:v>
      </x:c>
    </x:row>
    <x:row r="30">
      <x:c r="A30" s="58" t="n">
        <x:v>26</x:v>
      </x:c>
      <x:c r="B30" s="58" t="str">
        <x:v>E19-trade-finance</x:v>
      </x:c>
      <x:c r="C30" s="58" t="str">
        <x:v>E19</x:v>
      </x:c>
      <x:c r="D30" s="58" t="str">
        <x:v>Aspen Pharmacare</x:v>
      </x:c>
      <x:c r="E30" s="58" t="str">
        <x:v>industrials_pharma</x:v>
      </x:c>
      <x:c r="F30" s="58" t="str">
        <x:v>Trade finance</x:v>
      </x:c>
      <x:c r="G30" s="58" t="str">
        <x:v>PENDING_REVIEW_EXCLUDED</x:v>
      </x:c>
      <x:c r="H30" s="58" t="str">
        <x:v>E0</x:v>
      </x:c>
      <x:c r="I30" s="79" t="n">
        <x:v>532422717</x:v>
      </x:c>
      <x:c r="J30" s="79" t="n">
        <x:v>993113900</x:v>
      </x:c>
      <x:c r="K30" s="79" t="n">
        <x:v>2170683764</x:v>
      </x:c>
      <x:c r="L30" s="79" t="n">
        <x:v>8939727305</x:v>
      </x:c>
      <x:c r="M30" s="60" t="n">
        <x:v>0.05955693</x:v>
      </x:c>
      <x:c r="N30" s="60" t="n">
        <x:v>0.24527884</x:v>
      </x:c>
      <x:c r="O30" s="60" t="n">
        <x:v>0.53611447</x:v>
      </x:c>
      <x:c r="P30" s="60" t="n">
        <x:v>0.4</x:v>
      </x:c>
      <x:c r="Q30" s="78" t="n">
        <x:v>335850789</x:v>
      </x:c>
      <x:c r="R30" s="78" t="n">
        <x:v>1163723</x:v>
      </x:c>
      <x:c r="S30" s="58" t="str">
        <x:v>DISCOVER_TOTAL_WALLET_AND_VALIDATE_PUBLIC_CANDIDATE</x:v>
      </x:c>
      <x:c r="T30" s="58" t="str">
        <x:v>POSTERIOR/SCENARIO; WITHHELD_PENDING_APPROVAL</x:v>
      </x:c>
    </x:row>
    <x:row r="31">
      <x:c r="A31" s="58" t="n">
        <x:v>27</x:v>
      </x:c>
      <x:c r="B31" s="58" t="str">
        <x:v>E03-liquidity</x:v>
      </x:c>
      <x:c r="C31" s="58" t="str">
        <x:v>E03</x:v>
      </x:c>
      <x:c r="D31" s="58" t="str">
        <x:v>Anglo American</x:v>
      </x:c>
      <x:c r="E31" s="58" t="str">
        <x:v>mining</x:v>
      </x:c>
      <x:c r="F31" s="58" t="str">
        <x:v>Liquidity</x:v>
      </x:c>
      <x:c r="G31" s="58" t="str">
        <x:v>PENDING_REVIEW_EXCLUDED</x:v>
      </x:c>
      <x:c r="H31" s="58" t="str">
        <x:v>E0</x:v>
      </x:c>
      <x:c r="I31" s="79" t="n">
        <x:v>3684707424</x:v>
      </x:c>
      <x:c r="J31" s="79" t="n">
        <x:v>6892485697</x:v>
      </x:c>
      <x:c r="K31" s="79" t="n">
        <x:v>14474754351</x:v>
      </x:c>
      <x:c r="L31" s="79" t="n">
        <x:v>49499679772</x:v>
      </x:c>
      <x:c r="M31" s="60" t="n">
        <x:v>0.07443905</x:v>
      </x:c>
      <x:c r="N31" s="60" t="n">
        <x:v>0.25456097</x:v>
      </x:c>
      <x:c r="O31" s="60" t="n">
        <x:v>0.53459776</x:v>
      </x:c>
      <x:c r="P31" s="60" t="n">
        <x:v>0.4</x:v>
      </x:c>
      <x:c r="Q31" s="78" t="n">
        <x:v>2105194316</x:v>
      </x:c>
      <x:c r="R31" s="78" t="n">
        <x:v>972600</x:v>
      </x:c>
      <x:c r="S31" s="58" t="str">
        <x:v>DISCOVER_TOTAL_WALLET_AND_VALIDATE_PUBLIC_CANDIDATE</x:v>
      </x:c>
      <x:c r="T31" s="58" t="str">
        <x:v>POSTERIOR/SCENARIO; WITHHELD_PENDING_APPROVAL</x:v>
      </x:c>
    </x:row>
    <x:row r="32">
      <x:c r="A32" s="58" t="n">
        <x:v>28</x:v>
      </x:c>
      <x:c r="B32" s="58" t="str">
        <x:v>E17-cross-border-fx</x:v>
      </x:c>
      <x:c r="C32" s="58" t="str">
        <x:v>E17</x:v>
      </x:c>
      <x:c r="D32" s="58" t="str">
        <x:v>Vodacom Group</x:v>
      </x:c>
      <x:c r="E32" s="58" t="str">
        <x:v>telecoms</x:v>
      </x:c>
      <x:c r="F32" s="58" t="str">
        <x:v>Cross-border FX</x:v>
      </x:c>
      <x:c r="G32" s="58" t="str">
        <x:v>PENDING_REVIEW_EXCLUDED</x:v>
      </x:c>
      <x:c r="H32" s="58" t="str">
        <x:v>E0</x:v>
      </x:c>
      <x:c r="I32" s="79" t="n">
        <x:v>2899257210</x:v>
      </x:c>
      <x:c r="J32" s="79" t="n">
        <x:v>5262130950</x:v>
      </x:c>
      <x:c r="K32" s="79" t="n">
        <x:v>10079484848</x:v>
      </x:c>
      <x:c r="L32" s="79" t="n">
        <x:v>29619077437</x:v>
      </x:c>
      <x:c r="M32" s="60" t="n">
        <x:v>0.09788479</x:v>
      </x:c>
      <x:c r="N32" s="60" t="n">
        <x:v>0.28763943</x:v>
      </x:c>
      <x:c r="O32" s="60" t="n">
        <x:v>0.55096638</x:v>
      </x:c>
      <x:c r="P32" s="60" t="n">
        <x:v>0.4</x:v>
      </x:c>
      <x:c r="Q32" s="78" t="n">
        <x:v>1132536729</x:v>
      </x:c>
      <x:c r="R32" s="78" t="n">
        <x:v>784848</x:v>
      </x:c>
      <x:c r="S32" s="58" t="str">
        <x:v>DISCOVER_TOTAL_WALLET_AND_VALIDATE_PUBLIC_CANDIDATE</x:v>
      </x:c>
      <x:c r="T32" s="58" t="str">
        <x:v>POSTERIOR/SCENARIO; WITHHELD_PENDING_APPROVAL</x:v>
      </x:c>
    </x:row>
    <x:row r="33">
      <x:c r="A33" s="58" t="n">
        <x:v>29</x:v>
      </x:c>
      <x:c r="B33" s="58" t="str">
        <x:v>E08-cross-border-fx</x:v>
      </x:c>
      <x:c r="C33" s="58" t="str">
        <x:v>E08</x:v>
      </x:c>
      <x:c r="D33" s="58" t="str">
        <x:v>Sanlam</x:v>
      </x:c>
      <x:c r="E33" s="58" t="str">
        <x:v>insurance</x:v>
      </x:c>
      <x:c r="F33" s="58" t="str">
        <x:v>Cross-border FX</x:v>
      </x:c>
      <x:c r="G33" s="58" t="str">
        <x:v>PENDING_REVIEW_EXCLUDED</x:v>
      </x:c>
      <x:c r="H33" s="58" t="str">
        <x:v>E0</x:v>
      </x:c>
      <x:c r="I33" s="79" t="n">
        <x:v>2658605046</x:v>
      </x:c>
      <x:c r="J33" s="79" t="n">
        <x:v>4816444132</x:v>
      </x:c>
      <x:c r="K33" s="79" t="n">
        <x:v>9301997517</x:v>
      </x:c>
      <x:c r="L33" s="79" t="n">
        <x:v>28407204976</x:v>
      </x:c>
      <x:c r="M33" s="60" t="n">
        <x:v>0.0935892</x:v>
      </x:c>
      <x:c r="N33" s="60" t="n">
        <x:v>0.28581012</x:v>
      </x:c>
      <x:c r="O33" s="60" t="n">
        <x:v>0.55198503</x:v>
      </x:c>
      <x:c r="P33" s="60" t="n">
        <x:v>0.4</x:v>
      </x:c>
      <x:c r="Q33" s="78" t="n">
        <x:v>1062193961</x:v>
      </x:c>
      <x:c r="R33" s="78" t="n">
        <x:v>736100</x:v>
      </x:c>
      <x:c r="S33" s="58" t="str">
        <x:v>DISCOVER_TOTAL_WALLET_AND_VALIDATE_PUBLIC_CANDIDATE</x:v>
      </x:c>
      <x:c r="T33" s="58" t="str">
        <x:v>POSTERIOR/SCENARIO; WITHHELD_PENDING_APPROVAL</x:v>
      </x:c>
    </x:row>
    <x:row r="34">
      <x:c r="A34" s="58" t="n">
        <x:v>30</x:v>
      </x:c>
      <x:c r="B34" s="58" t="str">
        <x:v>E09-payments</x:v>
      </x:c>
      <x:c r="C34" s="58" t="str">
        <x:v>E09</x:v>
      </x:c>
      <x:c r="D34" s="58" t="str">
        <x:v>Shoprite Holdings</x:v>
      </x:c>
      <x:c r="E34" s="58" t="str">
        <x:v>consumer</x:v>
      </x:c>
      <x:c r="F34" s="58" t="str">
        <x:v>Payments</x:v>
      </x:c>
      <x:c r="G34" s="58" t="str">
        <x:v>APPROVED</x:v>
      </x:c>
      <x:c r="H34" s="58" t="str">
        <x:v>E1</x:v>
      </x:c>
      <x:c r="I34" s="79" t="n">
        <x:v>7657917974</x:v>
      </x:c>
      <x:c r="J34" s="79" t="n">
        <x:v>34072005576</x:v>
      </x:c>
      <x:c r="K34" s="79" t="n">
        <x:v>48573612755</x:v>
      </x:c>
      <x:c r="L34" s="79" t="n">
        <x:v>85097319344</x:v>
      </x:c>
      <x:c r="M34" s="60" t="n">
        <x:v>0.08999014</x:v>
      </x:c>
      <x:c r="N34" s="60" t="n">
        <x:v>0.15765593</x:v>
      </x:c>
      <x:c r="O34" s="60" t="n">
        <x:v>0.22475689</x:v>
      </x:c>
      <x:c r="P34" s="60" t="n">
        <x:v>0.4</x:v>
      </x:c>
      <x:c r="Q34" s="78" t="n">
        <x:v>11771527128</x:v>
      </x:c>
      <x:c r="R34" s="78" t="n">
        <x:v>725126</x:v>
      </x:c>
      <x:c r="S34" s="58" t="str">
        <x:v>VALIDATE_WALLET_AND_FEASIBILITY</x:v>
      </x:c>
      <x:c r="T34" s="58" t="str">
        <x:v>POSTERIOR/SCENARIO; ACTIVATED</x:v>
      </x:c>
    </x:row>
    <x:row r="35">
      <x:c r="A35" s="58" t="n">
        <x:v>31</x:v>
      </x:c>
      <x:c r="B35" s="58" t="str">
        <x:v>E09-collections</x:v>
      </x:c>
      <x:c r="C35" s="58" t="str">
        <x:v>E09</x:v>
      </x:c>
      <x:c r="D35" s="58" t="str">
        <x:v>Shoprite Holdings</x:v>
      </x:c>
      <x:c r="E35" s="58" t="str">
        <x:v>consumer</x:v>
      </x:c>
      <x:c r="F35" s="58" t="str">
        <x:v>Collections</x:v>
      </x:c>
      <x:c r="G35" s="58" t="str">
        <x:v>APPROVED</x:v>
      </x:c>
      <x:c r="H35" s="58" t="str">
        <x:v>E1</x:v>
      </x:c>
      <x:c r="I35" s="79" t="n">
        <x:v>2673495089</x:v>
      </x:c>
      <x:c r="J35" s="79" t="n">
        <x:v>18471108572</x:v>
      </x:c>
      <x:c r="K35" s="79" t="n">
        <x:v>26122091406</x:v>
      </x:c>
      <x:c r="L35" s="79" t="n">
        <x:v>44181193145</x:v>
      </x:c>
      <x:c r="M35" s="60" t="n">
        <x:v>0.06051207</x:v>
      </x:c>
      <x:c r="N35" s="60" t="n">
        <x:v>0.10234614</x:v>
      </x:c>
      <x:c r="O35" s="60" t="n">
        <x:v>0.14473929</x:v>
      </x:c>
      <x:c r="P35" s="60" t="n">
        <x:v>0.4</x:v>
      </x:c>
      <x:c r="Q35" s="78" t="n">
        <x:v>7775341473</x:v>
      </x:c>
      <x:c r="R35" s="78" t="n">
        <x:v>718442</x:v>
      </x:c>
      <x:c r="S35" s="58" t="str">
        <x:v>VALIDATE_WALLET_AND_FEASIBILITY</x:v>
      </x:c>
      <x:c r="T35" s="58" t="str">
        <x:v>POSTERIOR/SCENARIO; ACTIVATED</x:v>
      </x:c>
    </x:row>
    <x:row r="36">
      <x:c r="A36" s="58" t="n">
        <x:v>32</x:v>
      </x:c>
      <x:c r="B36" s="58" t="str">
        <x:v>E15-cross-border-fx</x:v>
      </x:c>
      <x:c r="C36" s="58" t="str">
        <x:v>E15</x:v>
      </x:c>
      <x:c r="D36" s="58" t="str">
        <x:v>Naspers</x:v>
      </x:c>
      <x:c r="E36" s="58" t="str">
        <x:v>tech</x:v>
      </x:c>
      <x:c r="F36" s="58" t="str">
        <x:v>Cross-border FX</x:v>
      </x:c>
      <x:c r="G36" s="58" t="str">
        <x:v>PENDING_REVIEW_EXCLUDED</x:v>
      </x:c>
      <x:c r="H36" s="58" t="str">
        <x:v>E0</x:v>
      </x:c>
      <x:c r="I36" s="79" t="n">
        <x:v>2051310999</x:v>
      </x:c>
      <x:c r="J36" s="79" t="n">
        <x:v>3731109271</x:v>
      </x:c>
      <x:c r="K36" s="79" t="n">
        <x:v>7167983194</x:v>
      </x:c>
      <x:c r="L36" s="79" t="n">
        <x:v>21392587725</x:v>
      </x:c>
      <x:c r="M36" s="60" t="n">
        <x:v>0.0958889</x:v>
      </x:c>
      <x:c r="N36" s="60" t="n">
        <x:v>0.28617687</x:v>
      </x:c>
      <x:c r="O36" s="60" t="n">
        <x:v>0.54978583</x:v>
      </x:c>
      <x:c r="P36" s="60" t="n">
        <x:v>0.4</x:v>
      </x:c>
      <x:c r="Q36" s="78" t="n">
        <x:v>815882278</x:v>
      </x:c>
      <x:c r="R36" s="78" t="n">
        <x:v>565406</x:v>
      </x:c>
      <x:c r="S36" s="58" t="str">
        <x:v>DISCOVER_TOTAL_WALLET_AND_VALIDATE_PUBLIC_CANDIDATE</x:v>
      </x:c>
      <x:c r="T36" s="58" t="str">
        <x:v>POSTERIOR/SCENARIO; WITHHELD_PENDING_APPROVAL</x:v>
      </x:c>
    </x:row>
    <x:row r="37">
      <x:c r="A37" s="58" t="n">
        <x:v>33</x:v>
      </x:c>
      <x:c r="B37" s="58" t="str">
        <x:v>E18-liquidity</x:v>
      </x:c>
      <x:c r="C37" s="58" t="str">
        <x:v>E18</x:v>
      </x:c>
      <x:c r="D37" s="58" t="str">
        <x:v>The Bidvest Group</x:v>
      </x:c>
      <x:c r="E37" s="58" t="str">
        <x:v>industrials_pharma</x:v>
      </x:c>
      <x:c r="F37" s="58" t="str">
        <x:v>Liquidity</x:v>
      </x:c>
      <x:c r="G37" s="58" t="str">
        <x:v>PENDING_REVIEW_EXCLUDED</x:v>
      </x:c>
      <x:c r="H37" s="58" t="str">
        <x:v>E0</x:v>
      </x:c>
      <x:c r="I37" s="79" t="n">
        <x:v>2312524650</x:v>
      </x:c>
      <x:c r="J37" s="79" t="n">
        <x:v>4208865664</x:v>
      </x:c>
      <x:c r="K37" s="79" t="n">
        <x:v>8736184855</x:v>
      </x:c>
      <x:c r="L37" s="79" t="n">
        <x:v>27319764777</x:v>
      </x:c>
      <x:c r="M37" s="60" t="n">
        <x:v>0.08464714</x:v>
      </x:c>
      <x:c r="N37" s="60" t="n">
        <x:v>0.26470647</x:v>
      </x:c>
      <x:c r="O37" s="60" t="n">
        <x:v>0.54944131</x:v>
      </x:c>
      <x:c r="P37" s="60" t="n">
        <x:v>0.4</x:v>
      </x:c>
      <x:c r="Q37" s="78" t="n">
        <x:v>1181949292</x:v>
      </x:c>
      <x:c r="R37" s="78" t="n">
        <x:v>546061</x:v>
      </x:c>
      <x:c r="S37" s="58" t="str">
        <x:v>DISCOVER_TOTAL_WALLET_AND_VALIDATE_PUBLIC_CANDIDATE</x:v>
      </x:c>
      <x:c r="T37" s="58" t="str">
        <x:v>POSTERIOR/SCENARIO; WITHHELD_PENDING_APPROVAL</x:v>
      </x:c>
    </x:row>
    <x:row r="38">
      <x:c r="A38" s="58" t="n">
        <x:v>34</x:v>
      </x:c>
      <x:c r="B38" s="58" t="str">
        <x:v>E14-cross-border-fx</x:v>
      </x:c>
      <x:c r="C38" s="58" t="str">
        <x:v>E14</x:v>
      </x:c>
      <x:c r="D38" s="58" t="str">
        <x:v>Prosus</x:v>
      </x:c>
      <x:c r="E38" s="58" t="str">
        <x:v>tech</x:v>
      </x:c>
      <x:c r="F38" s="58" t="str">
        <x:v>Cross-border FX</x:v>
      </x:c>
      <x:c r="G38" s="58" t="str">
        <x:v>PENDING_REVIEW_EXCLUDED</x:v>
      </x:c>
      <x:c r="H38" s="58" t="str">
        <x:v>E0</x:v>
      </x:c>
      <x:c r="I38" s="79" t="n">
        <x:v>1971289912</x:v>
      </x:c>
      <x:c r="J38" s="79" t="n">
        <x:v>3590044636</x:v>
      </x:c>
      <x:c r="K38" s="79" t="n">
        <x:v>6845668425</x:v>
      </x:c>
      <x:c r="L38" s="79" t="n">
        <x:v>20249719379</x:v>
      </x:c>
      <x:c r="M38" s="60" t="n">
        <x:v>0.097349</x:v>
      </x:c>
      <x:c r="N38" s="60" t="n">
        <x:v>0.28796164</x:v>
      </x:c>
      <x:c r="O38" s="60" t="n">
        <x:v>0.54909909</x:v>
      </x:c>
      <x:c r="P38" s="60" t="n">
        <x:v>0.4</x:v>
      </x:c>
      <x:c r="Q38" s="78" t="n">
        <x:v>766977458</x:v>
      </x:c>
      <x:c r="R38" s="78" t="n">
        <x:v>531515</x:v>
      </x:c>
      <x:c r="S38" s="58" t="str">
        <x:v>DISCOVER_TOTAL_WALLET_AND_VALIDATE_PUBLIC_CANDIDATE</x:v>
      </x:c>
      <x:c r="T38" s="58" t="str">
        <x:v>POSTERIOR/SCENARIO; WITHHELD_PENDING_APPROVAL</x:v>
      </x:c>
    </x:row>
    <x:row r="39">
      <x:c r="A39" s="58" t="n">
        <x:v>35</x:v>
      </x:c>
      <x:c r="B39" s="58" t="str">
        <x:v>E09-cross-border-fx</x:v>
      </x:c>
      <x:c r="C39" s="58" t="str">
        <x:v>E09</x:v>
      </x:c>
      <x:c r="D39" s="58" t="str">
        <x:v>Shoprite Holdings</x:v>
      </x:c>
      <x:c r="E39" s="58" t="str">
        <x:v>consumer</x:v>
      </x:c>
      <x:c r="F39" s="58" t="str">
        <x:v>Cross-border FX</x:v>
      </x:c>
      <x:c r="G39" s="58" t="str">
        <x:v>APPROVED</x:v>
      </x:c>
      <x:c r="H39" s="58" t="str">
        <x:v>E1</x:v>
      </x:c>
      <x:c r="I39" s="79" t="n">
        <x:v>3347437360</x:v>
      </x:c>
      <x:c r="J39" s="79" t="n">
        <x:v>6535121415</x:v>
      </x:c>
      <x:c r="K39" s="79" t="n">
        <x:v>10270557088</x:v>
      </x:c>
      <x:c r="L39" s="79" t="n">
        <x:v>20831129580</x:v>
      </x:c>
      <x:c r="M39" s="60" t="n">
        <x:v>0.16069403</x:v>
      </x:c>
      <x:c r="N39" s="60" t="n">
        <x:v>0.32592559</x:v>
      </x:c>
      <x:c r="O39" s="60" t="n">
        <x:v>0.51222288</x:v>
      </x:c>
      <x:c r="P39" s="60" t="n">
        <x:v>0.4</x:v>
      </x:c>
      <x:c r="Q39" s="78" t="n">
        <x:v>760785475</x:v>
      </x:c>
      <x:c r="R39" s="78" t="n">
        <x:v>527224</x:v>
      </x:c>
      <x:c r="S39" s="58" t="str">
        <x:v>VALIDATE_WALLET_AND_FEASIBILITY</x:v>
      </x:c>
      <x:c r="T39" s="58" t="str">
        <x:v>POSTERIOR/SCENARIO; ACTIVATED</x:v>
      </x:c>
    </x:row>
    <x:row r="40">
      <x:c r="A40" s="58" t="n">
        <x:v>36</x:v>
      </x:c>
      <x:c r="B40" s="58" t="str">
        <x:v>E18-cross-border-fx</x:v>
      </x:c>
      <x:c r="C40" s="58" t="str">
        <x:v>E18</x:v>
      </x:c>
      <x:c r="D40" s="58" t="str">
        <x:v>The Bidvest Group</x:v>
      </x:c>
      <x:c r="E40" s="58" t="str">
        <x:v>industrials_pharma</x:v>
      </x:c>
      <x:c r="F40" s="58" t="str">
        <x:v>Cross-border FX</x:v>
      </x:c>
      <x:c r="G40" s="58" t="str">
        <x:v>PENDING_REVIEW_EXCLUDED</x:v>
      </x:c>
      <x:c r="H40" s="58" t="str">
        <x:v>E0</x:v>
      </x:c>
      <x:c r="I40" s="79" t="n">
        <x:v>1612092315</x:v>
      </x:c>
      <x:c r="J40" s="79" t="n">
        <x:v>2923216517</x:v>
      </x:c>
      <x:c r="K40" s="79" t="n">
        <x:v>5626888319</x:v>
      </x:c>
      <x:c r="L40" s="79" t="n">
        <x:v>16776074399</x:v>
      </x:c>
      <x:c r="M40" s="60" t="n">
        <x:v>0.09609473</x:v>
      </x:c>
      <x:c r="N40" s="60" t="n">
        <x:v>0.28649802</x:v>
      </x:c>
      <x:c r="O40" s="60" t="n">
        <x:v>0.55147893</x:v>
      </x:c>
      <x:c r="P40" s="60" t="n">
        <x:v>0.4</x:v>
      </x:c>
      <x:c r="Q40" s="78" t="n">
        <x:v>638663012</x:v>
      </x:c>
      <x:c r="R40" s="78" t="n">
        <x:v>442593</x:v>
      </x:c>
      <x:c r="S40" s="58" t="str">
        <x:v>DISCOVER_TOTAL_WALLET_AND_VALIDATE_PUBLIC_CANDIDATE</x:v>
      </x:c>
      <x:c r="T40" s="58" t="str">
        <x:v>POSTERIOR/SCENARIO; WITHHELD_PENDING_APPROVAL</x:v>
      </x:c>
    </x:row>
    <x:row r="41">
      <x:c r="A41" s="58" t="n">
        <x:v>37</x:v>
      </x:c>
      <x:c r="B41" s="58" t="str">
        <x:v>E17-trade-finance</x:v>
      </x:c>
      <x:c r="C41" s="58" t="str">
        <x:v>E17</x:v>
      </x:c>
      <x:c r="D41" s="58" t="str">
        <x:v>Vodacom Group</x:v>
      </x:c>
      <x:c r="E41" s="58" t="str">
        <x:v>telecoms</x:v>
      </x:c>
      <x:c r="F41" s="58" t="str">
        <x:v>Trade finance</x:v>
      </x:c>
      <x:c r="G41" s="58" t="str">
        <x:v>PENDING_REVIEW_EXCLUDED</x:v>
      </x:c>
      <x:c r="H41" s="58" t="str">
        <x:v>E0</x:v>
      </x:c>
      <x:c r="I41" s="79" t="n">
        <x:v>180738874</x:v>
      </x:c>
      <x:c r="J41" s="79" t="n">
        <x:v>337320586</x:v>
      </x:c>
      <x:c r="K41" s="79" t="n">
        <x:v>757235737</x:v>
      </x:c>
      <x:c r="L41" s="79" t="n">
        <x:v>2918062912</x:v>
      </x:c>
      <x:c r="M41" s="60" t="n">
        <x:v>0.06193796</x:v>
      </x:c>
      <x:c r="N41" s="60" t="n">
        <x:v>0.23868246</x:v>
      </x:c>
      <x:c r="O41" s="60" t="n">
        <x:v>0.53580745</x:v>
      </x:c>
      <x:c r="P41" s="60" t="n">
        <x:v>0.4</x:v>
      </x:c>
      <x:c r="Q41" s="78" t="n">
        <x:v>122155421</x:v>
      </x:c>
      <x:c r="R41" s="78" t="n">
        <x:v>423269</x:v>
      </x:c>
      <x:c r="S41" s="58" t="str">
        <x:v>DISCOVER_TOTAL_WALLET_AND_VALIDATE_PUBLIC_CANDIDATE</x:v>
      </x:c>
      <x:c r="T41" s="58" t="str">
        <x:v>POSTERIOR/SCENARIO; WITHHELD_PENDING_APPROVAL</x:v>
      </x:c>
    </x:row>
    <x:row r="42">
      <x:c r="A42" s="58" t="n">
        <x:v>38</x:v>
      </x:c>
      <x:c r="B42" s="58" t="str">
        <x:v>E19-liquidity</x:v>
      </x:c>
      <x:c r="C42" s="58" t="str">
        <x:v>E19</x:v>
      </x:c>
      <x:c r="D42" s="58" t="str">
        <x:v>Aspen Pharmacare</x:v>
      </x:c>
      <x:c r="E42" s="58" t="str">
        <x:v>industrials_pharma</x:v>
      </x:c>
      <x:c r="F42" s="58" t="str">
        <x:v>Liquidity</x:v>
      </x:c>
      <x:c r="G42" s="58" t="str">
        <x:v>PENDING_REVIEW_EXCLUDED</x:v>
      </x:c>
      <x:c r="H42" s="58" t="str">
        <x:v>E0</x:v>
      </x:c>
      <x:c r="I42" s="79" t="n">
        <x:v>1726712925</x:v>
      </x:c>
      <x:c r="J42" s="79" t="n">
        <x:v>3231322094</x:v>
      </x:c>
      <x:c r="K42" s="79" t="n">
        <x:v>6570429869</x:v>
      </x:c>
      <x:c r="L42" s="79" t="n">
        <x:v>20781851793</x:v>
      </x:c>
      <x:c r="M42" s="60" t="n">
        <x:v>0.08308754</x:v>
      </x:c>
      <x:c r="N42" s="60" t="n">
        <x:v>0.26280062</x:v>
      </x:c>
      <x:c r="O42" s="60" t="n">
        <x:v>0.53436733</x:v>
      </x:c>
      <x:c r="P42" s="60" t="n">
        <x:v>0.4</x:v>
      </x:c>
      <x:c r="Q42" s="78" t="n">
        <x:v>901459022</x:v>
      </x:c>
      <x:c r="R42" s="78" t="n">
        <x:v>416474</x:v>
      </x:c>
      <x:c r="S42" s="58" t="str">
        <x:v>DISCOVER_TOTAL_WALLET_AND_VALIDATE_PUBLIC_CANDIDATE</x:v>
      </x:c>
      <x:c r="T42" s="58" t="str">
        <x:v>POSTERIOR/SCENARIO; WITHHELD_PENDING_APPROVAL</x:v>
      </x:c>
    </x:row>
    <x:row r="43">
      <x:c r="A43" s="58" t="n">
        <x:v>39</x:v>
      </x:c>
      <x:c r="B43" s="58" t="str">
        <x:v>E19-cross-border-fx</x:v>
      </x:c>
      <x:c r="C43" s="58" t="str">
        <x:v>E19</x:v>
      </x:c>
      <x:c r="D43" s="58" t="str">
        <x:v>Aspen Pharmacare</x:v>
      </x:c>
      <x:c r="E43" s="58" t="str">
        <x:v>industrials_pharma</x:v>
      </x:c>
      <x:c r="F43" s="58" t="str">
        <x:v>Cross-border FX</x:v>
      </x:c>
      <x:c r="G43" s="58" t="str">
        <x:v>PENDING_REVIEW_EXCLUDED</x:v>
      </x:c>
      <x:c r="H43" s="58" t="str">
        <x:v>E0</x:v>
      </x:c>
      <x:c r="I43" s="79" t="n">
        <x:v>1411158690</x:v>
      </x:c>
      <x:c r="J43" s="79" t="n">
        <x:v>2559549647</x:v>
      </x:c>
      <x:c r="K43" s="79" t="n">
        <x:v>4942360689</x:v>
      </x:c>
      <x:c r="L43" s="79" t="n">
        <x:v>14012127540</x:v>
      </x:c>
      <x:c r="M43" s="60" t="n">
        <x:v>0.10070982</x:v>
      </x:c>
      <x:c r="N43" s="60" t="n">
        <x:v>0.28552321</x:v>
      </x:c>
      <x:c r="O43" s="60" t="n">
        <x:v>0.55133085</x:v>
      </x:c>
      <x:c r="P43" s="60" t="n">
        <x:v>0.4</x:v>
      </x:c>
      <x:c r="Q43" s="78" t="n">
        <x:v>565785586</x:v>
      </x:c>
      <x:c r="R43" s="78" t="n">
        <x:v>392089</x:v>
      </x:c>
      <x:c r="S43" s="58" t="str">
        <x:v>DISCOVER_TOTAL_WALLET_AND_VALIDATE_PUBLIC_CANDIDATE</x:v>
      </x:c>
      <x:c r="T43" s="58" t="str">
        <x:v>POSTERIOR/SCENARIO; WITHHELD_PENDING_APPROVAL</x:v>
      </x:c>
    </x:row>
    <x:row r="44">
      <x:c r="A44" s="58" t="n">
        <x:v>40</x:v>
      </x:c>
      <x:c r="B44" s="58" t="str">
        <x:v>E08-trade-finance</x:v>
      </x:c>
      <x:c r="C44" s="58" t="str">
        <x:v>E08</x:v>
      </x:c>
      <x:c r="D44" s="58" t="str">
        <x:v>Sanlam</x:v>
      </x:c>
      <x:c r="E44" s="58" t="str">
        <x:v>insurance</x:v>
      </x:c>
      <x:c r="F44" s="58" t="str">
        <x:v>Trade finance</x:v>
      </x:c>
      <x:c r="G44" s="58" t="str">
        <x:v>PENDING_REVIEW_EXCLUDED</x:v>
      </x:c>
      <x:c r="H44" s="58" t="str">
        <x:v>E0</x:v>
      </x:c>
      <x:c r="I44" s="79" t="n">
        <x:v>150787778</x:v>
      </x:c>
      <x:c r="J44" s="79" t="n">
        <x:v>282874018</x:v>
      </x:c>
      <x:c r="K44" s="79" t="n">
        <x:v>633982716</x:v>
      </x:c>
      <x:c r="L44" s="79" t="n">
        <x:v>2738548410</x:v>
      </x:c>
      <x:c r="M44" s="60" t="n">
        <x:v>0.05506138</x:v>
      </x:c>
      <x:c r="N44" s="60" t="n">
        <x:v>0.23784218</x:v>
      </x:c>
      <x:c r="O44" s="60" t="n">
        <x:v>0.5330565</x:v>
      </x:c>
      <x:c r="P44" s="60" t="n">
        <x:v>0.4</x:v>
      </x:c>
      <x:c r="Q44" s="78" t="n">
        <x:v>102805308</x:v>
      </x:c>
      <x:c r="R44" s="78" t="n">
        <x:v>356220</x:v>
      </x:c>
      <x:c r="S44" s="58" t="str">
        <x:v>DISCOVER_TOTAL_WALLET_AND_VALIDATE_PUBLIC_CANDIDATE</x:v>
      </x:c>
      <x:c r="T44" s="58" t="str">
        <x:v>POSTERIOR/SCENARIO; WITHHELD_PENDING_APPROVAL</x:v>
      </x:c>
    </x:row>
    <x:row r="45">
      <x:c r="A45" s="58" t="n">
        <x:v>41</x:v>
      </x:c>
      <x:c r="B45" s="58" t="str">
        <x:v>E11-payments</x:v>
      </x:c>
      <x:c r="C45" s="58" t="str">
        <x:v>E11</x:v>
      </x:c>
      <x:c r="D45" s="58" t="str">
        <x:v>Pepkor Holdings</x:v>
      </x:c>
      <x:c r="E45" s="58" t="str">
        <x:v>consumer</x:v>
      </x:c>
      <x:c r="F45" s="58" t="str">
        <x:v>Payments</x:v>
      </x:c>
      <x:c r="G45" s="58" t="str">
        <x:v>PENDING_REVIEW_EXCLUDED</x:v>
      </x:c>
      <x:c r="H45" s="58" t="str">
        <x:v>E0</x:v>
      </x:c>
      <x:c r="I45" s="79" t="n">
        <x:v>23988481714</x:v>
      </x:c>
      <x:c r="J45" s="79" t="n">
        <x:v>42472631178</x:v>
      </x:c>
      <x:c r="K45" s="79" t="n">
        <x:v>72021783593</x:v>
      </x:c>
      <x:c r="L45" s="79" t="n">
        <x:v>172999102460</x:v>
      </x:c>
      <x:c r="M45" s="60" t="n">
        <x:v>0.13866247</x:v>
      </x:c>
      <x:c r="N45" s="60" t="n">
        <x:v>0.33307259</x:v>
      </x:c>
      <x:c r="O45" s="60" t="n">
        <x:v>0.56479858</x:v>
      </x:c>
      <x:c r="P45" s="60" t="n">
        <x:v>0.4</x:v>
      </x:c>
      <x:c r="Q45" s="78" t="n">
        <x:v>4820231724</x:v>
      </x:c>
      <x:c r="R45" s="78" t="n">
        <x:v>296926</x:v>
      </x:c>
      <x:c r="S45" s="58" t="str">
        <x:v>DISCOVER_TOTAL_WALLET_AND_VALIDATE_PUBLIC_CANDIDATE</x:v>
      </x:c>
      <x:c r="T45" s="58" t="str">
        <x:v>POSTERIOR/SCENARIO; WITHHELD_PENDING_APPROVAL</x:v>
      </x:c>
    </x:row>
    <x:row r="46">
      <x:c r="A46" s="58" t="n">
        <x:v>42</x:v>
      </x:c>
      <x:c r="B46" s="58" t="str">
        <x:v>E07-cross-border-fx</x:v>
      </x:c>
      <x:c r="C46" s="58" t="str">
        <x:v>E07</x:v>
      </x:c>
      <x:c r="D46" s="58" t="str">
        <x:v>OUTsurance Group</x:v>
      </x:c>
      <x:c r="E46" s="58" t="str">
        <x:v>insurance</x:v>
      </x:c>
      <x:c r="F46" s="58" t="str">
        <x:v>Cross-border FX</x:v>
      </x:c>
      <x:c r="G46" s="58" t="str">
        <x:v>PENDING_REVIEW_EXCLUDED</x:v>
      </x:c>
      <x:c r="H46" s="58" t="str">
        <x:v>E0</x:v>
      </x:c>
      <x:c r="I46" s="79" t="n">
        <x:v>1135855218</x:v>
      </x:c>
      <x:c r="J46" s="79" t="n">
        <x:v>2055966236</x:v>
      </x:c>
      <x:c r="K46" s="79" t="n">
        <x:v>3884904817</x:v>
      </x:c>
      <x:c r="L46" s="79" t="n">
        <x:v>11312412585</x:v>
      </x:c>
      <x:c r="M46" s="60" t="n">
        <x:v>0.10040794</x:v>
      </x:c>
      <x:c r="N46" s="60" t="n">
        <x:v>0.29237659</x:v>
      </x:c>
      <x:c r="O46" s="60" t="n">
        <x:v>0.55246784</x:v>
      </x:c>
      <x:c r="P46" s="60" t="n">
        <x:v>0.4</x:v>
      </x:c>
      <x:c r="Q46" s="78" t="n">
        <x:v>418106709</x:v>
      </x:c>
      <x:c r="R46" s="78" t="n">
        <x:v>289748</x:v>
      </x:c>
      <x:c r="S46" s="58" t="str">
        <x:v>DISCOVER_TOTAL_WALLET_AND_VALIDATE_PUBLIC_CANDIDATE</x:v>
      </x:c>
      <x:c r="T46" s="58" t="str">
        <x:v>POSTERIOR/SCENARIO; WITHHELD_PENDING_APPROVAL</x:v>
      </x:c>
    </x:row>
    <x:row r="47">
      <x:c r="A47" s="58" t="n">
        <x:v>43</x:v>
      </x:c>
      <x:c r="B47" s="58" t="str">
        <x:v>E12-cross-border-fx</x:v>
      </x:c>
      <x:c r="C47" s="58" t="str">
        <x:v>E12</x:v>
      </x:c>
      <x:c r="D47" s="58" t="str">
        <x:v>Clicks Group</x:v>
      </x:c>
      <x:c r="E47" s="58" t="str">
        <x:v>consumer</x:v>
      </x:c>
      <x:c r="F47" s="58" t="str">
        <x:v>Cross-border FX</x:v>
      </x:c>
      <x:c r="G47" s="58" t="str">
        <x:v>PENDING_REVIEW_EXCLUDED</x:v>
      </x:c>
      <x:c r="H47" s="58" t="str">
        <x:v>E0</x:v>
      </x:c>
      <x:c r="I47" s="79" t="n">
        <x:v>1004899576</x:v>
      </x:c>
      <x:c r="J47" s="79" t="n">
        <x:v>1846609394</x:v>
      </x:c>
      <x:c r="K47" s="79" t="n">
        <x:v>3542594058</x:v>
      </x:c>
      <x:c r="L47" s="79" t="n">
        <x:v>10091183456</x:v>
      </x:c>
      <x:c r="M47" s="60" t="n">
        <x:v>0.09958196</x:v>
      </x:c>
      <x:c r="N47" s="60" t="n">
        <x:v>0.2836621</x:v>
      </x:c>
      <x:c r="O47" s="60" t="n">
        <x:v>0.54418632</x:v>
      </x:c>
      <x:c r="P47" s="60" t="n">
        <x:v>0.4</x:v>
      </x:c>
      <x:c r="Q47" s="78" t="n">
        <x:v>412138047</x:v>
      </x:c>
      <x:c r="R47" s="78" t="n">
        <x:v>285612</x:v>
      </x:c>
      <x:c r="S47" s="58" t="str">
        <x:v>DISCOVER_TOTAL_WALLET_AND_VALIDATE_PUBLIC_CANDIDATE</x:v>
      </x:c>
      <x:c r="T47" s="58" t="str">
        <x:v>POSTERIOR/SCENARIO; WITHHELD_PENDING_APPROVAL</x:v>
      </x:c>
    </x:row>
    <x:row r="48">
      <x:c r="A48" s="58" t="n">
        <x:v>44</x:v>
      </x:c>
      <x:c r="B48" s="58" t="str">
        <x:v>E06-trade-finance</x:v>
      </x:c>
      <x:c r="C48" s="58" t="str">
        <x:v>E06</x:v>
      </x:c>
      <x:c r="D48" s="58" t="str">
        <x:v>Valterra Platinum</x:v>
      </x:c>
      <x:c r="E48" s="58" t="str">
        <x:v>mining</x:v>
      </x:c>
      <x:c r="F48" s="58" t="str">
        <x:v>Trade finance</x:v>
      </x:c>
      <x:c r="G48" s="58" t="str">
        <x:v>PENDING_REVIEW_EXCLUDED</x:v>
      </x:c>
      <x:c r="H48" s="58" t="str">
        <x:v>E0</x:v>
      </x:c>
      <x:c r="I48" s="79" t="n">
        <x:v>115378320</x:v>
      </x:c>
      <x:c r="J48" s="79" t="n">
        <x:v>215545288</x:v>
      </x:c>
      <x:c r="K48" s="79" t="n">
        <x:v>489413992</x:v>
      </x:c>
      <x:c r="L48" s="79" t="n">
        <x:v>2113791649</x:v>
      </x:c>
      <x:c r="M48" s="60" t="n">
        <x:v>0.05458359</x:v>
      </x:c>
      <x:c r="N48" s="60" t="n">
        <x:v>0.2357479</x:v>
      </x:c>
      <x:c r="O48" s="60" t="n">
        <x:v>0.53528575</x:v>
      </x:c>
      <x:c r="P48" s="60" t="n">
        <x:v>0.4</x:v>
      </x:c>
      <x:c r="Q48" s="78" t="n">
        <x:v>80387276</x:v>
      </x:c>
      <x:c r="R48" s="78" t="n">
        <x:v>278542</x:v>
      </x:c>
      <x:c r="S48" s="58" t="str">
        <x:v>DISCOVER_TOTAL_WALLET_AND_VALIDATE_PUBLIC_CANDIDATE</x:v>
      </x:c>
      <x:c r="T48" s="58" t="str">
        <x:v>POSTERIOR/SCENARIO; WITHHELD_PENDING_APPROVAL</x:v>
      </x:c>
    </x:row>
    <x:row r="49">
      <x:c r="A49" s="58" t="n">
        <x:v>45</x:v>
      </x:c>
      <x:c r="B49" s="58" t="str">
        <x:v>E03-cross-border-fx</x:v>
      </x:c>
      <x:c r="C49" s="58" t="str">
        <x:v>E03</x:v>
      </x:c>
      <x:c r="D49" s="58" t="str">
        <x:v>Anglo American</x:v>
      </x:c>
      <x:c r="E49" s="58" t="str">
        <x:v>mining</x:v>
      </x:c>
      <x:c r="F49" s="58" t="str">
        <x:v>Cross-border FX</x:v>
      </x:c>
      <x:c r="G49" s="58" t="str">
        <x:v>PENDING_REVIEW_EXCLUDED</x:v>
      </x:c>
      <x:c r="H49" s="58" t="str">
        <x:v>E0</x:v>
      </x:c>
      <x:c r="I49" s="79" t="n">
        <x:v>992003847</x:v>
      </x:c>
      <x:c r="J49" s="79" t="n">
        <x:v>1817557381</x:v>
      </x:c>
      <x:c r="K49" s="79" t="n">
        <x:v>3471227416</x:v>
      </x:c>
      <x:c r="L49" s="79" t="n">
        <x:v>10429520313</x:v>
      </x:c>
      <x:c r="M49" s="60" t="n">
        <x:v>0.09511502</x:v>
      </x:c>
      <x:c r="N49" s="60" t="n">
        <x:v>0.285779</x:v>
      </x:c>
      <x:c r="O49" s="60" t="n">
        <x:v>0.54578957</x:v>
      </x:c>
      <x:c r="P49" s="60" t="n">
        <x:v>0.4</x:v>
      </x:c>
      <x:c r="Q49" s="78" t="n">
        <x:v>396487119</x:v>
      </x:c>
      <x:c r="R49" s="78" t="n">
        <x:v>274766</x:v>
      </x:c>
      <x:c r="S49" s="58" t="str">
        <x:v>DISCOVER_TOTAL_WALLET_AND_VALIDATE_PUBLIC_CANDIDATE</x:v>
      </x:c>
      <x:c r="T49" s="58" t="str">
        <x:v>POSTERIOR/SCENARIO; WITHHELD_PENDING_APPROVAL</x:v>
      </x:c>
    </x:row>
    <x:row r="50">
      <x:c r="A50" s="58" t="n">
        <x:v>46</x:v>
      </x:c>
      <x:c r="B50" s="58" t="str">
        <x:v>E04-liquidity</x:v>
      </x:c>
      <x:c r="C50" s="58" t="str">
        <x:v>E04</x:v>
      </x:c>
      <x:c r="D50" s="58" t="str">
        <x:v>AngloGold Ashanti</x:v>
      </x:c>
      <x:c r="E50" s="58" t="str">
        <x:v>mining</x:v>
      </x:c>
      <x:c r="F50" s="58" t="str">
        <x:v>Liquidity</x:v>
      </x:c>
      <x:c r="G50" s="58" t="str">
        <x:v>PENDING_REVIEW_EXCLUDED</x:v>
      </x:c>
      <x:c r="H50" s="58" t="str">
        <x:v>E0</x:v>
      </x:c>
      <x:c r="I50" s="79" t="n">
        <x:v>967211658</x:v>
      </x:c>
      <x:c r="J50" s="79" t="n">
        <x:v>1758938555</x:v>
      </x:c>
      <x:c r="K50" s="79" t="n">
        <x:v>3770962987</x:v>
      </x:c>
      <x:c r="L50" s="79" t="n">
        <x:v>11928787755</x:v>
      </x:c>
      <x:c r="M50" s="60" t="n">
        <x:v>0.08108214</x:v>
      </x:c>
      <x:c r="N50" s="60" t="n">
        <x:v>0.2564893</x:v>
      </x:c>
      <x:c r="O50" s="60" t="n">
        <x:v>0.54988372</x:v>
      </x:c>
      <x:c r="P50" s="60" t="n">
        <x:v>0.4</x:v>
      </x:c>
      <x:c r="Q50" s="78" t="n">
        <x:v>541173537</x:v>
      </x:c>
      <x:c r="R50" s="78" t="n">
        <x:v>250022</x:v>
      </x:c>
      <x:c r="S50" s="58" t="str">
        <x:v>DISCOVER_TOTAL_WALLET_AND_VALIDATE_PUBLIC_CANDIDATE</x:v>
      </x:c>
      <x:c r="T50" s="58" t="str">
        <x:v>POSTERIOR/SCENARIO; WITHHELD_PENDING_APPROVAL</x:v>
      </x:c>
    </x:row>
    <x:row r="51">
      <x:c r="A51" s="58" t="n">
        <x:v>47</x:v>
      </x:c>
      <x:c r="B51" s="58" t="str">
        <x:v>E05-cross-border-fx</x:v>
      </x:c>
      <x:c r="C51" s="58" t="str">
        <x:v>E05</x:v>
      </x:c>
      <x:c r="D51" s="58" t="str">
        <x:v>Gold Fields</x:v>
      </x:c>
      <x:c r="E51" s="58" t="str">
        <x:v>mining</x:v>
      </x:c>
      <x:c r="F51" s="58" t="str">
        <x:v>Cross-border FX</x:v>
      </x:c>
      <x:c r="G51" s="58" t="str">
        <x:v>PENDING_REVIEW_EXCLUDED</x:v>
      </x:c>
      <x:c r="H51" s="58" t="str">
        <x:v>E0</x:v>
      </x:c>
      <x:c r="I51" s="79" t="n">
        <x:v>895360390</x:v>
      </x:c>
      <x:c r="J51" s="79" t="n">
        <x:v>1641397084</x:v>
      </x:c>
      <x:c r="K51" s="79" t="n">
        <x:v>3121336355</x:v>
      </x:c>
      <x:c r="L51" s="79" t="n">
        <x:v>9158314768</x:v>
      </x:c>
      <x:c r="M51" s="60" t="n">
        <x:v>0.09776475</x:v>
      </x:c>
      <x:c r="N51" s="60" t="n">
        <x:v>0.28685162</x:v>
      </x:c>
      <x:c r="O51" s="60" t="n">
        <x:v>0.54548679</x:v>
      </x:c>
      <x:c r="P51" s="60" t="n">
        <x:v>0.4</x:v>
      </x:c>
      <x:c r="Q51" s="78" t="n">
        <x:v>353174152</x:v>
      </x:c>
      <x:c r="R51" s="78" t="n">
        <x:v>244750</x:v>
      </x:c>
      <x:c r="S51" s="58" t="str">
        <x:v>DISCOVER_TOTAL_WALLET_AND_VALIDATE_PUBLIC_CANDIDATE</x:v>
      </x:c>
      <x:c r="T51" s="58" t="str">
        <x:v>POSTERIOR/SCENARIO; WITHHELD_PENDING_APPROVAL</x:v>
      </x:c>
    </x:row>
    <x:row r="52">
      <x:c r="A52" s="58" t="n">
        <x:v>48</x:v>
      </x:c>
      <x:c r="B52" s="58" t="str">
        <x:v>E04-cross-border-fx</x:v>
      </x:c>
      <x:c r="C52" s="58" t="str">
        <x:v>E04</x:v>
      </x:c>
      <x:c r="D52" s="58" t="str">
        <x:v>AngloGold Ashanti</x:v>
      </x:c>
      <x:c r="E52" s="58" t="str">
        <x:v>mining</x:v>
      </x:c>
      <x:c r="F52" s="58" t="str">
        <x:v>Cross-border FX</x:v>
      </x:c>
      <x:c r="G52" s="58" t="str">
        <x:v>PENDING_REVIEW_EXCLUDED</x:v>
      </x:c>
      <x:c r="H52" s="58" t="str">
        <x:v>E0</x:v>
      </x:c>
      <x:c r="I52" s="79" t="n">
        <x:v>846568733</x:v>
      </x:c>
      <x:c r="J52" s="79" t="n">
        <x:v>1558495649</x:v>
      </x:c>
      <x:c r="K52" s="79" t="n">
        <x:v>2967059225</x:v>
      </x:c>
      <x:c r="L52" s="79" t="n">
        <x:v>8914172680</x:v>
      </x:c>
      <x:c r="M52" s="60" t="n">
        <x:v>0.09496885</x:v>
      </x:c>
      <x:c r="N52" s="60" t="n">
        <x:v>0.28532249</x:v>
      </x:c>
      <x:c r="O52" s="60" t="n">
        <x:v>0.54319609</x:v>
      </x:c>
      <x:c r="P52" s="60" t="n">
        <x:v>0.4</x:v>
      </x:c>
      <x:c r="Q52" s="78" t="n">
        <x:v>340254957</x:v>
      </x:c>
      <x:c r="R52" s="78" t="n">
        <x:v>235797</x:v>
      </x:c>
      <x:c r="S52" s="58" t="str">
        <x:v>DISCOVER_TOTAL_WALLET_AND_VALIDATE_PUBLIC_CANDIDATE</x:v>
      </x:c>
      <x:c r="T52" s="58" t="str">
        <x:v>POSTERIOR/SCENARIO; WITHHELD_PENDING_APPROVAL</x:v>
      </x:c>
    </x:row>
    <x:row r="53">
      <x:c r="A53" s="58" t="n">
        <x:v>49</x:v>
      </x:c>
      <x:c r="B53" s="58" t="str">
        <x:v>E14-liquidity</x:v>
      </x:c>
      <x:c r="C53" s="58" t="str">
        <x:v>E14</x:v>
      </x:c>
      <x:c r="D53" s="58" t="str">
        <x:v>Prosus</x:v>
      </x:c>
      <x:c r="E53" s="58" t="str">
        <x:v>tech</x:v>
      </x:c>
      <x:c r="F53" s="58" t="str">
        <x:v>Liquidity</x:v>
      </x:c>
      <x:c r="G53" s="58" t="str">
        <x:v>PENDING_REVIEW_EXCLUDED</x:v>
      </x:c>
      <x:c r="H53" s="58" t="str">
        <x:v>E0</x:v>
      </x:c>
      <x:c r="I53" s="79" t="n">
        <x:v>942680095</x:v>
      </x:c>
      <x:c r="J53" s="79" t="n">
        <x:v>1735960895</x:v>
      </x:c>
      <x:c r="K53" s="79" t="n">
        <x:v>3557844290</x:v>
      </x:c>
      <x:c r="L53" s="79" t="n">
        <x:v>11773925269</x:v>
      </x:c>
      <x:c r="M53" s="60" t="n">
        <x:v>0.08006508</x:v>
      </x:c>
      <x:c r="N53" s="60" t="n">
        <x:v>0.26495824</x:v>
      </x:c>
      <x:c r="O53" s="60" t="n">
        <x:v>0.54303072</x:v>
      </x:c>
      <x:c r="P53" s="60" t="n">
        <x:v>0.4</x:v>
      </x:c>
      <x:c r="Q53" s="78" t="n">
        <x:v>480457621</x:v>
      </x:c>
      <x:c r="R53" s="78" t="n">
        <x:v>221971</x:v>
      </x:c>
      <x:c r="S53" s="58" t="str">
        <x:v>DISCOVER_TOTAL_WALLET_AND_VALIDATE_PUBLIC_CANDIDATE</x:v>
      </x:c>
      <x:c r="T53" s="58" t="str">
        <x:v>POSTERIOR/SCENARIO; WITHHELD_PENDING_APPROVAL</x:v>
      </x:c>
    </x:row>
    <x:row r="54">
      <x:c r="A54" s="58" t="n">
        <x:v>50</x:v>
      </x:c>
      <x:c r="B54" s="58" t="str">
        <x:v>E05-liquidity</x:v>
      </x:c>
      <x:c r="C54" s="58" t="str">
        <x:v>E05</x:v>
      </x:c>
      <x:c r="D54" s="58" t="str">
        <x:v>Gold Fields</x:v>
      </x:c>
      <x:c r="E54" s="58" t="str">
        <x:v>mining</x:v>
      </x:c>
      <x:c r="F54" s="58" t="str">
        <x:v>Liquidity</x:v>
      </x:c>
      <x:c r="G54" s="58" t="str">
        <x:v>PENDING_REVIEW_EXCLUDED</x:v>
      </x:c>
      <x:c r="H54" s="58" t="str">
        <x:v>E0</x:v>
      </x:c>
      <x:c r="I54" s="79" t="n">
        <x:v>841474889</x:v>
      </x:c>
      <x:c r="J54" s="79" t="n">
        <x:v>1567041593</x:v>
      </x:c>
      <x:c r="K54" s="79" t="n">
        <x:v>3188833625</x:v>
      </x:c>
      <x:c r="L54" s="79" t="n">
        <x:v>10487012703</x:v>
      </x:c>
      <x:c r="M54" s="60" t="n">
        <x:v>0.08023988</x:v>
      </x:c>
      <x:c r="N54" s="60" t="n">
        <x:v>0.26388172</x:v>
      </x:c>
      <x:c r="O54" s="60" t="n">
        <x:v>0.53698312</x:v>
      </x:c>
      <x:c r="P54" s="60" t="n">
        <x:v>0.4</x:v>
      </x:c>
      <x:c r="Q54" s="78" t="n">
        <x:v>434058561</x:v>
      </x:c>
      <x:c r="R54" s="78" t="n">
        <x:v>200535</x:v>
      </x:c>
      <x:c r="S54" s="58" t="str">
        <x:v>DISCOVER_TOTAL_WALLET_AND_VALIDATE_PUBLIC_CANDIDATE</x:v>
      </x:c>
      <x:c r="T54" s="58" t="str">
        <x:v>POSTERIOR/SCENARIO; WITHHELD_PENDING_APPROVAL</x:v>
      </x:c>
    </x:row>
    <x:row r="55">
      <x:c r="A55" s="58" t="n">
        <x:v>51</x:v>
      </x:c>
      <x:c r="B55" s="58" t="str">
        <x:v>E07-trade-finance</x:v>
      </x:c>
      <x:c r="C55" s="58" t="str">
        <x:v>E07</x:v>
      </x:c>
      <x:c r="D55" s="58" t="str">
        <x:v>OUTsurance Group</x:v>
      </x:c>
      <x:c r="E55" s="58" t="str">
        <x:v>insurance</x:v>
      </x:c>
      <x:c r="F55" s="58" t="str">
        <x:v>Trade finance</x:v>
      </x:c>
      <x:c r="G55" s="58" t="str">
        <x:v>PENDING_REVIEW_EXCLUDED</x:v>
      </x:c>
      <x:c r="H55" s="58" t="str">
        <x:v>E0</x:v>
      </x:c>
      <x:c r="I55" s="79" t="n">
        <x:v>78607465</x:v>
      </x:c>
      <x:c r="J55" s="79" t="n">
        <x:v>149566742</x:v>
      </x:c>
      <x:c r="K55" s="79" t="n">
        <x:v>330967120</x:v>
      </x:c>
      <x:c r="L55" s="79" t="n">
        <x:v>1460207145</x:v>
      </x:c>
      <x:c r="M55" s="60" t="n">
        <x:v>0.05383309</x:v>
      </x:c>
      <x:c r="N55" s="60" t="n">
        <x:v>0.2375084</x:v>
      </x:c>
      <x:c r="O55" s="60" t="n">
        <x:v>0.52556782</x:v>
      </x:c>
      <x:c r="P55" s="60" t="n">
        <x:v>0.4</x:v>
      </x:c>
      <x:c r="Q55" s="78" t="n">
        <x:v>53779383</x:v>
      </x:c>
      <x:c r="R55" s="78" t="n">
        <x:v>186346</x:v>
      </x:c>
      <x:c r="S55" s="58" t="str">
        <x:v>DISCOVER_TOTAL_WALLET_AND_VALIDATE_PUBLIC_CANDIDATE</x:v>
      </x:c>
      <x:c r="T55" s="58" t="str">
        <x:v>POSTERIOR/SCENARIO; WITHHELD_PENDING_APPROVAL</x:v>
      </x:c>
    </x:row>
    <x:row r="56">
      <x:c r="A56" s="58" t="n">
        <x:v>52</x:v>
      </x:c>
      <x:c r="B56" s="58" t="str">
        <x:v>E08-payments</x:v>
      </x:c>
      <x:c r="C56" s="58" t="str">
        <x:v>E08</x:v>
      </x:c>
      <x:c r="D56" s="58" t="str">
        <x:v>Sanlam</x:v>
      </x:c>
      <x:c r="E56" s="58" t="str">
        <x:v>insurance</x:v>
      </x:c>
      <x:c r="F56" s="58" t="str">
        <x:v>Payments</x:v>
      </x:c>
      <x:c r="G56" s="58" t="str">
        <x:v>PENDING_REVIEW_EXCLUDED</x:v>
      </x:c>
      <x:c r="H56" s="58" t="str">
        <x:v>E0</x:v>
      </x:c>
      <x:c r="I56" s="79" t="n">
        <x:v>13465818000</x:v>
      </x:c>
      <x:c r="J56" s="79" t="n">
        <x:v>23482911602</x:v>
      </x:c>
      <x:c r="K56" s="79" t="n">
        <x:v>40768161837</x:v>
      </x:c>
      <x:c r="L56" s="79" t="n">
        <x:v>96850998232</x:v>
      </x:c>
      <x:c r="M56" s="60" t="n">
        <x:v>0.13903649</x:v>
      </x:c>
      <x:c r="N56" s="60" t="n">
        <x:v>0.33030231</x:v>
      </x:c>
      <x:c r="O56" s="60" t="n">
        <x:v>0.57343052</x:v>
      </x:c>
      <x:c r="P56" s="60" t="n">
        <x:v>0.4</x:v>
      </x:c>
      <x:c r="Q56" s="78" t="n">
        <x:v>2841446735</x:v>
      </x:c>
      <x:c r="R56" s="78" t="n">
        <x:v>175033</x:v>
      </x:c>
      <x:c r="S56" s="58" t="str">
        <x:v>DISCOVER_TOTAL_WALLET_AND_VALIDATE_PUBLIC_CANDIDATE</x:v>
      </x:c>
      <x:c r="T56" s="58" t="str">
        <x:v>POSTERIOR/SCENARIO; WITHHELD_PENDING_APPROVAL</x:v>
      </x:c>
    </x:row>
    <x:row r="57">
      <x:c r="A57" s="58" t="n">
        <x:v>53</x:v>
      </x:c>
      <x:c r="B57" s="58" t="str">
        <x:v>E15-liquidity</x:v>
      </x:c>
      <x:c r="C57" s="58" t="str">
        <x:v>E15</x:v>
      </x:c>
      <x:c r="D57" s="58" t="str">
        <x:v>Naspers</x:v>
      </x:c>
      <x:c r="E57" s="58" t="str">
        <x:v>tech</x:v>
      </x:c>
      <x:c r="F57" s="58" t="str">
        <x:v>Liquidity</x:v>
      </x:c>
      <x:c r="G57" s="58" t="str">
        <x:v>PENDING_REVIEW_EXCLUDED</x:v>
      </x:c>
      <x:c r="H57" s="58" t="str">
        <x:v>E0</x:v>
      </x:c>
      <x:c r="I57" s="79" t="n">
        <x:v>713462143</x:v>
      </x:c>
      <x:c r="J57" s="79" t="n">
        <x:v>1330650861</x:v>
      </x:c>
      <x:c r="K57" s="79" t="n">
        <x:v>2707909573</x:v>
      </x:c>
      <x:c r="L57" s="79" t="n">
        <x:v>9410799984</x:v>
      </x:c>
      <x:c r="M57" s="60" t="n">
        <x:v>0.07581313</x:v>
      </x:c>
      <x:c r="N57" s="60" t="n">
        <x:v>0.2634734</x:v>
      </x:c>
      <x:c r="O57" s="60" t="n">
        <x:v>0.53617532</x:v>
      </x:c>
      <x:c r="P57" s="60" t="n">
        <x:v>0.4</x:v>
      </x:c>
      <x:c r="Q57" s="78" t="n">
        <x:v>369701686</x:v>
      </x:c>
      <x:c r="R57" s="78" t="n">
        <x:v>170802</x:v>
      </x:c>
      <x:c r="S57" s="58" t="str">
        <x:v>DISCOVER_TOTAL_WALLET_AND_VALIDATE_PUBLIC_CANDIDATE</x:v>
      </x:c>
      <x:c r="T57" s="58" t="str">
        <x:v>POSTERIOR/SCENARIO; WITHHELD_PENDING_APPROVAL</x:v>
      </x:c>
    </x:row>
    <x:row r="58">
      <x:c r="A58" s="58" t="n">
        <x:v>54</x:v>
      </x:c>
      <x:c r="B58" s="58" t="str">
        <x:v>E12-trade-finance</x:v>
      </x:c>
      <x:c r="C58" s="58" t="str">
        <x:v>E12</x:v>
      </x:c>
      <x:c r="D58" s="58" t="str">
        <x:v>Clicks Group</x:v>
      </x:c>
      <x:c r="E58" s="58" t="str">
        <x:v>consumer</x:v>
      </x:c>
      <x:c r="F58" s="58" t="str">
        <x:v>Trade finance</x:v>
      </x:c>
      <x:c r="G58" s="58" t="str">
        <x:v>PENDING_REVIEW_EXCLUDED</x:v>
      </x:c>
      <x:c r="H58" s="58" t="str">
        <x:v>E0</x:v>
      </x:c>
      <x:c r="I58" s="79" t="n">
        <x:v>63867543</x:v>
      </x:c>
      <x:c r="J58" s="79" t="n">
        <x:v>124436320</x:v>
      </x:c>
      <x:c r="K58" s="79" t="n">
        <x:v>270700453</x:v>
      </x:c>
      <x:c r="L58" s="79" t="n">
        <x:v>1103917081</x:v>
      </x:c>
      <x:c r="M58" s="60" t="n">
        <x:v>0.05785538</x:v>
      </x:c>
      <x:c r="N58" s="60" t="n">
        <x:v>0.23593438</x:v>
      </x:c>
      <x:c r="O58" s="60" t="n">
        <x:v>0.51325501</x:v>
      </x:c>
      <x:c r="P58" s="60" t="n">
        <x:v>0.4</x:v>
      </x:c>
      <x:c r="Q58" s="78" t="n">
        <x:v>44412639</x:v>
      </x:c>
      <x:c r="R58" s="78" t="n">
        <x:v>153890</x:v>
      </x:c>
      <x:c r="S58" s="58" t="str">
        <x:v>DISCOVER_TOTAL_WALLET_AND_VALIDATE_PUBLIC_CANDIDATE</x:v>
      </x:c>
      <x:c r="T58" s="58" t="str">
        <x:v>POSTERIOR/SCENARIO; WITHHELD_PENDING_APPROVAL</x:v>
      </x:c>
    </x:row>
    <x:row r="59">
      <x:c r="A59" s="58" t="n">
        <x:v>55</x:v>
      </x:c>
      <x:c r="B59" s="58" t="str">
        <x:v>E11-collections</x:v>
      </x:c>
      <x:c r="C59" s="58" t="str">
        <x:v>E11</x:v>
      </x:c>
      <x:c r="D59" s="58" t="str">
        <x:v>Pepkor Holdings</x:v>
      </x:c>
      <x:c r="E59" s="58" t="str">
        <x:v>consumer</x:v>
      </x:c>
      <x:c r="F59" s="58" t="str">
        <x:v>Collections</x:v>
      </x:c>
      <x:c r="G59" s="58" t="str">
        <x:v>PENDING_REVIEW_EXCLUDED</x:v>
      </x:c>
      <x:c r="H59" s="58" t="str">
        <x:v>E0</x:v>
      </x:c>
      <x:c r="I59" s="79" t="n">
        <x:v>9333614299</x:v>
      </x:c>
      <x:c r="J59" s="79" t="n">
        <x:v>15860812498</x:v>
      </x:c>
      <x:c r="K59" s="79" t="n">
        <x:v>26604343535</x:v>
      </x:c>
      <x:c r="L59" s="79" t="n">
        <x:v>61049850573</x:v>
      </x:c>
      <x:c r="M59" s="60" t="n">
        <x:v>0.15288513</x:v>
      </x:c>
      <x:c r="N59" s="60" t="n">
        <x:v>0.35083047</x:v>
      </x:c>
      <x:c r="O59" s="60" t="n">
        <x:v>0.58847012</x:v>
      </x:c>
      <x:c r="P59" s="60" t="n">
        <x:v>0.4</x:v>
      </x:c>
      <x:c r="Q59" s="78" t="n">
        <x:v>1308123115</x:v>
      </x:c>
      <x:c r="R59" s="78" t="n">
        <x:v>120871</x:v>
      </x:c>
      <x:c r="S59" s="58" t="str">
        <x:v>DISCOVER_TOTAL_WALLET_AND_VALIDATE_PUBLIC_CANDIDATE</x:v>
      </x:c>
      <x:c r="T59" s="58" t="str">
        <x:v>POSTERIOR/SCENARIO; WITHHELD_PENDING_APPROVAL</x:v>
      </x:c>
    </x:row>
    <x:row r="60">
      <x:c r="A60" s="58" t="n">
        <x:v>56</x:v>
      </x:c>
      <x:c r="B60" s="58" t="str">
        <x:v>E10-payments</x:v>
      </x:c>
      <x:c r="C60" s="58" t="str">
        <x:v>E10</x:v>
      </x:c>
      <x:c r="D60" s="58" t="str">
        <x:v>Bid Corporation</x:v>
      </x:c>
      <x:c r="E60" s="58" t="str">
        <x:v>consumer</x:v>
      </x:c>
      <x:c r="F60" s="58" t="str">
        <x:v>Payments</x:v>
      </x:c>
      <x:c r="G60" s="58" t="str">
        <x:v>PENDING_REVIEW_EXCLUDED</x:v>
      </x:c>
      <x:c r="H60" s="58" t="str">
        <x:v>E0</x:v>
      </x:c>
      <x:c r="I60" s="79" t="n">
        <x:v>9281806459</x:v>
      </x:c>
      <x:c r="J60" s="79" t="n">
        <x:v>16139680924</x:v>
      </x:c>
      <x:c r="K60" s="79" t="n">
        <x:v>27923990729</x:v>
      </x:c>
      <x:c r="L60" s="79" t="n">
        <x:v>65242158433</x:v>
      </x:c>
      <x:c r="M60" s="60" t="n">
        <x:v>0.14226701</x:v>
      </x:c>
      <x:c r="N60" s="60" t="n">
        <x:v>0.33239541</x:v>
      </x:c>
      <x:c r="O60" s="60" t="n">
        <x:v>0.57509232</x:v>
      </x:c>
      <x:c r="P60" s="60" t="n">
        <x:v>0.4</x:v>
      </x:c>
      <x:c r="Q60" s="78" t="n">
        <x:v>1887789832</x:v>
      </x:c>
      <x:c r="R60" s="78" t="n">
        <x:v>116288</x:v>
      </x:c>
      <x:c r="S60" s="58" t="str">
        <x:v>DISCOVER_TOTAL_WALLET_AND_VALIDATE_PUBLIC_CANDIDATE</x:v>
      </x:c>
      <x:c r="T60" s="58" t="str">
        <x:v>POSTERIOR/SCENARIO; WITHHELD_PENDING_APPROVAL</x:v>
      </x:c>
    </x:row>
    <x:row r="61">
      <x:c r="A61" s="58" t="n">
        <x:v>57</x:v>
      </x:c>
      <x:c r="B61" s="58" t="str">
        <x:v>E15-trade-finance</x:v>
      </x:c>
      <x:c r="C61" s="58" t="str">
        <x:v>E15</x:v>
      </x:c>
      <x:c r="D61" s="58" t="str">
        <x:v>Naspers</x:v>
      </x:c>
      <x:c r="E61" s="58" t="str">
        <x:v>tech</x:v>
      </x:c>
      <x:c r="F61" s="58" t="str">
        <x:v>Trade finance</x:v>
      </x:c>
      <x:c r="G61" s="58" t="str">
        <x:v>PENDING_REVIEW_EXCLUDED</x:v>
      </x:c>
      <x:c r="H61" s="58" t="str">
        <x:v>E0</x:v>
      </x:c>
      <x:c r="I61" s="79" t="n">
        <x:v>45388341</x:v>
      </x:c>
      <x:c r="J61" s="79" t="n">
        <x:v>83914406</x:v>
      </x:c>
      <x:c r="K61" s="79" t="n">
        <x:v>191597262</x:v>
      </x:c>
      <x:c r="L61" s="79" t="n">
        <x:v>765700864</x:v>
      </x:c>
      <x:c r="M61" s="60" t="n">
        <x:v>0.05927686</x:v>
      </x:c>
      <x:c r="N61" s="60" t="n">
        <x:v>0.23689455</x:v>
      </x:c>
      <x:c r="O61" s="60" t="n">
        <x:v>0.54088855</x:v>
      </x:c>
      <x:c r="P61" s="60" t="n">
        <x:v>0.4</x:v>
      </x:c>
      <x:c r="Q61" s="78" t="n">
        <x:v>31250563</x:v>
      </x:c>
      <x:c r="R61" s="78" t="n">
        <x:v>108283</x:v>
      </x:c>
      <x:c r="S61" s="58" t="str">
        <x:v>DISCOVER_TOTAL_WALLET_AND_VALIDATE_PUBLIC_CANDIDATE</x:v>
      </x:c>
      <x:c r="T61" s="58" t="str">
        <x:v>POSTERIOR/SCENARIO; WITHHELD_PENDING_APPROVAL</x:v>
      </x:c>
    </x:row>
    <x:row r="62">
      <x:c r="A62" s="58" t="n">
        <x:v>58</x:v>
      </x:c>
      <x:c r="B62" s="58" t="str">
        <x:v>E16-payments</x:v>
      </x:c>
      <x:c r="C62" s="58" t="str">
        <x:v>E16</x:v>
      </x:c>
      <x:c r="D62" s="58" t="str">
        <x:v>MTN Group</x:v>
      </x:c>
      <x:c r="E62" s="58" t="str">
        <x:v>telecoms</x:v>
      </x:c>
      <x:c r="F62" s="58" t="str">
        <x:v>Payments</x:v>
      </x:c>
      <x:c r="G62" s="58" t="str">
        <x:v>PENDING_REVIEW_EXCLUDED</x:v>
      </x:c>
      <x:c r="H62" s="58" t="str">
        <x:v>E0</x:v>
      </x:c>
      <x:c r="I62" s="79" t="n">
        <x:v>7554265622</x:v>
      </x:c>
      <x:c r="J62" s="79" t="n">
        <x:v>13305436691</x:v>
      </x:c>
      <x:c r="K62" s="79" t="n">
        <x:v>22592618554</x:v>
      </x:c>
      <x:c r="L62" s="79" t="n">
        <x:v>55401383735</x:v>
      </x:c>
      <x:c r="M62" s="60" t="n">
        <x:v>0.13635518</x:v>
      </x:c>
      <x:c r="N62" s="60" t="n">
        <x:v>0.33436877</x:v>
      </x:c>
      <x:c r="O62" s="60" t="n">
        <x:v>0.56775782</x:v>
      </x:c>
      <x:c r="P62" s="60" t="n">
        <x:v>0.4</x:v>
      </x:c>
      <x:c r="Q62" s="78" t="n">
        <x:v>1482781799</x:v>
      </x:c>
      <x:c r="R62" s="78" t="n">
        <x:v>91339</x:v>
      </x:c>
      <x:c r="S62" s="58" t="str">
        <x:v>DISCOVER_TOTAL_WALLET_AND_VALIDATE_PUBLIC_CANDIDATE</x:v>
      </x:c>
      <x:c r="T62" s="58" t="str">
        <x:v>POSTERIOR/SCENARIO; WITHHELD_PENDING_APPROVAL</x:v>
      </x:c>
    </x:row>
    <x:row r="63">
      <x:c r="A63" s="58" t="n">
        <x:v>59</x:v>
      </x:c>
      <x:c r="B63" s="58" t="str">
        <x:v>E13-cross-border-fx</x:v>
      </x:c>
      <x:c r="C63" s="58" t="str">
        <x:v>E13</x:v>
      </x:c>
      <x:c r="D63" s="58" t="str">
        <x:v>NEPI Rockcastle</x:v>
      </x:c>
      <x:c r="E63" s="58" t="str">
        <x:v>real_estate</x:v>
      </x:c>
      <x:c r="F63" s="58" t="str">
        <x:v>Cross-border FX</x:v>
      </x:c>
      <x:c r="G63" s="58" t="str">
        <x:v>PENDING_REVIEW_EXCLUDED</x:v>
      </x:c>
      <x:c r="H63" s="58" t="str">
        <x:v>E0</x:v>
      </x:c>
      <x:c r="I63" s="79" t="n">
        <x:v>303281526</x:v>
      </x:c>
      <x:c r="J63" s="79" t="n">
        <x:v>554801417</x:v>
      </x:c>
      <x:c r="K63" s="79" t="n">
        <x:v>1040819196</x:v>
      </x:c>
      <x:c r="L63" s="79" t="n">
        <x:v>3198995576</x:v>
      </x:c>
      <x:c r="M63" s="60" t="n">
        <x:v>0.09480524</x:v>
      </x:c>
      <x:c r="N63" s="60" t="n">
        <x:v>0.29138733</x:v>
      </x:c>
      <x:c r="O63" s="60" t="n">
        <x:v>0.5466488</x:v>
      </x:c>
      <x:c r="P63" s="60" t="n">
        <x:v>0.4</x:v>
      </x:c>
      <x:c r="Q63" s="78" t="n">
        <x:v>113046152</x:v>
      </x:c>
      <x:c r="R63" s="78" t="n">
        <x:v>78341</x:v>
      </x:c>
      <x:c r="S63" s="58" t="str">
        <x:v>DISCOVER_TOTAL_WALLET_AND_VALIDATE_PUBLIC_CANDIDATE</x:v>
      </x:c>
      <x:c r="T63" s="58" t="str">
        <x:v>POSTERIOR/SCENARIO; WITHHELD_PENDING_APPROVAL</x:v>
      </x:c>
    </x:row>
    <x:row r="64">
      <x:c r="A64" s="58" t="n">
        <x:v>60</x:v>
      </x:c>
      <x:c r="B64" s="58" t="str">
        <x:v>E14-trade-finance</x:v>
      </x:c>
      <x:c r="C64" s="58" t="str">
        <x:v>E14</x:v>
      </x:c>
      <x:c r="D64" s="58" t="str">
        <x:v>Prosus</x:v>
      </x:c>
      <x:c r="E64" s="58" t="str">
        <x:v>tech</x:v>
      </x:c>
      <x:c r="F64" s="58" t="str">
        <x:v>Trade finance</x:v>
      </x:c>
      <x:c r="G64" s="58" t="str">
        <x:v>PENDING_REVIEW_EXCLUDED</x:v>
      </x:c>
      <x:c r="H64" s="58" t="str">
        <x:v>E0</x:v>
      </x:c>
      <x:c r="I64" s="79" t="n">
        <x:v>32376359</x:v>
      </x:c>
      <x:c r="J64" s="79" t="n">
        <x:v>61732942</x:v>
      </x:c>
      <x:c r="K64" s="79" t="n">
        <x:v>136481679</x:v>
      </x:c>
      <x:c r="L64" s="79" t="n">
        <x:v>577410003</x:v>
      </x:c>
      <x:c r="M64" s="60" t="n">
        <x:v>0.0560717</x:v>
      </x:c>
      <x:c r="N64" s="60" t="n">
        <x:v>0.23722133</x:v>
      </x:c>
      <x:c r="O64" s="60" t="n">
        <x:v>0.5244584</x:v>
      </x:c>
      <x:c r="P64" s="60" t="n">
        <x:v>0.4</x:v>
      </x:c>
      <x:c r="Q64" s="78" t="n">
        <x:v>22216313</x:v>
      </x:c>
      <x:c r="R64" s="78" t="n">
        <x:v>76980</x:v>
      </x:c>
      <x:c r="S64" s="58" t="str">
        <x:v>DISCOVER_TOTAL_WALLET_AND_VALIDATE_PUBLIC_CANDIDATE</x:v>
      </x:c>
      <x:c r="T64" s="58" t="str">
        <x:v>POSTERIOR/SCENARIO; WITHHELD_PENDING_APPROVAL</x:v>
      </x:c>
    </x:row>
    <x:row r="65">
      <x:c r="A65" s="58" t="n">
        <x:v>61</x:v>
      </x:c>
      <x:c r="B65" s="58" t="str">
        <x:v>E08-collections</x:v>
      </x:c>
      <x:c r="C65" s="58" t="str">
        <x:v>E08</x:v>
      </x:c>
      <x:c r="D65" s="58" t="str">
        <x:v>Sanlam</x:v>
      </x:c>
      <x:c r="E65" s="58" t="str">
        <x:v>insurance</x:v>
      </x:c>
      <x:c r="F65" s="58" t="str">
        <x:v>Collections</x:v>
      </x:c>
      <x:c r="G65" s="58" t="str">
        <x:v>PENDING_REVIEW_EXCLUDED</x:v>
      </x:c>
      <x:c r="H65" s="58" t="str">
        <x:v>E0</x:v>
      </x:c>
      <x:c r="I65" s="79" t="n">
        <x:v>5302959760</x:v>
      </x:c>
      <x:c r="J65" s="79" t="n">
        <x:v>8949474876</x:v>
      </x:c>
      <x:c r="K65" s="79" t="n">
        <x:v>15072617326</x:v>
      </x:c>
      <x:c r="L65" s="79" t="n">
        <x:v>35328834395</x:v>
      </x:c>
      <x:c r="M65" s="60" t="n">
        <x:v>0.15010291</x:v>
      </x:c>
      <x:c r="N65" s="60" t="n">
        <x:v>0.35182744</x:v>
      </x:c>
      <x:c r="O65" s="60" t="n">
        <x:v>0.59254424</x:v>
      </x:c>
      <x:c r="P65" s="60" t="n">
        <x:v>0.4</x:v>
      </x:c>
      <x:c r="Q65" s="78" t="n">
        <x:v>726087170</x:v>
      </x:c>
      <x:c r="R65" s="78" t="n">
        <x:v>67090</x:v>
      </x:c>
      <x:c r="S65" s="58" t="str">
        <x:v>DISCOVER_TOTAL_WALLET_AND_VALIDATE_PUBLIC_CANDIDATE</x:v>
      </x:c>
      <x:c r="T65" s="58" t="str">
        <x:v>POSTERIOR/SCENARIO; WITHHELD_PENDING_APPROVAL</x:v>
      </x:c>
    </x:row>
    <x:row r="66">
      <x:c r="A66" s="58" t="n">
        <x:v>62</x:v>
      </x:c>
      <x:c r="B66" s="58" t="str">
        <x:v>E06-cross-border-fx</x:v>
      </x:c>
      <x:c r="C66" s="58" t="str">
        <x:v>E06</x:v>
      </x:c>
      <x:c r="D66" s="58" t="str">
        <x:v>Valterra Platinum</x:v>
      </x:c>
      <x:c r="E66" s="58" t="str">
        <x:v>mining</x:v>
      </x:c>
      <x:c r="F66" s="58" t="str">
        <x:v>Cross-border FX</x:v>
      </x:c>
      <x:c r="G66" s="58" t="str">
        <x:v>PENDING_REVIEW_EXCLUDED</x:v>
      </x:c>
      <x:c r="H66" s="58" t="str">
        <x:v>E0</x:v>
      </x:c>
      <x:c r="I66" s="79" t="n">
        <x:v>202511541</x:v>
      </x:c>
      <x:c r="J66" s="79" t="n">
        <x:v>369490904</x:v>
      </x:c>
      <x:c r="K66" s="79" t="n">
        <x:v>712889814</x:v>
      </x:c>
      <x:c r="L66" s="79" t="n">
        <x:v>2035738142</x:v>
      </x:c>
      <x:c r="M66" s="60" t="n">
        <x:v>0.09947819</x:v>
      </x:c>
      <x:c r="N66" s="60" t="n">
        <x:v>0.28407131</x:v>
      </x:c>
      <x:c r="O66" s="60" t="n">
        <x:v>0.54808263</x:v>
      </x:c>
      <x:c r="P66" s="60" t="n">
        <x:v>0.4</x:v>
      </x:c>
      <x:c r="Q66" s="78" t="n">
        <x:v>82644385</x:v>
      </x:c>
      <x:c r="R66" s="78" t="n">
        <x:v>57273</x:v>
      </x:c>
      <x:c r="S66" s="58" t="str">
        <x:v>DISCOVER_TOTAL_WALLET_AND_VALIDATE_PUBLIC_CANDIDATE</x:v>
      </x:c>
      <x:c r="T66" s="58" t="str">
        <x:v>POSTERIOR/SCENARIO; WITHHELD_PENDING_APPROVAL</x:v>
      </x:c>
    </x:row>
    <x:row r="67">
      <x:c r="A67" s="58" t="n">
        <x:v>63</x:v>
      </x:c>
      <x:c r="B67" s="58" t="str">
        <x:v>E03-collections</x:v>
      </x:c>
      <x:c r="C67" s="58" t="str">
        <x:v>E03</x:v>
      </x:c>
      <x:c r="D67" s="58" t="str">
        <x:v>Anglo American</x:v>
      </x:c>
      <x:c r="E67" s="58" t="str">
        <x:v>mining</x:v>
      </x:c>
      <x:c r="F67" s="58" t="str">
        <x:v>Collections</x:v>
      </x:c>
      <x:c r="G67" s="58" t="str">
        <x:v>PENDING_REVIEW_EXCLUDED</x:v>
      </x:c>
      <x:c r="H67" s="58" t="str">
        <x:v>E0</x:v>
      </x:c>
      <x:c r="I67" s="79" t="n">
        <x:v>4294499423</x:v>
      </x:c>
      <x:c r="J67" s="79" t="n">
        <x:v>7225388408</x:v>
      </x:c>
      <x:c r="K67" s="79" t="n">
        <x:v>12145025815</x:v>
      </x:c>
      <x:c r="L67" s="79" t="n">
        <x:v>27063204610</x:v>
      </x:c>
      <x:c r="M67" s="60" t="n">
        <x:v>0.15868408</x:v>
      </x:c>
      <x:c r="N67" s="60" t="n">
        <x:v>0.35360152</x:v>
      </x:c>
      <x:c r="O67" s="60" t="n">
        <x:v>0.59436244</x:v>
      </x:c>
      <x:c r="P67" s="60" t="n">
        <x:v>0.4</x:v>
      </x:c>
      <x:c r="Q67" s="78" t="n">
        <x:v>563510903</x:v>
      </x:c>
      <x:c r="R67" s="78" t="n">
        <x:v>52068</x:v>
      </x:c>
      <x:c r="S67" s="58" t="str">
        <x:v>DISCOVER_TOTAL_WALLET_AND_VALIDATE_PUBLIC_CANDIDATE</x:v>
      </x:c>
      <x:c r="T67" s="58" t="str">
        <x:v>POSTERIOR/SCENARIO; WITHHELD_PENDING_APPROVAL</x:v>
      </x:c>
    </x:row>
    <x:row r="68">
      <x:c r="A68" s="58" t="n">
        <x:v>64</x:v>
      </x:c>
      <x:c r="B68" s="58" t="str">
        <x:v>E18-payments</x:v>
      </x:c>
      <x:c r="C68" s="58" t="str">
        <x:v>E18</x:v>
      </x:c>
      <x:c r="D68" s="58" t="str">
        <x:v>The Bidvest Group</x:v>
      </x:c>
      <x:c r="E68" s="58" t="str">
        <x:v>industrials_pharma</x:v>
      </x:c>
      <x:c r="F68" s="58" t="str">
        <x:v>Payments</x:v>
      </x:c>
      <x:c r="G68" s="58" t="str">
        <x:v>PENDING_REVIEW_EXCLUDED</x:v>
      </x:c>
      <x:c r="H68" s="58" t="str">
        <x:v>E0</x:v>
      </x:c>
      <x:c r="I68" s="79" t="n">
        <x:v>3384008829</x:v>
      </x:c>
      <x:c r="J68" s="79" t="n">
        <x:v>5886055240</x:v>
      </x:c>
      <x:c r="K68" s="79" t="n">
        <x:v>10327025845</x:v>
      </x:c>
      <x:c r="L68" s="79" t="n">
        <x:v>24232970803</x:v>
      </x:c>
      <x:c r="M68" s="60" t="n">
        <x:v>0.13964482</x:v>
      </x:c>
      <x:c r="N68" s="60" t="n">
        <x:v>0.32768476</x:v>
      </x:c>
      <x:c r="O68" s="60" t="n">
        <x:v>0.57491965</x:v>
      </x:c>
      <x:c r="P68" s="60" t="n">
        <x:v>0.4</x:v>
      </x:c>
      <x:c r="Q68" s="78" t="n">
        <x:v>746801509</x:v>
      </x:c>
      <x:c r="R68" s="78" t="n">
        <x:v>46003</x:v>
      </x:c>
      <x:c r="S68" s="58" t="str">
        <x:v>DISCOVER_TOTAL_WALLET_AND_VALIDATE_PUBLIC_CANDIDATE</x:v>
      </x:c>
      <x:c r="T68" s="58" t="str">
        <x:v>POSTERIOR/SCENARIO; WITHHELD_PENDING_APPROVAL</x:v>
      </x:c>
    </x:row>
    <x:row r="69">
      <x:c r="A69" s="58" t="n">
        <x:v>65</x:v>
      </x:c>
      <x:c r="B69" s="58" t="str">
        <x:v>E10-collections</x:v>
      </x:c>
      <x:c r="C69" s="58" t="str">
        <x:v>E10</x:v>
      </x:c>
      <x:c r="D69" s="58" t="str">
        <x:v>Bid Corporation</x:v>
      </x:c>
      <x:c r="E69" s="58" t="str">
        <x:v>consumer</x:v>
      </x:c>
      <x:c r="F69" s="58" t="str">
        <x:v>Collections</x:v>
      </x:c>
      <x:c r="G69" s="58" t="str">
        <x:v>PENDING_REVIEW_EXCLUDED</x:v>
      </x:c>
      <x:c r="H69" s="58" t="str">
        <x:v>E0</x:v>
      </x:c>
      <x:c r="I69" s="79" t="n">
        <x:v>3299371889</x:v>
      </x:c>
      <x:c r="J69" s="79" t="n">
        <x:v>5644642572</x:v>
      </x:c>
      <x:c r="K69" s="79" t="n">
        <x:v>9349551002</x:v>
      </x:c>
      <x:c r="L69" s="79" t="n">
        <x:v>20650381274</x:v>
      </x:c>
      <x:c r="M69" s="60" t="n">
        <x:v>0.15977295</x:v>
      </x:c>
      <x:c r="N69" s="60" t="n">
        <x:v>0.35289095</x:v>
      </x:c>
      <x:c r="O69" s="60" t="n">
        <x:v>0.58451387</x:v>
      </x:c>
      <x:c r="P69" s="60" t="n">
        <x:v>0.4</x:v>
      </x:c>
      <x:c r="Q69" s="78" t="n">
        <x:v>440448511</x:v>
      </x:c>
      <x:c r="R69" s="78" t="n">
        <x:v>40697</x:v>
      </x:c>
      <x:c r="S69" s="58" t="str">
        <x:v>DISCOVER_TOTAL_WALLET_AND_VALIDATE_PUBLIC_CANDIDATE</x:v>
      </x:c>
      <x:c r="T69" s="58" t="str">
        <x:v>POSTERIOR/SCENARIO; WITHHELD_PENDING_APPROVAL</x:v>
      </x:c>
    </x:row>
    <x:row r="70">
      <x:c r="A70" s="58" t="n">
        <x:v>66</x:v>
      </x:c>
      <x:c r="B70" s="58" t="str">
        <x:v>E07-liquidity</x:v>
      </x:c>
      <x:c r="C70" s="58" t="str">
        <x:v>E07</x:v>
      </x:c>
      <x:c r="D70" s="58" t="str">
        <x:v>OUTsurance Group</x:v>
      </x:c>
      <x:c r="E70" s="58" t="str">
        <x:v>insurance</x:v>
      </x:c>
      <x:c r="F70" s="58" t="str">
        <x:v>Liquidity</x:v>
      </x:c>
      <x:c r="G70" s="58" t="str">
        <x:v>PENDING_REVIEW_EXCLUDED</x:v>
      </x:c>
      <x:c r="H70" s="58" t="str">
        <x:v>E0</x:v>
      </x:c>
      <x:c r="I70" s="79" t="n">
        <x:v>164622826</x:v>
      </x:c>
      <x:c r="J70" s="79" t="n">
        <x:v>305401092</x:v>
      </x:c>
      <x:c r="K70" s="79" t="n">
        <x:v>614690765</x:v>
      </x:c>
      <x:c r="L70" s="79" t="n">
        <x:v>2169197069</x:v>
      </x:c>
      <x:c r="M70" s="60" t="n">
        <x:v>0.07589113</x:v>
      </x:c>
      <x:c r="N70" s="60" t="n">
        <x:v>0.26781406</x:v>
      </x:c>
      <x:c r="O70" s="60" t="n">
        <x:v>0.53903812</x:v>
      </x:c>
      <x:c r="P70" s="60" t="n">
        <x:v>0.4</x:v>
      </x:c>
      <x:c r="Q70" s="78" t="n">
        <x:v>81253480</x:v>
      </x:c>
      <x:c r="R70" s="78" t="n">
        <x:v>37539</x:v>
      </x:c>
      <x:c r="S70" s="58" t="str">
        <x:v>DISCOVER_TOTAL_WALLET_AND_VALIDATE_PUBLIC_CANDIDATE</x:v>
      </x:c>
      <x:c r="T70" s="58" t="str">
        <x:v>POSTERIOR/SCENARIO; WITHHELD_PENDING_APPROVAL</x:v>
      </x:c>
    </x:row>
    <x:row r="71">
      <x:c r="A71" s="58" t="n">
        <x:v>67</x:v>
      </x:c>
      <x:c r="B71" s="58" t="str">
        <x:v>E03-payments</x:v>
      </x:c>
      <x:c r="C71" s="58" t="str">
        <x:v>E03</x:v>
      </x:c>
      <x:c r="D71" s="58" t="str">
        <x:v>Anglo American</x:v>
      </x:c>
      <x:c r="E71" s="58" t="str">
        <x:v>mining</x:v>
      </x:c>
      <x:c r="F71" s="58" t="str">
        <x:v>Payments</x:v>
      </x:c>
      <x:c r="G71" s="58" t="str">
        <x:v>PENDING_REVIEW_EXCLUDED</x:v>
      </x:c>
      <x:c r="H71" s="58" t="str">
        <x:v>E0</x:v>
      </x:c>
      <x:c r="I71" s="79" t="n">
        <x:v>3074915426</x:v>
      </x:c>
      <x:c r="J71" s="79" t="n">
        <x:v>5343841947</x:v>
      </x:c>
      <x:c r="K71" s="79" t="n">
        <x:v>9147772278</x:v>
      </x:c>
      <x:c r="L71" s="79" t="n">
        <x:v>22710386116</x:v>
      </x:c>
      <x:c r="M71" s="60" t="n">
        <x:v>0.13539688</x:v>
      </x:c>
      <x:c r="N71" s="60" t="n">
        <x:v>0.33613817</x:v>
      </x:c>
      <x:c r="O71" s="60" t="n">
        <x:v>0.57541287</x:v>
      </x:c>
      <x:c r="P71" s="60" t="n">
        <x:v>0.4</x:v>
      </x:c>
      <x:c r="Q71" s="78" t="n">
        <x:v>584193485</x:v>
      </x:c>
      <x:c r="R71" s="78" t="n">
        <x:v>35986</x:v>
      </x:c>
      <x:c r="S71" s="58" t="str">
        <x:v>DISCOVER_TOTAL_WALLET_AND_VALIDATE_PUBLIC_CANDIDATE</x:v>
      </x:c>
      <x:c r="T71" s="58" t="str">
        <x:v>POSTERIOR/SCENARIO; WITHHELD_PENDING_APPROVAL</x:v>
      </x:c>
    </x:row>
    <x:row r="72">
      <x:c r="A72" s="58" t="n">
        <x:v>68</x:v>
      </x:c>
      <x:c r="B72" s="58" t="str">
        <x:v>E16-collections</x:v>
      </x:c>
      <x:c r="C72" s="58" t="str">
        <x:v>E16</x:v>
      </x:c>
      <x:c r="D72" s="58" t="str">
        <x:v>MTN Group</x:v>
      </x:c>
      <x:c r="E72" s="58" t="str">
        <x:v>telecoms</x:v>
      </x:c>
      <x:c r="F72" s="58" t="str">
        <x:v>Collections</x:v>
      </x:c>
      <x:c r="G72" s="58" t="str">
        <x:v>PENDING_REVIEW_EXCLUDED</x:v>
      </x:c>
      <x:c r="H72" s="58" t="str">
        <x:v>E0</x:v>
      </x:c>
      <x:c r="I72" s="79" t="n">
        <x:v>2616710862</x:v>
      </x:c>
      <x:c r="J72" s="79" t="n">
        <x:v>4379130421</x:v>
      </x:c>
      <x:c r="K72" s="79" t="n">
        <x:v>7485535432</x:v>
      </x:c>
      <x:c r="L72" s="79" t="n">
        <x:v>16991030080</x:v>
      </x:c>
      <x:c r="M72" s="60" t="n">
        <x:v>0.15400543</x:v>
      </x:c>
      <x:c r="N72" s="60" t="n">
        <x:v>0.34956896</x:v>
      </x:c>
      <x:c r="O72" s="60" t="n">
        <x:v>0.5975412</x:v>
      </x:c>
      <x:c r="P72" s="60" t="n">
        <x:v>0.4</x:v>
      </x:c>
      <x:c r="Q72" s="78" t="n">
        <x:v>377503311</x:v>
      </x:c>
      <x:c r="R72" s="78" t="n">
        <x:v>34881</x:v>
      </x:c>
      <x:c r="S72" s="58" t="str">
        <x:v>DISCOVER_TOTAL_WALLET_AND_VALIDATE_PUBLIC_CANDIDATE</x:v>
      </x:c>
      <x:c r="T72" s="58" t="str">
        <x:v>POSTERIOR/SCENARIO; WITHHELD_PENDING_APPROVAL</x:v>
      </x:c>
    </x:row>
    <x:row r="73">
      <x:c r="A73" s="58" t="n">
        <x:v>69</x:v>
      </x:c>
      <x:c r="B73" s="58" t="str">
        <x:v>E19-payments</x:v>
      </x:c>
      <x:c r="C73" s="58" t="str">
        <x:v>E19</x:v>
      </x:c>
      <x:c r="D73" s="58" t="str">
        <x:v>Aspen Pharmacare</x:v>
      </x:c>
      <x:c r="E73" s="58" t="str">
        <x:v>industrials_pharma</x:v>
      </x:c>
      <x:c r="F73" s="58" t="str">
        <x:v>Payments</x:v>
      </x:c>
      <x:c r="G73" s="58" t="str">
        <x:v>PENDING_REVIEW_EXCLUDED</x:v>
      </x:c>
      <x:c r="H73" s="58" t="str">
        <x:v>E0</x:v>
      </x:c>
      <x:c r="I73" s="79" t="n">
        <x:v>2586911024</x:v>
      </x:c>
      <x:c r="J73" s="79" t="n">
        <x:v>4549436686</x:v>
      </x:c>
      <x:c r="K73" s="79" t="n">
        <x:v>7811174781</x:v>
      </x:c>
      <x:c r="L73" s="79" t="n">
        <x:v>18545016584</x:v>
      </x:c>
      <x:c r="M73" s="60" t="n">
        <x:v>0.1394936</x:v>
      </x:c>
      <x:c r="N73" s="60" t="n">
        <x:v>0.33118079</x:v>
      </x:c>
      <x:c r="O73" s="60" t="n">
        <x:v>0.56862231</x:v>
      </x:c>
      <x:c r="P73" s="60" t="n">
        <x:v>0.4</x:v>
      </x:c>
      <x:c r="Q73" s="78" t="n">
        <x:v>537558889</x:v>
      </x:c>
      <x:c r="R73" s="78" t="n">
        <x:v>33114</x:v>
      </x:c>
      <x:c r="S73" s="58" t="str">
        <x:v>DISCOVER_TOTAL_WALLET_AND_VALIDATE_PUBLIC_CANDIDATE</x:v>
      </x:c>
      <x:c r="T73" s="58" t="str">
        <x:v>POSTERIOR/SCENARIO; WITHHELD_PENDING_APPROVAL</x:v>
      </x:c>
    </x:row>
    <x:row r="74">
      <x:c r="A74" s="58" t="n">
        <x:v>70</x:v>
      </x:c>
      <x:c r="B74" s="58" t="str">
        <x:v>E20-cross-border-fx</x:v>
      </x:c>
      <x:c r="C74" s="58" t="str">
        <x:v>E20</x:v>
      </x:c>
      <x:c r="D74" s="58" t="str">
        <x:v>Shaftesbury Capital plc</x:v>
      </x:c>
      <x:c r="E74" s="58" t="str">
        <x:v>real_estate</x:v>
      </x:c>
      <x:c r="F74" s="58" t="str">
        <x:v>Cross-border FX</x:v>
      </x:c>
      <x:c r="G74" s="58" t="str">
        <x:v>PENDING_REVIEW_EXCLUDED</x:v>
      </x:c>
      <x:c r="H74" s="58" t="str">
        <x:v>E0</x:v>
      </x:c>
      <x:c r="I74" s="79" t="n">
        <x:v>111379151</x:v>
      </x:c>
      <x:c r="J74" s="79" t="n">
        <x:v>201859786</x:v>
      </x:c>
      <x:c r="K74" s="79" t="n">
        <x:v>391426781</x:v>
      </x:c>
      <x:c r="L74" s="79" t="n">
        <x:v>1162341739</x:v>
      </x:c>
      <x:c r="M74" s="60" t="n">
        <x:v>0.09582307</x:v>
      </x:c>
      <x:c r="N74" s="60" t="n">
        <x:v>0.28454658</x:v>
      </x:c>
      <x:c r="O74" s="60" t="n">
        <x:v>0.55176495</x:v>
      </x:c>
      <x:c r="P74" s="60" t="n">
        <x:v>0.4</x:v>
      </x:c>
      <x:c r="Q74" s="78" t="n">
        <x:v>45191562</x:v>
      </x:c>
      <x:c r="R74" s="78" t="n">
        <x:v>31318</x:v>
      </x:c>
      <x:c r="S74" s="58" t="str">
        <x:v>DISCOVER_TOTAL_WALLET_AND_VALIDATE_PUBLIC_CANDIDATE</x:v>
      </x:c>
      <x:c r="T74" s="58" t="str">
        <x:v>POSTERIOR/SCENARIO; WITHHELD_PENDING_APPROVAL</x:v>
      </x:c>
    </x:row>
    <x:row r="75">
      <x:c r="A75" s="58" t="n">
        <x:v>71</x:v>
      </x:c>
      <x:c r="B75" s="58" t="str">
        <x:v>E17-liquidity</x:v>
      </x:c>
      <x:c r="C75" s="58" t="str">
        <x:v>E17</x:v>
      </x:c>
      <x:c r="D75" s="58" t="str">
        <x:v>Vodacom Group</x:v>
      </x:c>
      <x:c r="E75" s="58" t="str">
        <x:v>telecoms</x:v>
      </x:c>
      <x:c r="F75" s="58" t="str">
        <x:v>Liquidity</x:v>
      </x:c>
      <x:c r="G75" s="58" t="str">
        <x:v>PENDING_REVIEW_EXCLUDED</x:v>
      </x:c>
      <x:c r="H75" s="58" t="str">
        <x:v>E0</x:v>
      </x:c>
      <x:c r="I75" s="79" t="n">
        <x:v>118332875</x:v>
      </x:c>
      <x:c r="J75" s="79" t="n">
        <x:v>217407693</x:v>
      </x:c>
      <x:c r="K75" s="79" t="n">
        <x:v>452950020</x:v>
      </x:c>
      <x:c r="L75" s="79" t="n">
        <x:v>1586399985</x:v>
      </x:c>
      <x:c r="M75" s="60" t="n">
        <x:v>0.07459208</x:v>
      </x:c>
      <x:c r="N75" s="60" t="n">
        <x:v>0.2612493</x:v>
      </x:c>
      <x:c r="O75" s="60" t="n">
        <x:v>0.54429028</x:v>
      </x:c>
      <x:c r="P75" s="60" t="n">
        <x:v>0.4</x:v>
      </x:c>
      <x:c r="Q75" s="78" t="n">
        <x:v>62847133</x:v>
      </x:c>
      <x:c r="R75" s="78" t="n">
        <x:v>29035</x:v>
      </x:c>
      <x:c r="S75" s="58" t="str">
        <x:v>DISCOVER_TOTAL_WALLET_AND_VALIDATE_PUBLIC_CANDIDATE</x:v>
      </x:c>
      <x:c r="T75" s="58" t="str">
        <x:v>POSTERIOR/SCENARIO; WITHHELD_PENDING_APPROVAL</x:v>
      </x:c>
    </x:row>
    <x:row r="76">
      <x:c r="A76" s="58" t="n">
        <x:v>72</x:v>
      </x:c>
      <x:c r="B76" s="58" t="str">
        <x:v>E12-liquidity</x:v>
      </x:c>
      <x:c r="C76" s="58" t="str">
        <x:v>E12</x:v>
      </x:c>
      <x:c r="D76" s="58" t="str">
        <x:v>Clicks Group</x:v>
      </x:c>
      <x:c r="E76" s="58" t="str">
        <x:v>consumer</x:v>
      </x:c>
      <x:c r="F76" s="58" t="str">
        <x:v>Liquidity</x:v>
      </x:c>
      <x:c r="G76" s="58" t="str">
        <x:v>PENDING_REVIEW_EXCLUDED</x:v>
      </x:c>
      <x:c r="H76" s="58" t="str">
        <x:v>E0</x:v>
      </x:c>
      <x:c r="I76" s="79" t="n">
        <x:v>96531372</x:v>
      </x:c>
      <x:c r="J76" s="79" t="n">
        <x:v>181875830</x:v>
      </x:c>
      <x:c r="K76" s="79" t="n">
        <x:v>372391795</x:v>
      </x:c>
      <x:c r="L76" s="79" t="n">
        <x:v>1273369030</x:v>
      </x:c>
      <x:c r="M76" s="60" t="n">
        <x:v>0.07580788</x:v>
      </x:c>
      <x:c r="N76" s="60" t="n">
        <x:v>0.25921994</x:v>
      </x:c>
      <x:c r="O76" s="60" t="n">
        <x:v>0.53075427</x:v>
      </x:c>
      <x:c r="P76" s="60" t="n">
        <x:v>0.4</x:v>
      </x:c>
      <x:c r="Q76" s="78" t="n">
        <x:v>52425346</x:v>
      </x:c>
      <x:c r="R76" s="78" t="n">
        <x:v>24221</x:v>
      </x:c>
      <x:c r="S76" s="58" t="str">
        <x:v>DISCOVER_TOTAL_WALLET_AND_VALIDATE_PUBLIC_CANDIDATE</x:v>
      </x:c>
      <x:c r="T76" s="58" t="str">
        <x:v>POSTERIOR/SCENARIO; WITHHELD_PENDING_APPROVAL</x:v>
      </x:c>
    </x:row>
    <x:row r="77">
      <x:c r="A77" s="58" t="n">
        <x:v>73</x:v>
      </x:c>
      <x:c r="B77" s="58" t="str">
        <x:v>E20-trade-finance</x:v>
      </x:c>
      <x:c r="C77" s="58" t="str">
        <x:v>E20</x:v>
      </x:c>
      <x:c r="D77" s="58" t="str">
        <x:v>Shaftesbury Capital plc</x:v>
      </x:c>
      <x:c r="E77" s="58" t="str">
        <x:v>real_estate</x:v>
      </x:c>
      <x:c r="F77" s="58" t="str">
        <x:v>Trade finance</x:v>
      </x:c>
      <x:c r="G77" s="58" t="str">
        <x:v>PENDING_REVIEW_EXCLUDED</x:v>
      </x:c>
      <x:c r="H77" s="58" t="str">
        <x:v>E0</x:v>
      </x:c>
      <x:c r="I77" s="79" t="n">
        <x:v>8340762</x:v>
      </x:c>
      <x:c r="J77" s="79" t="n">
        <x:v>15391633</x:v>
      </x:c>
      <x:c r="K77" s="79" t="n">
        <x:v>34819940</x:v>
      </x:c>
      <x:c r="L77" s="79" t="n">
        <x:v>143851677</x:v>
      </x:c>
      <x:c r="M77" s="60" t="n">
        <x:v>0.05798169</x:v>
      </x:c>
      <x:c r="N77" s="60" t="n">
        <x:v>0.23953981</x:v>
      </x:c>
      <x:c r="O77" s="60" t="n">
        <x:v>0.54190233</x:v>
      </x:c>
      <x:c r="P77" s="60" t="n">
        <x:v>0.4</x:v>
      </x:c>
      <x:c r="Q77" s="78" t="n">
        <x:v>5587214</x:v>
      </x:c>
      <x:c r="R77" s="78" t="n">
        <x:v>19360</x:v>
      </x:c>
      <x:c r="S77" s="58" t="str">
        <x:v>DISCOVER_TOTAL_WALLET_AND_VALIDATE_PUBLIC_CANDIDATE</x:v>
      </x:c>
      <x:c r="T77" s="58" t="str">
        <x:v>POSTERIOR/SCENARIO; WITHHELD_PENDING_APPROVAL</x:v>
      </x:c>
    </x:row>
    <x:row r="78">
      <x:c r="A78" s="58" t="n">
        <x:v>74</x:v>
      </x:c>
      <x:c r="B78" s="58" t="str">
        <x:v>E14-payments</x:v>
      </x:c>
      <x:c r="C78" s="58" t="str">
        <x:v>E14</x:v>
      </x:c>
      <x:c r="D78" s="58" t="str">
        <x:v>Prosus</x:v>
      </x:c>
      <x:c r="E78" s="58" t="str">
        <x:v>tech</x:v>
      </x:c>
      <x:c r="F78" s="58" t="str">
        <x:v>Payments</x:v>
      </x:c>
      <x:c r="G78" s="58" t="str">
        <x:v>PENDING_REVIEW_EXCLUDED</x:v>
      </x:c>
      <x:c r="H78" s="58" t="str">
        <x:v>E0</x:v>
      </x:c>
      <x:c r="I78" s="79" t="n">
        <x:v>1381684662</x:v>
      </x:c>
      <x:c r="J78" s="79" t="n">
        <x:v>2382246466</x:v>
      </x:c>
      <x:c r="K78" s="79" t="n">
        <x:v>4144466381</x:v>
      </x:c>
      <x:c r="L78" s="79" t="n">
        <x:v>10411888773</x:v>
      </x:c>
      <x:c r="M78" s="60" t="n">
        <x:v>0.1327026</x:v>
      </x:c>
      <x:c r="N78" s="60" t="n">
        <x:v>0.3333806</x:v>
      </x:c>
      <x:c r="O78" s="60" t="n">
        <x:v>0.57999233</x:v>
      </x:c>
      <x:c r="P78" s="60" t="n">
        <x:v>0.4</x:v>
      </x:c>
      <x:c r="Q78" s="78" t="n">
        <x:v>276101890</x:v>
      </x:c>
      <x:c r="R78" s="78" t="n">
        <x:v>17008</x:v>
      </x:c>
      <x:c r="S78" s="58" t="str">
        <x:v>DISCOVER_TOTAL_WALLET_AND_VALIDATE_PUBLIC_CANDIDATE</x:v>
      </x:c>
      <x:c r="T78" s="58" t="str">
        <x:v>POSTERIOR/SCENARIO; WITHHELD_PENDING_APPROVAL</x:v>
      </x:c>
    </x:row>
    <x:row r="79">
      <x:c r="A79" s="58" t="n">
        <x:v>75</x:v>
      </x:c>
      <x:c r="B79" s="58" t="str">
        <x:v>E18-collections</x:v>
      </x:c>
      <x:c r="C79" s="58" t="str">
        <x:v>E18</x:v>
      </x:c>
      <x:c r="D79" s="58" t="str">
        <x:v>The Bidvest Group</x:v>
      </x:c>
      <x:c r="E79" s="58" t="str">
        <x:v>industrials_pharma</x:v>
      </x:c>
      <x:c r="F79" s="58" t="str">
        <x:v>Collections</x:v>
      </x:c>
      <x:c r="G79" s="58" t="str">
        <x:v>PENDING_REVIEW_EXCLUDED</x:v>
      </x:c>
      <x:c r="H79" s="58" t="str">
        <x:v>E0</x:v>
      </x:c>
      <x:c r="I79" s="79" t="n">
        <x:v>1241040471</x:v>
      </x:c>
      <x:c r="J79" s="79" t="n">
        <x:v>2111176975</x:v>
      </x:c>
      <x:c r="K79" s="79" t="n">
        <x:v>3499526111</x:v>
      </x:c>
      <x:c r="L79" s="79" t="n">
        <x:v>7977727305</x:v>
      </x:c>
      <x:c r="M79" s="60" t="n">
        <x:v>0.15556325</x:v>
      </x:c>
      <x:c r="N79" s="60" t="n">
        <x:v>0.35463101</x:v>
      </x:c>
      <x:c r="O79" s="60" t="n">
        <x:v>0.58784294</x:v>
      </x:c>
      <x:c r="P79" s="60" t="n">
        <x:v>0.4</x:v>
      </x:c>
      <x:c r="Q79" s="78" t="n">
        <x:v>158769974</x:v>
      </x:c>
      <x:c r="R79" s="78" t="n">
        <x:v>14670</x:v>
      </x:c>
      <x:c r="S79" s="58" t="str">
        <x:v>DISCOVER_TOTAL_WALLET_AND_VALIDATE_PUBLIC_CANDIDATE</x:v>
      </x:c>
      <x:c r="T79" s="58" t="str">
        <x:v>POSTERIOR/SCENARIO; WITHHELD_PENDING_APPROVAL</x:v>
      </x:c>
    </x:row>
    <x:row r="80">
      <x:c r="A80" s="58" t="n">
        <x:v>76</x:v>
      </x:c>
      <x:c r="B80" s="58" t="str">
        <x:v>E04-collections</x:v>
      </x:c>
      <x:c r="C80" s="58" t="str">
        <x:v>E04</x:v>
      </x:c>
      <x:c r="D80" s="58" t="str">
        <x:v>AngloGold Ashanti</x:v>
      </x:c>
      <x:c r="E80" s="58" t="str">
        <x:v>mining</x:v>
      </x:c>
      <x:c r="F80" s="58" t="str">
        <x:v>Collections</x:v>
      </x:c>
      <x:c r="G80" s="58" t="str">
        <x:v>PENDING_REVIEW_EXCLUDED</x:v>
      </x:c>
      <x:c r="H80" s="58" t="str">
        <x:v>E0</x:v>
      </x:c>
      <x:c r="I80" s="79" t="n">
        <x:v>1027502124</x:v>
      </x:c>
      <x:c r="J80" s="79" t="n">
        <x:v>1721985187</x:v>
      </x:c>
      <x:c r="K80" s="79" t="n">
        <x:v>2947014028</x:v>
      </x:c>
      <x:c r="L80" s="79" t="n">
        <x:v>6674984854</x:v>
      </x:c>
      <x:c r="M80" s="60" t="n">
        <x:v>0.15393325</x:v>
      </x:c>
      <x:c r="N80" s="60" t="n">
        <x:v>0.34865871</x:v>
      </x:c>
      <x:c r="O80" s="60" t="n">
        <x:v>0.59669626</x:v>
      </x:c>
      <x:c r="P80" s="60" t="n">
        <x:v>0.4</x:v>
      </x:c>
      <x:c r="Q80" s="78" t="n">
        <x:v>151303487</x:v>
      </x:c>
      <x:c r="R80" s="78" t="n">
        <x:v>13980</x:v>
      </x:c>
      <x:c r="S80" s="58" t="str">
        <x:v>DISCOVER_TOTAL_WALLET_AND_VALIDATE_PUBLIC_CANDIDATE</x:v>
      </x:c>
      <x:c r="T80" s="58" t="str">
        <x:v>POSTERIOR/SCENARIO; WITHHELD_PENDING_APPROVAL</x:v>
      </x:c>
    </x:row>
    <x:row r="81">
      <x:c r="A81" s="58" t="n">
        <x:v>77</x:v>
      </x:c>
      <x:c r="B81" s="58" t="str">
        <x:v>E15-payments</x:v>
      </x:c>
      <x:c r="C81" s="58" t="str">
        <x:v>E15</x:v>
      </x:c>
      <x:c r="D81" s="58" t="str">
        <x:v>Naspers</x:v>
      </x:c>
      <x:c r="E81" s="58" t="str">
        <x:v>tech</x:v>
      </x:c>
      <x:c r="F81" s="58" t="str">
        <x:v>Payments</x:v>
      </x:c>
      <x:c r="G81" s="58" t="str">
        <x:v>PENDING_REVIEW_EXCLUDED</x:v>
      </x:c>
      <x:c r="H81" s="58" t="str">
        <x:v>E0</x:v>
      </x:c>
      <x:c r="I81" s="79" t="n">
        <x:v>1067403466</x:v>
      </x:c>
      <x:c r="J81" s="79" t="n">
        <x:v>1877553954</x:v>
      </x:c>
      <x:c r="K81" s="79" t="n">
        <x:v>3201937085</x:v>
      </x:c>
      <x:c r="L81" s="79" t="n">
        <x:v>7762249301</x:v>
      </x:c>
      <x:c r="M81" s="60" t="n">
        <x:v>0.13751254</x:v>
      </x:c>
      <x:c r="N81" s="60" t="n">
        <x:v>0.33336179</x:v>
      </x:c>
      <x:c r="O81" s="60" t="n">
        <x:v>0.56850748</x:v>
      </x:c>
      <x:c r="P81" s="60" t="n">
        <x:v>0.4</x:v>
      </x:c>
      <x:c r="Q81" s="78" t="n">
        <x:v>213371368</x:v>
      </x:c>
      <x:c r="R81" s="78" t="n">
        <x:v>13144</x:v>
      </x:c>
      <x:c r="S81" s="58" t="str">
        <x:v>DISCOVER_TOTAL_WALLET_AND_VALIDATE_PUBLIC_CANDIDATE</x:v>
      </x:c>
      <x:c r="T81" s="58" t="str">
        <x:v>POSTERIOR/SCENARIO; WITHHELD_PENDING_APPROVAL</x:v>
      </x:c>
    </x:row>
    <x:row r="82">
      <x:c r="A82" s="58" t="n">
        <x:v>78</x:v>
      </x:c>
      <x:c r="B82" s="58" t="str">
        <x:v>E05-collections</x:v>
      </x:c>
      <x:c r="C82" s="58" t="str">
        <x:v>E05</x:v>
      </x:c>
      <x:c r="D82" s="58" t="str">
        <x:v>Gold Fields</x:v>
      </x:c>
      <x:c r="E82" s="58" t="str">
        <x:v>mining</x:v>
      </x:c>
      <x:c r="F82" s="58" t="str">
        <x:v>Collections</x:v>
      </x:c>
      <x:c r="G82" s="58" t="str">
        <x:v>PENDING_REVIEW_EXCLUDED</x:v>
      </x:c>
      <x:c r="H82" s="58" t="str">
        <x:v>E0</x:v>
      </x:c>
      <x:c r="I82" s="79" t="n">
        <x:v>905404727</x:v>
      </x:c>
      <x:c r="J82" s="79" t="n">
        <x:v>1513190112</x:v>
      </x:c>
      <x:c r="K82" s="79" t="n">
        <x:v>2603786864</x:v>
      </x:c>
      <x:c r="L82" s="79" t="n">
        <x:v>6170799043</x:v>
      </x:c>
      <x:c r="M82" s="60" t="n">
        <x:v>0.14672408</x:v>
      </x:c>
      <x:c r="N82" s="60" t="n">
        <x:v>0.34772613</x:v>
      </x:c>
      <x:c r="O82" s="60" t="n">
        <x:v>0.59834169</x:v>
      </x:c>
      <x:c r="P82" s="60" t="n">
        <x:v>0.4</x:v>
      </x:c>
      <x:c r="Q82" s="78" t="n">
        <x:v>136110019</x:v>
      </x:c>
      <x:c r="R82" s="78" t="n">
        <x:v>12577</x:v>
      </x:c>
      <x:c r="S82" s="58" t="str">
        <x:v>DISCOVER_TOTAL_WALLET_AND_VALIDATE_PUBLIC_CANDIDATE</x:v>
      </x:c>
      <x:c r="T82" s="58" t="str">
        <x:v>POSTERIOR/SCENARIO; WITHHELD_PENDING_APPROVAL</x:v>
      </x:c>
    </x:row>
    <x:row r="83">
      <x:c r="A83" s="58" t="n">
        <x:v>79</x:v>
      </x:c>
      <x:c r="B83" s="58" t="str">
        <x:v>E04-payments</x:v>
      </x:c>
      <x:c r="C83" s="58" t="str">
        <x:v>E04</x:v>
      </x:c>
      <x:c r="D83" s="58" t="str">
        <x:v>AngloGold Ashanti</x:v>
      </x:c>
      <x:c r="E83" s="58" t="str">
        <x:v>mining</x:v>
      </x:c>
      <x:c r="F83" s="58" t="str">
        <x:v>Payments</x:v>
      </x:c>
      <x:c r="G83" s="58" t="str">
        <x:v>PENDING_REVIEW_EXCLUDED</x:v>
      </x:c>
      <x:c r="H83" s="58" t="str">
        <x:v>E0</x:v>
      </x:c>
      <x:c r="I83" s="79" t="n">
        <x:v>906921193</x:v>
      </x:c>
      <x:c r="J83" s="79" t="n">
        <x:v>1579010311</x:v>
      </x:c>
      <x:c r="K83" s="79" t="n">
        <x:v>2753417612</x:v>
      </x:c>
      <x:c r="L83" s="79" t="n">
        <x:v>6423284733</x:v>
      </x:c>
      <x:c r="M83" s="60" t="n">
        <x:v>0.14119288</x:v>
      </x:c>
      <x:c r="N83" s="60" t="n">
        <x:v>0.32938018</x:v>
      </x:c>
      <x:c r="O83" s="60" t="n">
        <x:v>0.57436057</x:v>
      </x:c>
      <x:c r="P83" s="60" t="n">
        <x:v>0.4</x:v>
      </x:c>
      <x:c r="Q83" s="78" t="n">
        <x:v>194445852</x:v>
      </x:c>
      <x:c r="R83" s="78" t="n">
        <x:v>11978</x:v>
      </x:c>
      <x:c r="S83" s="58" t="str">
        <x:v>DISCOVER_TOTAL_WALLET_AND_VALIDATE_PUBLIC_CANDIDATE</x:v>
      </x:c>
      <x:c r="T83" s="58" t="str">
        <x:v>POSTERIOR/SCENARIO; WITHHELD_PENDING_APPROVAL</x:v>
      </x:c>
    </x:row>
    <x:row r="84">
      <x:c r="A84" s="58" t="n">
        <x:v>80</x:v>
      </x:c>
      <x:c r="B84" s="58" t="str">
        <x:v>E19-collections</x:v>
      </x:c>
      <x:c r="C84" s="58" t="str">
        <x:v>E19</x:v>
      </x:c>
      <x:c r="D84" s="58" t="str">
        <x:v>Aspen Pharmacare</x:v>
      </x:c>
      <x:c r="E84" s="58" t="str">
        <x:v>industrials_pharma</x:v>
      </x:c>
      <x:c r="F84" s="58" t="str">
        <x:v>Collections</x:v>
      </x:c>
      <x:c r="G84" s="58" t="str">
        <x:v>PENDING_REVIEW_EXCLUDED</x:v>
      </x:c>
      <x:c r="H84" s="58" t="str">
        <x:v>E0</x:v>
      </x:c>
      <x:c r="I84" s="79" t="n">
        <x:v>866514827</x:v>
      </x:c>
      <x:c r="J84" s="79" t="n">
        <x:v>1449624259</x:v>
      </x:c>
      <x:c r="K84" s="79" t="n">
        <x:v>2479964325</x:v>
      </x:c>
      <x:c r="L84" s="79" t="n">
        <x:v>5655962813</x:v>
      </x:c>
      <x:c r="M84" s="60" t="n">
        <x:v>0.1532038</x:v>
      </x:c>
      <x:c r="N84" s="60" t="n">
        <x:v>0.34940617</x:v>
      </x:c>
      <x:c r="O84" s="60" t="n">
        <x:v>0.59775133</x:v>
      </x:c>
      <x:c r="P84" s="60" t="n">
        <x:v>0.4</x:v>
      </x:c>
      <x:c r="Q84" s="78" t="n">
        <x:v>125470903</x:v>
      </x:c>
      <x:c r="R84" s="78" t="n">
        <x:v>11594</x:v>
      </x:c>
      <x:c r="S84" s="58" t="str">
        <x:v>DISCOVER_TOTAL_WALLET_AND_VALIDATE_PUBLIC_CANDIDATE</x:v>
      </x:c>
      <x:c r="T84" s="58" t="str">
        <x:v>POSTERIOR/SCENARIO; WITHHELD_PENDING_APPROVAL</x:v>
      </x:c>
    </x:row>
    <x:row r="85">
      <x:c r="A85" s="58" t="n">
        <x:v>81</x:v>
      </x:c>
      <x:c r="B85" s="58" t="str">
        <x:v>E05-payments</x:v>
      </x:c>
      <x:c r="C85" s="58" t="str">
        <x:v>E05</x:v>
      </x:c>
      <x:c r="D85" s="58" t="str">
        <x:v>Gold Fields</x:v>
      </x:c>
      <x:c r="E85" s="58" t="str">
        <x:v>mining</x:v>
      </x:c>
      <x:c r="F85" s="58" t="str">
        <x:v>Payments</x:v>
      </x:c>
      <x:c r="G85" s="58" t="str">
        <x:v>PENDING_REVIEW_EXCLUDED</x:v>
      </x:c>
      <x:c r="H85" s="58" t="str">
        <x:v>E0</x:v>
      </x:c>
      <x:c r="I85" s="79" t="n">
        <x:v>777545051</x:v>
      </x:c>
      <x:c r="J85" s="79" t="n">
        <x:v>1365296811</x:v>
      </x:c>
      <x:c r="K85" s="79" t="n">
        <x:v>2350886058</x:v>
      </x:c>
      <x:c r="L85" s="79" t="n">
        <x:v>5512796902</x:v>
      </x:c>
      <x:c r="M85" s="60" t="n">
        <x:v>0.14104366</x:v>
      </x:c>
      <x:c r="N85" s="60" t="n">
        <x:v>0.33074553</x:v>
      </x:c>
      <x:c r="O85" s="60" t="n">
        <x:v>0.56950624</x:v>
      </x:c>
      <x:c r="P85" s="60" t="n">
        <x:v>0.4</x:v>
      </x:c>
      <x:c r="Q85" s="78" t="n">
        <x:v>162809373</x:v>
      </x:c>
      <x:c r="R85" s="78" t="n">
        <x:v>10029</x:v>
      </x:c>
      <x:c r="S85" s="58" t="str">
        <x:v>DISCOVER_TOTAL_WALLET_AND_VALIDATE_PUBLIC_CANDIDATE</x:v>
      </x:c>
      <x:c r="T85" s="58" t="str">
        <x:v>POSTERIOR/SCENARIO; WITHHELD_PENDING_APPROVAL</x:v>
      </x:c>
    </x:row>
    <x:row r="86">
      <x:c r="A86" s="58" t="n">
        <x:v>82</x:v>
      </x:c>
      <x:c r="B86" s="58" t="str">
        <x:v>E13-trade-finance</x:v>
      </x:c>
      <x:c r="C86" s="58" t="str">
        <x:v>E13</x:v>
      </x:c>
      <x:c r="D86" s="58" t="str">
        <x:v>NEPI Rockcastle</x:v>
      </x:c>
      <x:c r="E86" s="58" t="str">
        <x:v>real_estate</x:v>
      </x:c>
      <x:c r="F86" s="58" t="str">
        <x:v>Trade finance</x:v>
      </x:c>
      <x:c r="G86" s="58" t="str">
        <x:v>PENDING_REVIEW_EXCLUDED</x:v>
      </x:c>
      <x:c r="H86" s="58" t="str">
        <x:v>E0</x:v>
      </x:c>
      <x:c r="I86" s="79" t="n">
        <x:v>3904357</x:v>
      </x:c>
      <x:c r="J86" s="79" t="n">
        <x:v>7260196</x:v>
      </x:c>
      <x:c r="K86" s="79" t="n">
        <x:v>16334254</x:v>
      </x:c>
      <x:c r="L86" s="79" t="n">
        <x:v>66032029</x:v>
      </x:c>
      <x:c r="M86" s="60" t="n">
        <x:v>0.05912839</x:v>
      </x:c>
      <x:c r="N86" s="60" t="n">
        <x:v>0.23902878</x:v>
      </x:c>
      <x:c r="O86" s="60" t="n">
        <x:v>0.53777566</x:v>
      </x:c>
      <x:c r="P86" s="60" t="n">
        <x:v>0.4</x:v>
      </x:c>
      <x:c r="Q86" s="78" t="n">
        <x:v>2629345</x:v>
      </x:c>
      <x:c r="R86" s="78" t="n">
        <x:v>9111</x:v>
      </x:c>
      <x:c r="S86" s="58" t="str">
        <x:v>DISCOVER_TOTAL_WALLET_AND_VALIDATE_PUBLIC_CANDIDATE</x:v>
      </x:c>
      <x:c r="T86" s="58" t="str">
        <x:v>POSTERIOR/SCENARIO; WITHHELD_PENDING_APPROVAL</x:v>
      </x:c>
    </x:row>
    <x:row r="87">
      <x:c r="A87" s="58" t="n">
        <x:v>83</x:v>
      </x:c>
      <x:c r="B87" s="58" t="str">
        <x:v>E06-liquidity</x:v>
      </x:c>
      <x:c r="C87" s="58" t="str">
        <x:v>E06</x:v>
      </x:c>
      <x:c r="D87" s="58" t="str">
        <x:v>Valterra Platinum</x:v>
      </x:c>
      <x:c r="E87" s="58" t="str">
        <x:v>mining</x:v>
      </x:c>
      <x:c r="F87" s="58" t="str">
        <x:v>Liquidity</x:v>
      </x:c>
      <x:c r="G87" s="58" t="str">
        <x:v>PENDING_REVIEW_EXCLUDED</x:v>
      </x:c>
      <x:c r="H87" s="58" t="str">
        <x:v>E0</x:v>
      </x:c>
      <x:c r="I87" s="79" t="n">
        <x:v>24953376</x:v>
      </x:c>
      <x:c r="J87" s="79" t="n">
        <x:v>46056797</x:v>
      </x:c>
      <x:c r="K87" s="79" t="n">
        <x:v>97417774</x:v>
      </x:c>
      <x:c r="L87" s="79" t="n">
        <x:v>311914535</x:v>
      </x:c>
      <x:c r="M87" s="60" t="n">
        <x:v>0.0800007</x:v>
      </x:c>
      <x:c r="N87" s="60" t="n">
        <x:v>0.25614808</x:v>
      </x:c>
      <x:c r="O87" s="60" t="n">
        <x:v>0.54179573</x:v>
      </x:c>
      <x:c r="P87" s="60" t="n">
        <x:v>0.4</x:v>
      </x:c>
      <x:c r="Q87" s="78" t="n">
        <x:v>14013734</x:v>
      </x:c>
      <x:c r="R87" s="78" t="n">
        <x:v>6474</x:v>
      </x:c>
      <x:c r="S87" s="58" t="str">
        <x:v>DISCOVER_TOTAL_WALLET_AND_VALIDATE_PUBLIC_CANDIDATE</x:v>
      </x:c>
      <x:c r="T87" s="58" t="str">
        <x:v>POSTERIOR/SCENARIO; WITHHELD_PENDING_APPROVAL</x:v>
      </x:c>
    </x:row>
    <x:row r="88">
      <x:c r="A88" s="58" t="n">
        <x:v>84</x:v>
      </x:c>
      <x:c r="B88" s="58" t="str">
        <x:v>E14-collections</x:v>
      </x:c>
      <x:c r="C88" s="58" t="str">
        <x:v>E14</x:v>
      </x:c>
      <x:c r="D88" s="58" t="str">
        <x:v>Prosus</x:v>
      </x:c>
      <x:c r="E88" s="58" t="str">
        <x:v>tech</x:v>
      </x:c>
      <x:c r="F88" s="58" t="str">
        <x:v>Collections</x:v>
      </x:c>
      <x:c r="G88" s="58" t="str">
        <x:v>PENDING_REVIEW_EXCLUDED</x:v>
      </x:c>
      <x:c r="H88" s="58" t="str">
        <x:v>E0</x:v>
      </x:c>
      <x:c r="I88" s="79" t="n">
        <x:v>503675527</x:v>
      </x:c>
      <x:c r="J88" s="79" t="n">
        <x:v>844349679</x:v>
      </x:c>
      <x:c r="K88" s="79" t="n">
        <x:v>1415788656</x:v>
      </x:c>
      <x:c r="L88" s="79" t="n">
        <x:v>3150427075</x:v>
      </x:c>
      <x:c r="M88" s="60" t="n">
        <x:v>0.15987532</x:v>
      </x:c>
      <x:c r="N88" s="60" t="n">
        <x:v>0.35575616</x:v>
      </x:c>
      <x:c r="O88" s="60" t="n">
        <x:v>0.59652485</x:v>
      </x:c>
      <x:c r="P88" s="60" t="n">
        <x:v>0.4</x:v>
      </x:c>
      <x:c r="Q88" s="78" t="n">
        <x:v>62639935</x:v>
      </x:c>
      <x:c r="R88" s="78" t="n">
        <x:v>5788</x:v>
      </x:c>
      <x:c r="S88" s="58" t="str">
        <x:v>DISCOVER_TOTAL_WALLET_AND_VALIDATE_PUBLIC_CANDIDATE</x:v>
      </x:c>
      <x:c r="T88" s="58" t="str">
        <x:v>POSTERIOR/SCENARIO; WITHHELD_PENDING_APPROVAL</x:v>
      </x:c>
    </x:row>
    <x:row r="89">
      <x:c r="A89" s="58" t="n">
        <x:v>85</x:v>
      </x:c>
      <x:c r="B89" s="58" t="str">
        <x:v>E13-liquidity</x:v>
      </x:c>
      <x:c r="C89" s="58" t="str">
        <x:v>E13</x:v>
      </x:c>
      <x:c r="D89" s="58" t="str">
        <x:v>NEPI Rockcastle</x:v>
      </x:c>
      <x:c r="E89" s="58" t="str">
        <x:v>real_estate</x:v>
      </x:c>
      <x:c r="F89" s="58" t="str">
        <x:v>Liquidity</x:v>
      </x:c>
      <x:c r="G89" s="58" t="str">
        <x:v>PENDING_REVIEW_EXCLUDED</x:v>
      </x:c>
      <x:c r="H89" s="58" t="str">
        <x:v>E0</x:v>
      </x:c>
      <x:c r="I89" s="79" t="n">
        <x:v>23729314</x:v>
      </x:c>
      <x:c r="J89" s="79" t="n">
        <x:v>43942898</x:v>
      </x:c>
      <x:c r="K89" s="79" t="n">
        <x:v>90056389</x:v>
      </x:c>
      <x:c r="L89" s="79" t="n">
        <x:v>299309437</x:v>
      </x:c>
      <x:c r="M89" s="60" t="n">
        <x:v>0.0792803</x:v>
      </x:c>
      <x:c r="N89" s="60" t="n">
        <x:v>0.26349395</x:v>
      </x:c>
      <x:c r="O89" s="60" t="n">
        <x:v>0.54000341</x:v>
      </x:c>
      <x:c r="P89" s="60" t="n">
        <x:v>0.4</x:v>
      </x:c>
      <x:c r="Q89" s="78" t="n">
        <x:v>12293242</x:v>
      </x:c>
      <x:c r="R89" s="78" t="n">
        <x:v>5679</x:v>
      </x:c>
      <x:c r="S89" s="58" t="str">
        <x:v>DISCOVER_TOTAL_WALLET_AND_VALIDATE_PUBLIC_CANDIDATE</x:v>
      </x:c>
      <x:c r="T89" s="58" t="str">
        <x:v>POSTERIOR/SCENARIO; WITHHELD_PENDING_APPROVAL</x:v>
      </x:c>
    </x:row>
    <x:row r="90">
      <x:c r="A90" s="58" t="n">
        <x:v>86</x:v>
      </x:c>
      <x:c r="B90" s="58" t="str">
        <x:v>E15-collections</x:v>
      </x:c>
      <x:c r="C90" s="58" t="str">
        <x:v>E15</x:v>
      </x:c>
      <x:c r="D90" s="58" t="str">
        <x:v>Naspers</x:v>
      </x:c>
      <x:c r="E90" s="58" t="str">
        <x:v>tech</x:v>
      </x:c>
      <x:c r="F90" s="58" t="str">
        <x:v>Collections</x:v>
      </x:c>
      <x:c r="G90" s="58" t="str">
        <x:v>PENDING_REVIEW_EXCLUDED</x:v>
      </x:c>
      <x:c r="H90" s="58" t="str">
        <x:v>E0</x:v>
      </x:c>
      <x:c r="I90" s="79" t="n">
        <x:v>359520820</x:v>
      </x:c>
      <x:c r="J90" s="79" t="n">
        <x:v>608551422</x:v>
      </x:c>
      <x:c r="K90" s="79" t="n">
        <x:v>1024029914</x:v>
      </x:c>
      <x:c r="L90" s="79" t="n">
        <x:v>2407226467</x:v>
      </x:c>
      <x:c r="M90" s="60" t="n">
        <x:v>0.14935064</x:v>
      </x:c>
      <x:c r="N90" s="60" t="n">
        <x:v>0.3510843</x:v>
      </x:c>
      <x:c r="O90" s="60" t="n">
        <x:v>0.59078135</x:v>
      </x:c>
      <x:c r="P90" s="60" t="n">
        <x:v>0.4</x:v>
      </x:c>
      <x:c r="Q90" s="78" t="n">
        <x:v>50091145</x:v>
      </x:c>
      <x:c r="R90" s="78" t="n">
        <x:v>4628</x:v>
      </x:c>
      <x:c r="S90" s="58" t="str">
        <x:v>DISCOVER_TOTAL_WALLET_AND_VALIDATE_PUBLIC_CANDIDATE</x:v>
      </x:c>
      <x:c r="T90" s="58" t="str">
        <x:v>POSTERIOR/SCENARIO; WITHHELD_PENDING_APPROVAL</x:v>
      </x:c>
    </x:row>
    <x:row r="91">
      <x:c r="A91" s="58" t="n">
        <x:v>87</x:v>
      </x:c>
      <x:c r="B91" s="58" t="str">
        <x:v>E07-payments</x:v>
      </x:c>
      <x:c r="C91" s="58" t="str">
        <x:v>E07</x:v>
      </x:c>
      <x:c r="D91" s="58" t="str">
        <x:v>OUTsurance Group</x:v>
      </x:c>
      <x:c r="E91" s="58" t="str">
        <x:v>insurance</x:v>
      </x:c>
      <x:c r="F91" s="58" t="str">
        <x:v>Payments</x:v>
      </x:c>
      <x:c r="G91" s="58" t="str">
        <x:v>PENDING_REVIEW_EXCLUDED</x:v>
      </x:c>
      <x:c r="H91" s="58" t="str">
        <x:v>E0</x:v>
      </x:c>
      <x:c r="I91" s="79" t="n">
        <x:v>219822673</x:v>
      </x:c>
      <x:c r="J91" s="79" t="n">
        <x:v>377408823</x:v>
      </x:c>
      <x:c r="K91" s="79" t="n">
        <x:v>654669307</x:v>
      </x:c>
      <x:c r="L91" s="79" t="n">
        <x:v>1553389871</x:v>
      </x:c>
      <x:c r="M91" s="60" t="n">
        <x:v>0.1415116</x:v>
      </x:c>
      <x:c r="N91" s="60" t="n">
        <x:v>0.33577666</x:v>
      </x:c>
      <x:c r="O91" s="60" t="n">
        <x:v>0.58245239</x:v>
      </x:c>
      <x:c r="P91" s="60" t="n">
        <x:v>0.4</x:v>
      </x:c>
      <x:c r="Q91" s="78" t="n">
        <x:v>42045050</x:v>
      </x:c>
      <x:c r="R91" s="78" t="n">
        <x:v>2590</x:v>
      </x:c>
      <x:c r="S91" s="58" t="str">
        <x:v>DISCOVER_TOTAL_WALLET_AND_VALIDATE_PUBLIC_CANDIDATE</x:v>
      </x:c>
      <x:c r="T91" s="58" t="str">
        <x:v>POSTERIOR/SCENARIO; WITHHELD_PENDING_APPROVAL</x:v>
      </x:c>
    </x:row>
    <x:row r="92">
      <x:c r="A92" s="58" t="n">
        <x:v>88</x:v>
      </x:c>
      <x:c r="B92" s="58" t="str">
        <x:v>E17-payments</x:v>
      </x:c>
      <x:c r="C92" s="58" t="str">
        <x:v>E17</x:v>
      </x:c>
      <x:c r="D92" s="58" t="str">
        <x:v>Vodacom Group</x:v>
      </x:c>
      <x:c r="E92" s="58" t="str">
        <x:v>telecoms</x:v>
      </x:c>
      <x:c r="F92" s="58" t="str">
        <x:v>Payments</x:v>
      </x:c>
      <x:c r="G92" s="58" t="str">
        <x:v>PENDING_REVIEW_EXCLUDED</x:v>
      </x:c>
      <x:c r="H92" s="58" t="str">
        <x:v>E0</x:v>
      </x:c>
      <x:c r="I92" s="79" t="n">
        <x:v>151625794</x:v>
      </x:c>
      <x:c r="J92" s="79" t="n">
        <x:v>267141283</x:v>
      </x:c>
      <x:c r="K92" s="79" t="n">
        <x:v>455596151</x:v>
      </x:c>
      <x:c r="L92" s="79" t="n">
        <x:v>1098982180</x:v>
      </x:c>
      <x:c r="M92" s="60" t="n">
        <x:v>0.1379693</x:v>
      </x:c>
      <x:c r="N92" s="60" t="n">
        <x:v>0.33280748</x:v>
      </x:c>
      <x:c r="O92" s="60" t="n">
        <x:v>0.56758653</x:v>
      </x:c>
      <x:c r="P92" s="60" t="n">
        <x:v>0.4</x:v>
      </x:c>
      <x:c r="Q92" s="78" t="n">
        <x:v>30612666</x:v>
      </x:c>
      <x:c r="R92" s="78" t="n">
        <x:v>1886</x:v>
      </x:c>
      <x:c r="S92" s="58" t="str">
        <x:v>DISCOVER_TOTAL_WALLET_AND_VALIDATE_PUBLIC_CANDIDATE</x:v>
      </x:c>
      <x:c r="T92" s="58" t="str">
        <x:v>POSTERIOR/SCENARIO; WITHHELD_PENDING_APPROVAL</x:v>
      </x:c>
    </x:row>
    <x:row r="93">
      <x:c r="A93" s="58" t="n">
        <x:v>89</x:v>
      </x:c>
      <x:c r="B93" s="58" t="str">
        <x:v>E12-payments</x:v>
      </x:c>
      <x:c r="C93" s="58" t="str">
        <x:v>E12</x:v>
      </x:c>
      <x:c r="D93" s="58" t="str">
        <x:v>Clicks Group</x:v>
      </x:c>
      <x:c r="E93" s="58" t="str">
        <x:v>consumer</x:v>
      </x:c>
      <x:c r="F93" s="58" t="str">
        <x:v>Payments</x:v>
      </x:c>
      <x:c r="G93" s="58" t="str">
        <x:v>PENDING_REVIEW_EXCLUDED</x:v>
      </x:c>
      <x:c r="H93" s="58" t="str">
        <x:v>E0</x:v>
      </x:c>
      <x:c r="I93" s="79" t="n">
        <x:v>124389562</x:v>
      </x:c>
      <x:c r="J93" s="79" t="n">
        <x:v>215665022</x:v>
      </x:c>
      <x:c r="K93" s="79" t="n">
        <x:v>379256228</x:v>
      </x:c>
      <x:c r="L93" s="79" t="n">
        <x:v>906823837</x:v>
      </x:c>
      <x:c r="M93" s="60" t="n">
        <x:v>0.13717064</x:v>
      </x:c>
      <x:c r="N93" s="60" t="n">
        <x:v>0.32798291</x:v>
      </x:c>
      <x:c r="O93" s="60" t="n">
        <x:v>0.57677209</x:v>
      </x:c>
      <x:c r="P93" s="60" t="n">
        <x:v>0.4</x:v>
      </x:c>
      <x:c r="Q93" s="78" t="n">
        <x:v>27312929</x:v>
      </x:c>
      <x:c r="R93" s="78" t="n">
        <x:v>1682</x:v>
      </x:c>
      <x:c r="S93" s="58" t="str">
        <x:v>DISCOVER_TOTAL_WALLET_AND_VALIDATE_PUBLIC_CANDIDATE</x:v>
      </x:c>
      <x:c r="T93" s="58" t="str">
        <x:v>POSTERIOR/SCENARIO; WITHHELD_PENDING_APPROVAL</x:v>
      </x:c>
    </x:row>
    <x:row r="94">
      <x:c r="A94" s="58" t="n">
        <x:v>90</x:v>
      </x:c>
      <x:c r="B94" s="58" t="str">
        <x:v>E07-collections</x:v>
      </x:c>
      <x:c r="C94" s="58" t="str">
        <x:v>E07</x:v>
      </x:c>
      <x:c r="D94" s="58" t="str">
        <x:v>OUTsurance Group</x:v>
      </x:c>
      <x:c r="E94" s="58" t="str">
        <x:v>insurance</x:v>
      </x:c>
      <x:c r="F94" s="58" t="str">
        <x:v>Collections</x:v>
      </x:c>
      <x:c r="G94" s="58" t="str">
        <x:v>PENDING_REVIEW_EXCLUDED</x:v>
      </x:c>
      <x:c r="H94" s="58" t="str">
        <x:v>E0</x:v>
      </x:c>
      <x:c r="I94" s="79" t="n">
        <x:v>109422979</x:v>
      </x:c>
      <x:c r="J94" s="79" t="n">
        <x:v>183911501</x:v>
      </x:c>
      <x:c r="K94" s="79" t="n">
        <x:v>314860045</x:v>
      </x:c>
      <x:c r="L94" s="79" t="n">
        <x:v>706545811</x:v>
      </x:c>
      <x:c r="M94" s="60" t="n">
        <x:v>0.15487033</x:v>
      </x:c>
      <x:c r="N94" s="60" t="n">
        <x:v>0.34752894</x:v>
      </x:c>
      <x:c r="O94" s="60" t="n">
        <x:v>0.59497628</x:v>
      </x:c>
      <x:c r="P94" s="60" t="n">
        <x:v>0.4</x:v>
      </x:c>
      <x:c r="Q94" s="78" t="n">
        <x:v>16521039</x:v>
      </x:c>
      <x:c r="R94" s="78" t="n">
        <x:v>1527</x:v>
      </x:c>
      <x:c r="S94" s="58" t="str">
        <x:v>DISCOVER_TOTAL_WALLET_AND_VALIDATE_PUBLIC_CANDIDATE</x:v>
      </x:c>
      <x:c r="T94" s="58" t="str">
        <x:v>POSTERIOR/SCENARIO; WITHHELD_PENDING_APPROVAL</x:v>
      </x:c>
    </x:row>
    <x:row r="95">
      <x:c r="A95" s="58" t="n">
        <x:v>91</x:v>
      </x:c>
      <x:c r="B95" s="58" t="str">
        <x:v>E20-liquidity</x:v>
      </x:c>
      <x:c r="C95" s="58" t="str">
        <x:v>E20</x:v>
      </x:c>
      <x:c r="D95" s="58" t="str">
        <x:v>Shaftesbury Capital plc</x:v>
      </x:c>
      <x:c r="E95" s="58" t="str">
        <x:v>real_estate</x:v>
      </x:c>
      <x:c r="F95" s="58" t="str">
        <x:v>Liquidity</x:v>
      </x:c>
      <x:c r="G95" s="58" t="str">
        <x:v>PENDING_REVIEW_EXCLUDED</x:v>
      </x:c>
      <x:c r="H95" s="58" t="str">
        <x:v>E0</x:v>
      </x:c>
      <x:c r="I95" s="79" t="n">
        <x:v>5948238</x:v>
      </x:c>
      <x:c r="J95" s="79" t="n">
        <x:v>11130075</x:v>
      </x:c>
      <x:c r="K95" s="79" t="n">
        <x:v>22550427</x:v>
      </x:c>
      <x:c r="L95" s="79" t="n">
        <x:v>74388380</x:v>
      </x:c>
      <x:c r="M95" s="60" t="n">
        <x:v>0.07996194</x:v>
      </x:c>
      <x:c r="N95" s="60" t="n">
        <x:v>0.26377499</x:v>
      </x:c>
      <x:c r="O95" s="60" t="n">
        <x:v>0.53442934</x:v>
      </x:c>
      <x:c r="P95" s="60" t="n">
        <x:v>0.4</x:v>
      </x:c>
      <x:c r="Q95" s="78" t="n">
        <x:v>3071932</x:v>
      </x:c>
      <x:c r="R95" s="78" t="n">
        <x:v>1419</x:v>
      </x:c>
      <x:c r="S95" s="58" t="str">
        <x:v>DISCOVER_TOTAL_WALLET_AND_VALIDATE_PUBLIC_CANDIDATE</x:v>
      </x:c>
      <x:c r="T95" s="58" t="str">
        <x:v>POSTERIOR/SCENARIO; WITHHELD_PENDING_APPROVAL</x:v>
      </x:c>
    </x:row>
    <x:row r="96">
      <x:c r="A96" s="58" t="n">
        <x:v>92</x:v>
      </x:c>
      <x:c r="B96" s="58" t="str">
        <x:v>E17-collections</x:v>
      </x:c>
      <x:c r="C96" s="58" t="str">
        <x:v>E17</x:v>
      </x:c>
      <x:c r="D96" s="58" t="str">
        <x:v>Vodacom Group</x:v>
      </x:c>
      <x:c r="E96" s="58" t="str">
        <x:v>telecoms</x:v>
      </x:c>
      <x:c r="F96" s="58" t="str">
        <x:v>Collections</x:v>
      </x:c>
      <x:c r="G96" s="58" t="str">
        <x:v>PENDING_REVIEW_EXCLUDED</x:v>
      </x:c>
      <x:c r="H96" s="58" t="str">
        <x:v>E0</x:v>
      </x:c>
      <x:c r="I96" s="79" t="n">
        <x:v>85039957</x:v>
      </x:c>
      <x:c r="J96" s="79" t="n">
        <x:v>144189037</x:v>
      </x:c>
      <x:c r="K96" s="79" t="n">
        <x:v>240619353</x:v>
      </x:c>
      <x:c r="L96" s="79" t="n">
        <x:v>558168176</x:v>
      </x:c>
      <x:c r="M96" s="60" t="n">
        <x:v>0.15235545</x:v>
      </x:c>
      <x:c r="N96" s="60" t="n">
        <x:v>0.3534211</x:v>
      </x:c>
      <x:c r="O96" s="60" t="n">
        <x:v>0.58978102</x:v>
      </x:c>
      <x:c r="P96" s="60" t="n">
        <x:v>0.4</x:v>
      </x:c>
      <x:c r="Q96" s="78" t="n">
        <x:v>11207784</x:v>
      </x:c>
      <x:c r="R96" s="78" t="n">
        <x:v>1036</x:v>
      </x:c>
      <x:c r="S96" s="58" t="str">
        <x:v>DISCOVER_TOTAL_WALLET_AND_VALIDATE_PUBLIC_CANDIDATE</x:v>
      </x:c>
      <x:c r="T96" s="58" t="str">
        <x:v>POSTERIOR/SCENARIO; WITHHELD_PENDING_APPROVAL</x:v>
      </x:c>
    </x:row>
    <x:row r="97">
      <x:c r="A97" s="58" t="n">
        <x:v>93</x:v>
      </x:c>
      <x:c r="B97" s="58" t="str">
        <x:v>E12-collections</x:v>
      </x:c>
      <x:c r="C97" s="58" t="str">
        <x:v>E12</x:v>
      </x:c>
      <x:c r="D97" s="58" t="str">
        <x:v>Clicks Group</x:v>
      </x:c>
      <x:c r="E97" s="58" t="str">
        <x:v>consumer</x:v>
      </x:c>
      <x:c r="F97" s="58" t="str">
        <x:v>Collections</x:v>
      </x:c>
      <x:c r="G97" s="58" t="str">
        <x:v>PENDING_REVIEW_EXCLUDED</x:v>
      </x:c>
      <x:c r="H97" s="58" t="str">
        <x:v>E0</x:v>
      </x:c>
      <x:c r="I97" s="79" t="n">
        <x:v>68673183</x:v>
      </x:c>
      <x:c r="J97" s="79" t="n">
        <x:v>118172369</x:v>
      </x:c>
      <x:c r="K97" s="79" t="n">
        <x:v>193821456</x:v>
      </x:c>
      <x:c r="L97" s="79" t="n">
        <x:v>438434317</x:v>
      </x:c>
      <x:c r="M97" s="60" t="n">
        <x:v>0.15663281</x:v>
      </x:c>
      <x:c r="N97" s="60" t="n">
        <x:v>0.35431156</x:v>
      </x:c>
      <x:c r="O97" s="60" t="n">
        <x:v>0.58112725</x:v>
      </x:c>
      <x:c r="P97" s="60" t="n">
        <x:v>0.4</x:v>
      </x:c>
      <x:c r="Q97" s="78" t="n">
        <x:v>8855400</x:v>
      </x:c>
      <x:c r="R97" s="78" t="n">
        <x:v>818</x:v>
      </x:c>
      <x:c r="S97" s="58" t="str">
        <x:v>DISCOVER_TOTAL_WALLET_AND_VALIDATE_PUBLIC_CANDIDATE</x:v>
      </x:c>
      <x:c r="T97" s="58" t="str">
        <x:v>POSTERIOR/SCENARIO; WITHHELD_PENDING_APPROVAL</x:v>
      </x:c>
    </x:row>
    <x:row r="98">
      <x:c r="A98" s="58" t="n">
        <x:v>94</x:v>
      </x:c>
      <x:c r="B98" s="58" t="str">
        <x:v>E13-payments</x:v>
      </x:c>
      <x:c r="C98" s="58" t="str">
        <x:v>E13</x:v>
      </x:c>
      <x:c r="D98" s="58" t="str">
        <x:v>NEPI Rockcastle</x:v>
      </x:c>
      <x:c r="E98" s="58" t="str">
        <x:v>real_estate</x:v>
      </x:c>
      <x:c r="F98" s="58" t="str">
        <x:v>Payments</x:v>
      </x:c>
      <x:c r="G98" s="58" t="str">
        <x:v>PENDING_REVIEW_EXCLUDED</x:v>
      </x:c>
      <x:c r="H98" s="58" t="str">
        <x:v>E0</x:v>
      </x:c>
      <x:c r="I98" s="79" t="n">
        <x:v>31454175</x:v>
      </x:c>
      <x:c r="J98" s="79" t="n">
        <x:v>54743745</x:v>
      </x:c>
      <x:c r="K98" s="79" t="n">
        <x:v>95237655</x:v>
      </x:c>
      <x:c r="L98" s="79" t="n">
        <x:v>225720257</x:v>
      </x:c>
      <x:c r="M98" s="60" t="n">
        <x:v>0.13935031</x:v>
      </x:c>
      <x:c r="N98" s="60" t="n">
        <x:v>0.33027036</x:v>
      </x:c>
      <x:c r="O98" s="60" t="n">
        <x:v>0.57457111</x:v>
      </x:c>
      <x:c r="P98" s="60" t="n">
        <x:v>0.4</x:v>
      </x:c>
      <x:c r="Q98" s="78" t="n">
        <x:v>6640887</x:v>
      </x:c>
      <x:c r="R98" s="78" t="n">
        <x:v>409</x:v>
      </x:c>
      <x:c r="S98" s="58" t="str">
        <x:v>DISCOVER_TOTAL_WALLET_AND_VALIDATE_PUBLIC_CANDIDATE</x:v>
      </x:c>
      <x:c r="T98" s="58" t="str">
        <x:v>POSTERIOR/SCENARIO; WITHHELD_PENDING_APPROVAL</x:v>
      </x:c>
    </x:row>
    <x:row r="99">
      <x:c r="A99" s="58" t="n">
        <x:v>95</x:v>
      </x:c>
      <x:c r="B99" s="58" t="str">
        <x:v>E06-collections</x:v>
      </x:c>
      <x:c r="C99" s="58" t="str">
        <x:v>E06</x:v>
      </x:c>
      <x:c r="D99" s="58" t="str">
        <x:v>Valterra Platinum</x:v>
      </x:c>
      <x:c r="E99" s="58" t="str">
        <x:v>mining</x:v>
      </x:c>
      <x:c r="F99" s="58" t="str">
        <x:v>Collections</x:v>
      </x:c>
      <x:c r="G99" s="58" t="str">
        <x:v>PENDING_REVIEW_EXCLUDED</x:v>
      </x:c>
      <x:c r="H99" s="58" t="str">
        <x:v>E0</x:v>
      </x:c>
      <x:c r="I99" s="79" t="n">
        <x:v>32627305</x:v>
      </x:c>
      <x:c r="J99" s="79" t="n">
        <x:v>55082715</x:v>
      </x:c>
      <x:c r="K99" s="79" t="n">
        <x:v>92529026</x:v>
      </x:c>
      <x:c r="L99" s="79" t="n">
        <x:v>217598804</x:v>
      </x:c>
      <x:c r="M99" s="60" t="n">
        <x:v>0.14994255</x:v>
      </x:c>
      <x:c r="N99" s="60" t="n">
        <x:v>0.35261697</x:v>
      </x:c>
      <x:c r="O99" s="60" t="n">
        <x:v>0.59233294</x:v>
      </x:c>
      <x:c r="P99" s="60" t="n">
        <x:v>0.4</x:v>
      </x:c>
      <x:c r="Q99" s="78" t="n">
        <x:v>4384306</x:v>
      </x:c>
      <x:c r="R99" s="78" t="n">
        <x:v>405</x:v>
      </x:c>
      <x:c r="S99" s="58" t="str">
        <x:v>DISCOVER_TOTAL_WALLET_AND_VALIDATE_PUBLIC_CANDIDATE</x:v>
      </x:c>
      <x:c r="T99" s="58" t="str">
        <x:v>POSTERIOR/SCENARIO; WITHHELD_PENDING_APPROVAL</x:v>
      </x:c>
    </x:row>
    <x:row r="100">
      <x:c r="A100" s="58" t="n">
        <x:v>96</x:v>
      </x:c>
      <x:c r="B100" s="58" t="str">
        <x:v>E06-payments</x:v>
      </x:c>
      <x:c r="C100" s="58" t="str">
        <x:v>E06</x:v>
      </x:c>
      <x:c r="D100" s="58" t="str">
        <x:v>Valterra Platinum</x:v>
      </x:c>
      <x:c r="E100" s="58" t="str">
        <x:v>mining</x:v>
      </x:c>
      <x:c r="F100" s="58" t="str">
        <x:v>Payments</x:v>
      </x:c>
      <x:c r="G100" s="58" t="str">
        <x:v>PENDING_REVIEW_EXCLUDED</x:v>
      </x:c>
      <x:c r="H100" s="58" t="str">
        <x:v>E0</x:v>
      </x:c>
      <x:c r="I100" s="79" t="n">
        <x:v>17279447</x:v>
      </x:c>
      <x:c r="J100" s="79" t="n">
        <x:v>30014305</x:v>
      </x:c>
      <x:c r="K100" s="79" t="n">
        <x:v>52366396</x:v>
      </x:c>
      <x:c r="L100" s="79" t="n">
        <x:v>124012840</x:v>
      </x:c>
      <x:c r="M100" s="60" t="n">
        <x:v>0.13933595</x:v>
      </x:c>
      <x:c r="N100" s="60" t="n">
        <x:v>0.32997206</x:v>
      </x:c>
      <x:c r="O100" s="60" t="n">
        <x:v>0.57570704</x:v>
      </x:c>
      <x:c r="P100" s="60" t="n">
        <x:v>0.4</x:v>
      </x:c>
      <x:c r="Q100" s="78" t="n">
        <x:v>3667112</x:v>
      </x:c>
      <x:c r="R100" s="78" t="n">
        <x:v>226</x:v>
      </x:c>
      <x:c r="S100" s="58" t="str">
        <x:v>DISCOVER_TOTAL_WALLET_AND_VALIDATE_PUBLIC_CANDIDATE</x:v>
      </x:c>
      <x:c r="T100" s="58" t="str">
        <x:v>POSTERIOR/SCENARIO; WITHHELD_PENDING_APPROVAL</x:v>
      </x:c>
    </x:row>
    <x:row r="101">
      <x:c r="A101" s="58" t="n">
        <x:v>97</x:v>
      </x:c>
      <x:c r="B101" s="58" t="str">
        <x:v>E13-collections</x:v>
      </x:c>
      <x:c r="C101" s="58" t="str">
        <x:v>E13</x:v>
      </x:c>
      <x:c r="D101" s="58" t="str">
        <x:v>NEPI Rockcastle</x:v>
      </x:c>
      <x:c r="E101" s="58" t="str">
        <x:v>real_estate</x:v>
      </x:c>
      <x:c r="F101" s="58" t="str">
        <x:v>Collections</x:v>
      </x:c>
      <x:c r="G101" s="58" t="str">
        <x:v>PENDING_REVIEW_EXCLUDED</x:v>
      </x:c>
      <x:c r="H101" s="58" t="str">
        <x:v>E0</x:v>
      </x:c>
      <x:c r="I101" s="79" t="n">
        <x:v>16004454</x:v>
      </x:c>
      <x:c r="J101" s="79" t="n">
        <x:v>27106342</x:v>
      </x:c>
      <x:c r="K101" s="79" t="n">
        <x:v>45937423</x:v>
      </x:c>
      <x:c r="L101" s="79" t="n">
        <x:v>103426921</x:v>
      </x:c>
      <x:c r="M101" s="60" t="n">
        <x:v>0.15474168</x:v>
      </x:c>
      <x:c r="N101" s="60" t="n">
        <x:v>0.34839686</x:v>
      </x:c>
      <x:c r="O101" s="60" t="n">
        <x:v>0.59043209</x:v>
      </x:c>
      <x:c r="P101" s="60" t="n">
        <x:v>0.4</x:v>
      </x:c>
      <x:c r="Q101" s="78" t="n">
        <x:v>2370515</x:v>
      </x:c>
      <x:c r="R101" s="78" t="n">
        <x:v>219</x:v>
      </x:c>
      <x:c r="S101" s="58" t="str">
        <x:v>DISCOVER_TOTAL_WALLET_AND_VALIDATE_PUBLIC_CANDIDATE</x:v>
      </x:c>
      <x:c r="T101" s="58" t="str">
        <x:v>POSTERIOR/SCENARIO; WITHHELD_PENDING_APPROVAL</x:v>
      </x:c>
    </x:row>
    <x:row r="102">
      <x:c r="A102" s="58" t="n">
        <x:v>98</x:v>
      </x:c>
      <x:c r="B102" s="58" t="str">
        <x:v>E20-payments</x:v>
      </x:c>
      <x:c r="C102" s="58" t="str">
        <x:v>E20</x:v>
      </x:c>
      <x:c r="D102" s="58" t="str">
        <x:v>Shaftesbury Capital plc</x:v>
      </x:c>
      <x:c r="E102" s="58" t="str">
        <x:v>real_estate</x:v>
      </x:c>
      <x:c r="F102" s="58" t="str">
        <x:v>Payments</x:v>
      </x:c>
      <x:c r="G102" s="58" t="str">
        <x:v>PENDING_REVIEW_EXCLUDED</x:v>
      </x:c>
      <x:c r="H102" s="58" t="str">
        <x:v>E0</x:v>
      </x:c>
      <x:c r="I102" s="79" t="n">
        <x:v>6186933</x:v>
      </x:c>
      <x:c r="J102" s="79" t="n">
        <x:v>10847844</x:v>
      </x:c>
      <x:c r="K102" s="79" t="n">
        <x:v>18710432</x:v>
      </x:c>
      <x:c r="L102" s="79" t="n">
        <x:v>42948708</x:v>
      </x:c>
      <x:c r="M102" s="60" t="n">
        <x:v>0.14405401</x:v>
      </x:c>
      <x:c r="N102" s="60" t="n">
        <x:v>0.3306676</x:v>
      </x:c>
      <x:c r="O102" s="60" t="n">
        <x:v>0.57033761</x:v>
      </x:c>
      <x:c r="P102" s="60" t="n">
        <x:v>0.4</x:v>
      </x:c>
      <x:c r="Q102" s="78" t="n">
        <x:v>1297239</x:v>
      </x:c>
      <x:c r="R102" s="78" t="n">
        <x:v>80</x:v>
      </x:c>
      <x:c r="S102" s="58" t="str">
        <x:v>DISCOVER_TOTAL_WALLET_AND_VALIDATE_PUBLIC_CANDIDATE</x:v>
      </x:c>
      <x:c r="T102" s="58" t="str">
        <x:v>POSTERIOR/SCENARIO; WITHHELD_PENDING_APPROVAL</x:v>
      </x:c>
    </x:row>
    <x:row r="103">
      <x:c r="A103" s="58" t="n">
        <x:v>99</x:v>
      </x:c>
      <x:c r="B103" s="58" t="str">
        <x:v>E20-collections</x:v>
      </x:c>
      <x:c r="C103" s="58" t="str">
        <x:v>E20</x:v>
      </x:c>
      <x:c r="D103" s="58" t="str">
        <x:v>Shaftesbury Capital plc</x:v>
      </x:c>
      <x:c r="E103" s="58" t="str">
        <x:v>real_estate</x:v>
      </x:c>
      <x:c r="F103" s="58" t="str">
        <x:v>Collections</x:v>
      </x:c>
      <x:c r="G103" s="58" t="str">
        <x:v>PENDING_REVIEW_EXCLUDED</x:v>
      </x:c>
      <x:c r="H103" s="58" t="str">
        <x:v>E0</x:v>
      </x:c>
      <x:c r="I103" s="79" t="n">
        <x:v>5709544</x:v>
      </x:c>
      <x:c r="J103" s="79" t="n">
        <x:v>9612157</x:v>
      </x:c>
      <x:c r="K103" s="79" t="n">
        <x:v>16197528</x:v>
      </x:c>
      <x:c r="L103" s="79" t="n">
        <x:v>37191791</x:v>
      </x:c>
      <x:c r="M103" s="60" t="n">
        <x:v>0.15351623</x:v>
      </x:c>
      <x:c r="N103" s="60" t="n">
        <x:v>0.35249475</x:v>
      </x:c>
      <x:c r="O103" s="60" t="n">
        <x:v>0.59399191</x:v>
      </x:c>
      <x:c r="P103" s="60" t="n">
        <x:v>0.4</x:v>
      </x:c>
      <x:c r="Q103" s="78" t="n">
        <x:v>769468</x:v>
      </x:c>
      <x:c r="R103" s="78" t="n">
        <x:v>71</x:v>
      </x:c>
      <x:c r="S103" s="58" t="str">
        <x:v>DISCOVER_TOTAL_WALLET_AND_VALIDATE_PUBLIC_CANDIDATE</x:v>
      </x:c>
      <x:c r="T103" s="58" t="str">
        <x:v>POSTERIOR/SCENARIO; WITHHELD_PENDING_APPROVAL</x:v>
      </x:c>
    </x:row>
    <x:row r="104">
      <x:c r="A104" s="58" t="n">
        <x:v>100</x:v>
      </x:c>
      <x:c r="B104" s="58" t="str">
        <x:v>E09-liquidity</x:v>
      </x:c>
      <x:c r="C104" s="58" t="str">
        <x:v>E09</x:v>
      </x:c>
      <x:c r="D104" s="58" t="str">
        <x:v>Shoprite Holdings</x:v>
      </x:c>
      <x:c r="E104" s="58" t="str">
        <x:v>consumer</x:v>
      </x:c>
      <x:c r="F104" s="58" t="str">
        <x:v>Liquidity</x:v>
      </x:c>
      <x:c r="G104" s="58" t="str">
        <x:v>APPROVED</x:v>
      </x:c>
      <x:c r="H104" s="58" t="str">
        <x:v>E1</x:v>
      </x:c>
      <x:c r="I104" s="79" t="n">
        <x:v>5165706531</x:v>
      </x:c>
      <x:c r="J104" s="79" t="n">
        <x:v>7647661599</x:v>
      </x:c>
      <x:c r="K104" s="79" t="n">
        <x:v>12336206718</x:v>
      </x:c>
      <x:c r="L104" s="79" t="n">
        <x:v>26690474809</x:v>
      </x:c>
      <x:c r="M104" s="60" t="n">
        <x:v>0.19354122</x:v>
      </x:c>
      <x:c r="N104" s="60" t="n">
        <x:v>0.41874351</x:v>
      </x:c>
      <x:c r="O104" s="60" t="n">
        <x:v>0.67546224</x:v>
      </x:c>
      <x:c r="P104" s="60" t="n">
        <x:v>0.4</x:v>
      </x:c>
      <x:c r="Q104" s="78" t="n">
        <x:v>0</x:v>
      </x:c>
      <x:c r="R104" s="78" t="n">
        <x:v>0</x:v>
      </x:c>
      <x:c r="S104" s="58" t="str">
        <x:v>VALIDATE_WALLET_AND_FEASIBILITY</x:v>
      </x:c>
      <x:c r="T104" s="58" t="str">
        <x:v>POSTERIOR/SCENARIO; ACTIVATED</x:v>
      </x:c>
    </x:row>
  </x:sheetData>
  <x:mergeCells>
    <x:mergeCell ref="A1:T1"/>
    <x:mergeCell ref="A2:T2"/>
  </x:mergeCells>
  <x:conditionalFormatting sqref="A5:T104">
    <x:cfRule type="expression" dxfId="4" priority="1">
      <x:formula>$G5="APPROVED"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34" hidden="0" customWidth="1"/>
    <x:col min="4" max="4" width="16" hidden="0" customWidth="1"/>
    <x:col min="5" max="5" width="26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32" hidden="0" customWidth="1"/>
    <x:col min="14" max="14" width="32" hidden="0" customWidth="1"/>
  </x:cols>
  <x:sheetData>
    <x:row r="1" ht="35" customHeight="1">
      <x:c r="A1" s="3" t="str">
        <x:v>Finance-SME Four-Eyes Queue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6" customHeight="1">
      <x:c r="A2" s="7" t="str">
        <x:v>51 developer-verified candidates; workflow priority covers 81.79% of prior-led scenario value; every human decision field is blank.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0" customHeight="1">
      <x:c r="A4" s="77" t="str">
        <x:v>Priority rank</x:v>
      </x:c>
      <x:c r="B4" s="77" t="str">
        <x:v>80% cohort</x:v>
      </x:c>
      <x:c r="C4" s="77" t="str">
        <x:v>Fact ID</x:v>
      </x:c>
      <x:c r="D4" s="77" t="str">
        <x:v>Entity ID</x:v>
      </x:c>
      <x:c r="E4" s="77" t="str">
        <x:v>Client</x:v>
      </x:c>
      <x:c r="F4" s="77" t="str">
        <x:v>Concept</x:v>
      </x:c>
      <x:c r="G4" s="77" t="str">
        <x:v>Value</x:v>
      </x:c>
      <x:c r="H4" s="77" t="str">
        <x:v>Currency</x:v>
      </x:c>
      <x:c r="I4" s="77" t="str">
        <x:v>Unit</x:v>
      </x:c>
      <x:c r="J4" s="77" t="str">
        <x:v>Page</x:v>
      </x:c>
      <x:c r="K4" s="77" t="str">
        <x:v>Developer QA</x:v>
      </x:c>
      <x:c r="L4" s="77" t="str">
        <x:v>Approval</x:v>
      </x:c>
      <x:c r="M4" s="77" t="str">
        <x:v>Finance SME decision</x:v>
      </x:c>
      <x:c r="N4" s="77" t="str">
        <x:v>Independent approver decision</x:v>
      </x:c>
    </x:row>
    <x:row r="5">
      <x:c r="A5" s="58" t="n">
        <x:v>1</x:v>
      </x:c>
      <x:c r="B5" s="58" t="str">
        <x:v>PRIORITY</x:v>
      </x:c>
      <x:c r="C5" s="58" t="str">
        <x:v>PEPKOR-2025-CASH</x:v>
      </x:c>
      <x:c r="D5" s="58" t="str">
        <x:v>E11</x:v>
      </x:c>
      <x:c r="E5" s="58" t="str">
        <x:v>Pepkor Holdings</x:v>
      </x:c>
      <x:c r="F5" s="58" t="str">
        <x:v>cash_and_cash_equivalents</x:v>
      </x:c>
      <x:c r="G5" s="59" t="n">
        <x:v>5066</x:v>
      </x:c>
      <x:c r="H5" s="58" t="str">
        <x:v>ZAR</x:v>
      </x:c>
      <x:c r="I5" s="58" t="str">
        <x:v>million</x:v>
      </x:c>
      <x:c r="J5" s="58" t="n">
        <x:v>23</x:v>
      </x:c>
      <x:c r="K5" s="58" t="str">
        <x:v>DEVELOPER_VERIFIED</x:v>
      </x:c>
      <x:c r="L5" s="58" t="str">
        <x:v>PENDING_REVIEW</x:v>
      </x:c>
      <x:c r="M5" s="58" t="str"/>
      <x:c r="N5" s="58" t="str"/>
    </x:row>
    <x:row r="6">
      <x:c r="A6" s="58" t="n">
        <x:v>1</x:v>
      </x:c>
      <x:c r="B6" s="58" t="str">
        <x:v>PRIORITY</x:v>
      </x:c>
      <x:c r="C6" s="58" t="str">
        <x:v>PEPKOR-2025-DEBT</x:v>
      </x:c>
      <x:c r="D6" s="58" t="str">
        <x:v>E11</x:v>
      </x:c>
      <x:c r="E6" s="58" t="str">
        <x:v>Pepkor Holdings</x:v>
      </x:c>
      <x:c r="F6" s="58" t="str">
        <x:v>current_debt</x:v>
      </x:c>
      <x:c r="G6" s="59" t="n">
        <x:v>1200</x:v>
      </x:c>
      <x:c r="H6" s="58" t="str">
        <x:v>ZAR</x:v>
      </x:c>
      <x:c r="I6" s="58" t="str">
        <x:v>million</x:v>
      </x:c>
      <x:c r="J6" s="58" t="n">
        <x:v>23</x:v>
      </x:c>
      <x:c r="K6" s="58" t="str">
        <x:v>DEVELOPER_VERIFIED</x:v>
      </x:c>
      <x:c r="L6" s="58" t="str">
        <x:v>PENDING_REVIEW</x:v>
      </x:c>
      <x:c r="M6" s="58" t="str"/>
      <x:c r="N6" s="58" t="str"/>
    </x:row>
    <x:row r="7">
      <x:c r="A7" s="58" t="n">
        <x:v>1</x:v>
      </x:c>
      <x:c r="B7" s="58" t="str">
        <x:v>PRIORITY</x:v>
      </x:c>
      <x:c r="C7" s="58" t="str">
        <x:v>PEPKOR-2025-REV</x:v>
      </x:c>
      <x:c r="D7" s="58" t="str">
        <x:v>E11</x:v>
      </x:c>
      <x:c r="E7" s="58" t="str">
        <x:v>Pepkor Holdings</x:v>
      </x:c>
      <x:c r="F7" s="58" t="str">
        <x:v>revenue</x:v>
      </x:c>
      <x:c r="G7" s="59" t="n">
        <x:v>95340</x:v>
      </x:c>
      <x:c r="H7" s="58" t="str">
        <x:v>ZAR</x:v>
      </x:c>
      <x:c r="I7" s="58" t="str">
        <x:v>million</x:v>
      </x:c>
      <x:c r="J7" s="58" t="n">
        <x:v>21</x:v>
      </x:c>
      <x:c r="K7" s="58" t="str">
        <x:v>DEVELOPER_VERIFIED</x:v>
      </x:c>
      <x:c r="L7" s="58" t="str">
        <x:v>PENDING_REVIEW</x:v>
      </x:c>
      <x:c r="M7" s="58" t="str"/>
      <x:c r="N7" s="58" t="str"/>
    </x:row>
    <x:row r="8">
      <x:c r="A8" s="58" t="n">
        <x:v>2</x:v>
      </x:c>
      <x:c r="B8" s="58" t="str">
        <x:v>PRIORITY</x:v>
      </x:c>
      <x:c r="C8" s="58" t="str">
        <x:v>BIDCORP-2025-CASH</x:v>
      </x:c>
      <x:c r="D8" s="58" t="str">
        <x:v>E10</x:v>
      </x:c>
      <x:c r="E8" s="58" t="str">
        <x:v>Bid Corporation</x:v>
      </x:c>
      <x:c r="F8" s="58" t="str">
        <x:v>cash_and_cash_equivalents</x:v>
      </x:c>
      <x:c r="G8" s="59" t="n">
        <x:v>11767.619</x:v>
      </x:c>
      <x:c r="H8" s="58" t="str">
        <x:v>ZAR</x:v>
      </x:c>
      <x:c r="I8" s="58" t="str">
        <x:v>million</x:v>
      </x:c>
      <x:c r="J8" s="58" t="n">
        <x:v>19</x:v>
      </x:c>
      <x:c r="K8" s="58" t="str">
        <x:v>DEVELOPER_VERIFIED</x:v>
      </x:c>
      <x:c r="L8" s="58" t="str">
        <x:v>PENDING_REVIEW</x:v>
      </x:c>
      <x:c r="M8" s="58" t="str"/>
      <x:c r="N8" s="58" t="str"/>
    </x:row>
    <x:row r="9">
      <x:c r="A9" s="58" t="n">
        <x:v>2</x:v>
      </x:c>
      <x:c r="B9" s="58" t="str">
        <x:v>PRIORITY</x:v>
      </x:c>
      <x:c r="C9" s="58" t="str">
        <x:v>BIDCORP-2025-CL</x:v>
      </x:c>
      <x:c r="D9" s="58" t="str">
        <x:v>E10</x:v>
      </x:c>
      <x:c r="E9" s="58" t="str">
        <x:v>Bid Corporation</x:v>
      </x:c>
      <x:c r="F9" s="58" t="str">
        <x:v>current_liabilities</x:v>
      </x:c>
      <x:c r="G9" s="59" t="n">
        <x:v>42998.668</x:v>
      </x:c>
      <x:c r="H9" s="58" t="str">
        <x:v>ZAR</x:v>
      </x:c>
      <x:c r="I9" s="58" t="str">
        <x:v>million</x:v>
      </x:c>
      <x:c r="J9" s="58" t="n">
        <x:v>19</x:v>
      </x:c>
      <x:c r="K9" s="58" t="str">
        <x:v>DEVELOPER_VERIFIED</x:v>
      </x:c>
      <x:c r="L9" s="58" t="str">
        <x:v>PENDING_REVIEW</x:v>
      </x:c>
      <x:c r="M9" s="58" t="str"/>
      <x:c r="N9" s="58" t="str"/>
    </x:row>
    <x:row r="10">
      <x:c r="A10" s="58" t="n">
        <x:v>2</x:v>
      </x:c>
      <x:c r="B10" s="58" t="str">
        <x:v>PRIORITY</x:v>
      </x:c>
      <x:c r="C10" s="58" t="str">
        <x:v>BIDCORP-2025-REV</x:v>
      </x:c>
      <x:c r="D10" s="58" t="str">
        <x:v>E10</x:v>
      </x:c>
      <x:c r="E10" s="58" t="str">
        <x:v>Bid Corporation</x:v>
      </x:c>
      <x:c r="F10" s="58" t="str">
        <x:v>revenue</x:v>
      </x:c>
      <x:c r="G10" s="59" t="n">
        <x:v>235591.182</x:v>
      </x:c>
      <x:c r="H10" s="58" t="str">
        <x:v>ZAR</x:v>
      </x:c>
      <x:c r="I10" s="58" t="str">
        <x:v>million</x:v>
      </x:c>
      <x:c r="J10" s="58" t="n">
        <x:v>18</x:v>
      </x:c>
      <x:c r="K10" s="58" t="str">
        <x:v>DEVELOPER_VERIFIED</x:v>
      </x:c>
      <x:c r="L10" s="58" t="str">
        <x:v>PENDING_REVIEW</x:v>
      </x:c>
      <x:c r="M10" s="58" t="str"/>
      <x:c r="N10" s="58" t="str"/>
    </x:row>
    <x:row r="11">
      <x:c r="A11" s="58" t="n">
        <x:v>3</x:v>
      </x:c>
      <x:c r="B11" s="58" t="str">
        <x:v>PRIORITY</x:v>
      </x:c>
      <x:c r="C11" s="58" t="str">
        <x:v>MTN-2025-CASH</x:v>
      </x:c>
      <x:c r="D11" s="58" t="str">
        <x:v>E16</x:v>
      </x:c>
      <x:c r="E11" s="58" t="str">
        <x:v>MTN Group</x:v>
      </x:c>
      <x:c r="F11" s="58" t="str">
        <x:v>cash_and_cash_equivalents</x:v>
      </x:c>
      <x:c r="G11" s="59" t="n">
        <x:v>42625</x:v>
      </x:c>
      <x:c r="H11" s="58" t="str">
        <x:v>ZAR</x:v>
      </x:c>
      <x:c r="I11" s="58" t="str">
        <x:v>million</x:v>
      </x:c>
      <x:c r="J11" s="58" t="n">
        <x:v>23</x:v>
      </x:c>
      <x:c r="K11" s="58" t="str">
        <x:v>DEVELOPER_VERIFIED</x:v>
      </x:c>
      <x:c r="L11" s="58" t="str">
        <x:v>PENDING_REVIEW</x:v>
      </x:c>
      <x:c r="M11" s="58" t="str"/>
      <x:c r="N11" s="58" t="str"/>
    </x:row>
    <x:row r="12">
      <x:c r="A12" s="58" t="n">
        <x:v>3</x:v>
      </x:c>
      <x:c r="B12" s="58" t="str">
        <x:v>PRIORITY</x:v>
      </x:c>
      <x:c r="C12" s="58" t="str">
        <x:v>MTN-2025-DEBT</x:v>
      </x:c>
      <x:c r="D12" s="58" t="str">
        <x:v>E16</x:v>
      </x:c>
      <x:c r="E12" s="58" t="str">
        <x:v>MTN Group</x:v>
      </x:c>
      <x:c r="F12" s="58" t="str">
        <x:v>current_debt</x:v>
      </x:c>
      <x:c r="G12" s="59" t="n">
        <x:v>17755</x:v>
      </x:c>
      <x:c r="H12" s="58" t="str">
        <x:v>ZAR</x:v>
      </x:c>
      <x:c r="I12" s="58" t="str">
        <x:v>million</x:v>
      </x:c>
      <x:c r="J12" s="58" t="n">
        <x:v>23</x:v>
      </x:c>
      <x:c r="K12" s="58" t="str">
        <x:v>DEVELOPER_VERIFIED</x:v>
      </x:c>
      <x:c r="L12" s="58" t="str">
        <x:v>PENDING_REVIEW</x:v>
      </x:c>
      <x:c r="M12" s="58" t="str"/>
      <x:c r="N12" s="58" t="str"/>
    </x:row>
    <x:row r="13">
      <x:c r="A13" s="58" t="n">
        <x:v>3</x:v>
      </x:c>
      <x:c r="B13" s="58" t="str">
        <x:v>PRIORITY</x:v>
      </x:c>
      <x:c r="C13" s="58" t="str">
        <x:v>MTN-2025-REV</x:v>
      </x:c>
      <x:c r="D13" s="58" t="str">
        <x:v>E16</x:v>
      </x:c>
      <x:c r="E13" s="58" t="str">
        <x:v>MTN Group</x:v>
      </x:c>
      <x:c r="F13" s="58" t="str">
        <x:v>revenue</x:v>
      </x:c>
      <x:c r="G13" s="59" t="n">
        <x:v>226707</x:v>
      </x:c>
      <x:c r="H13" s="58" t="str">
        <x:v>ZAR</x:v>
      </x:c>
      <x:c r="I13" s="58" t="str">
        <x:v>million</x:v>
      </x:c>
      <x:c r="J13" s="58" t="n">
        <x:v>21</x:v>
      </x:c>
      <x:c r="K13" s="58" t="str">
        <x:v>DEVELOPER_VERIFIED</x:v>
      </x:c>
      <x:c r="L13" s="58" t="str">
        <x:v>PENDING_REVIEW</x:v>
      </x:c>
      <x:c r="M13" s="58" t="str"/>
      <x:c r="N13" s="58" t="str"/>
    </x:row>
    <x:row r="14">
      <x:c r="A14" s="58" t="n">
        <x:v>4</x:v>
      </x:c>
      <x:c r="B14" s="58" t="str">
        <x:v>PRIORITY</x:v>
      </x:c>
      <x:c r="C14" s="58" t="str">
        <x:v>BIDVEST-2025-CASH</x:v>
      </x:c>
      <x:c r="D14" s="58" t="str">
        <x:v>E18</x:v>
      </x:c>
      <x:c r="E14" s="58" t="str">
        <x:v>The Bidvest Group</x:v>
      </x:c>
      <x:c r="F14" s="58" t="str">
        <x:v>cash_and_cash_equivalents</x:v>
      </x:c>
      <x:c r="G14" s="59" t="n">
        <x:v>6193.638</x:v>
      </x:c>
      <x:c r="H14" s="58" t="str">
        <x:v>ZAR</x:v>
      </x:c>
      <x:c r="I14" s="58" t="str">
        <x:v>million</x:v>
      </x:c>
      <x:c r="J14" s="58" t="n">
        <x:v>43</x:v>
      </x:c>
      <x:c r="K14" s="58" t="str">
        <x:v>DEVELOPER_VERIFIED</x:v>
      </x:c>
      <x:c r="L14" s="58" t="str">
        <x:v>PENDING_REVIEW</x:v>
      </x:c>
      <x:c r="M14" s="58" t="str"/>
      <x:c r="N14" s="58" t="str"/>
    </x:row>
    <x:row r="15">
      <x:c r="A15" s="58" t="n">
        <x:v>4</x:v>
      </x:c>
      <x:c r="B15" s="58" t="str">
        <x:v>PRIORITY</x:v>
      </x:c>
      <x:c r="C15" s="58" t="str">
        <x:v>BIDVEST-2025-DEBT</x:v>
      </x:c>
      <x:c r="D15" s="58" t="str">
        <x:v>E18</x:v>
      </x:c>
      <x:c r="E15" s="58" t="str">
        <x:v>The Bidvest Group</x:v>
      </x:c>
      <x:c r="F15" s="58" t="str">
        <x:v>current_debt</x:v>
      </x:c>
      <x:c r="G15" s="59" t="n">
        <x:v>5336.113</x:v>
      </x:c>
      <x:c r="H15" s="58" t="str">
        <x:v>ZAR</x:v>
      </x:c>
      <x:c r="I15" s="58" t="str">
        <x:v>million</x:v>
      </x:c>
      <x:c r="J15" s="58" t="n">
        <x:v>44</x:v>
      </x:c>
      <x:c r="K15" s="58" t="str">
        <x:v>DEVELOPER_VERIFIED</x:v>
      </x:c>
      <x:c r="L15" s="58" t="str">
        <x:v>PENDING_REVIEW</x:v>
      </x:c>
      <x:c r="M15" s="58" t="str"/>
      <x:c r="N15" s="58" t="str"/>
    </x:row>
    <x:row r="16">
      <x:c r="A16" s="58" t="n">
        <x:v>4</x:v>
      </x:c>
      <x:c r="B16" s="58" t="str">
        <x:v>PRIORITY</x:v>
      </x:c>
      <x:c r="C16" s="58" t="str">
        <x:v>BIDVEST-2025-REV</x:v>
      </x:c>
      <x:c r="D16" s="58" t="str">
        <x:v>E18</x:v>
      </x:c>
      <x:c r="E16" s="58" t="str">
        <x:v>The Bidvest Group</x:v>
      </x:c>
      <x:c r="F16" s="58" t="str">
        <x:v>revenue</x:v>
      </x:c>
      <x:c r="G16" s="59" t="n">
        <x:v>126605.406</x:v>
      </x:c>
      <x:c r="H16" s="58" t="str">
        <x:v>ZAR</x:v>
      </x:c>
      <x:c r="I16" s="58" t="str">
        <x:v>million</x:v>
      </x:c>
      <x:c r="J16" s="58" t="n">
        <x:v>40</x:v>
      </x:c>
      <x:c r="K16" s="58" t="str">
        <x:v>DEVELOPER_VERIFIED</x:v>
      </x:c>
      <x:c r="L16" s="58" t="str">
        <x:v>PENDING_REVIEW</x:v>
      </x:c>
      <x:c r="M16" s="58" t="str"/>
      <x:c r="N16" s="58" t="str"/>
    </x:row>
    <x:row r="17">
      <x:c r="A17" s="58" t="n">
        <x:v>5</x:v>
      </x:c>
      <x:c r="B17" s="58" t="str">
        <x:v>PRIORITY</x:v>
      </x:c>
      <x:c r="C17" s="58" t="str">
        <x:v>SANLAM-2024-CASH</x:v>
      </x:c>
      <x:c r="D17" s="58" t="str">
        <x:v>E08</x:v>
      </x:c>
      <x:c r="E17" s="58" t="str">
        <x:v>Sanlam</x:v>
      </x:c>
      <x:c r="F17" s="58" t="str">
        <x:v>cash_and_cash_equivalents</x:v>
      </x:c>
      <x:c r="G17" s="59" t="n">
        <x:v>34602</x:v>
      </x:c>
      <x:c r="H17" s="58" t="str">
        <x:v>ZAR</x:v>
      </x:c>
      <x:c r="I17" s="58" t="str">
        <x:v>million</x:v>
      </x:c>
      <x:c r="J17" s="58" t="n">
        <x:v>42</x:v>
      </x:c>
      <x:c r="K17" s="58" t="str">
        <x:v>DEVELOPER_VERIFIED</x:v>
      </x:c>
      <x:c r="L17" s="58" t="str">
        <x:v>PENDING_REVIEW</x:v>
      </x:c>
      <x:c r="M17" s="58" t="str"/>
      <x:c r="N17" s="58" t="str"/>
    </x:row>
    <x:row r="18">
      <x:c r="A18" s="58" t="n">
        <x:v>5</x:v>
      </x:c>
      <x:c r="B18" s="58" t="str">
        <x:v>PRIORITY</x:v>
      </x:c>
      <x:c r="C18" s="58" t="str">
        <x:v>SANLAM-2024-INSREV</x:v>
      </x:c>
      <x:c r="D18" s="58" t="str">
        <x:v>E08</x:v>
      </x:c>
      <x:c r="E18" s="58" t="str">
        <x:v>Sanlam</x:v>
      </x:c>
      <x:c r="F18" s="58" t="str">
        <x:v>insurance_revenue</x:v>
      </x:c>
      <x:c r="G18" s="59" t="n">
        <x:v>93475</x:v>
      </x:c>
      <x:c r="H18" s="58" t="str">
        <x:v>ZAR</x:v>
      </x:c>
      <x:c r="I18" s="58" t="str">
        <x:v>million</x:v>
      </x:c>
      <x:c r="J18" s="58" t="n">
        <x:v>42</x:v>
      </x:c>
      <x:c r="K18" s="58" t="str">
        <x:v>DEVELOPER_VERIFIED</x:v>
      </x:c>
      <x:c r="L18" s="58" t="str">
        <x:v>PENDING_REVIEW</x:v>
      </x:c>
      <x:c r="M18" s="58" t="str"/>
      <x:c r="N18" s="58" t="str"/>
    </x:row>
    <x:row r="19">
      <x:c r="A19" s="58" t="n">
        <x:v>5</x:v>
      </x:c>
      <x:c r="B19" s="58" t="str">
        <x:v>PRIORITY</x:v>
      </x:c>
      <x:c r="C19" s="58" t="str">
        <x:v>SANLAM-2024-TERM</x:v>
      </x:c>
      <x:c r="D19" s="58" t="str">
        <x:v>E08</x:v>
      </x:c>
      <x:c r="E19" s="58" t="str">
        <x:v>Sanlam</x:v>
      </x:c>
      <x:c r="F19" s="58" t="str">
        <x:v>term_finance</x:v>
      </x:c>
      <x:c r="G19" s="59" t="n">
        <x:v>19769</x:v>
      </x:c>
      <x:c r="H19" s="58" t="str">
        <x:v>ZAR</x:v>
      </x:c>
      <x:c r="I19" s="58" t="str">
        <x:v>million</x:v>
      </x:c>
      <x:c r="J19" s="58" t="n">
        <x:v>42</x:v>
      </x:c>
      <x:c r="K19" s="58" t="str">
        <x:v>DEVELOPER_VERIFIED</x:v>
      </x:c>
      <x:c r="L19" s="58" t="str">
        <x:v>PENDING_REVIEW</x:v>
      </x:c>
      <x:c r="M19" s="58" t="str"/>
      <x:c r="N19" s="58" t="str"/>
    </x:row>
    <x:row r="20">
      <x:c r="A20" s="58" t="n">
        <x:v>6</x:v>
      </x:c>
      <x:c r="B20" s="58" t="str">
        <x:v>PRIORITY</x:v>
      </x:c>
      <x:c r="C20" s="58" t="str">
        <x:v>AA-2025-CASH</x:v>
      </x:c>
      <x:c r="D20" s="58" t="str">
        <x:v>E03</x:v>
      </x:c>
      <x:c r="E20" s="58" t="str">
        <x:v>Anglo American</x:v>
      </x:c>
      <x:c r="F20" s="58" t="str">
        <x:v>cash_and_cash_equivalents</x:v>
      </x:c>
      <x:c r="G20" s="59" t="n">
        <x:v>6436</x:v>
      </x:c>
      <x:c r="H20" s="58" t="str">
        <x:v>USD</x:v>
      </x:c>
      <x:c r="I20" s="58" t="str">
        <x:v>million</x:v>
      </x:c>
      <x:c r="J20" s="58" t="n">
        <x:v>274</x:v>
      </x:c>
      <x:c r="K20" s="58" t="str">
        <x:v>DEVELOPER_VERIFIED</x:v>
      </x:c>
      <x:c r="L20" s="58" t="str">
        <x:v>PENDING_REVIEW</x:v>
      </x:c>
      <x:c r="M20" s="58" t="str"/>
      <x:c r="N20" s="58" t="str"/>
    </x:row>
    <x:row r="21">
      <x:c r="A21" s="58" t="n">
        <x:v>6</x:v>
      </x:c>
      <x:c r="B21" s="58" t="str">
        <x:v>PRIORITY</x:v>
      </x:c>
      <x:c r="C21" s="58" t="str">
        <x:v>AA-2025-DEBT</x:v>
      </x:c>
      <x:c r="D21" s="58" t="str">
        <x:v>E03</x:v>
      </x:c>
      <x:c r="E21" s="58" t="str">
        <x:v>Anglo American</x:v>
      </x:c>
      <x:c r="F21" s="58" t="str">
        <x:v>current_debt</x:v>
      </x:c>
      <x:c r="G21" s="59" t="n">
        <x:v>1075</x:v>
      </x:c>
      <x:c r="H21" s="58" t="str">
        <x:v>USD</x:v>
      </x:c>
      <x:c r="I21" s="58" t="str">
        <x:v>million</x:v>
      </x:c>
      <x:c r="J21" s="58" t="n">
        <x:v>274</x:v>
      </x:c>
      <x:c r="K21" s="58" t="str">
        <x:v>DEVELOPER_VERIFIED</x:v>
      </x:c>
      <x:c r="L21" s="58" t="str">
        <x:v>PENDING_REVIEW</x:v>
      </x:c>
      <x:c r="M21" s="58" t="str"/>
      <x:c r="N21" s="58" t="str"/>
    </x:row>
    <x:row r="22">
      <x:c r="A22" s="58" t="n">
        <x:v>6</x:v>
      </x:c>
      <x:c r="B22" s="58" t="str">
        <x:v>PRIORITY</x:v>
      </x:c>
      <x:c r="C22" s="58" t="str">
        <x:v>AA-2025-REV</x:v>
      </x:c>
      <x:c r="D22" s="58" t="str">
        <x:v>E03</x:v>
      </x:c>
      <x:c r="E22" s="58" t="str">
        <x:v>Anglo American</x:v>
      </x:c>
      <x:c r="F22" s="58" t="str">
        <x:v>revenue</x:v>
      </x:c>
      <x:c r="G22" s="59" t="n">
        <x:v>18546</x:v>
      </x:c>
      <x:c r="H22" s="58" t="str">
        <x:v>USD</x:v>
      </x:c>
      <x:c r="I22" s="58" t="str">
        <x:v>million</x:v>
      </x:c>
      <x:c r="J22" s="58" t="n">
        <x:v>272</x:v>
      </x:c>
      <x:c r="K22" s="58" t="str">
        <x:v>DEVELOPER_VERIFIED</x:v>
      </x:c>
      <x:c r="L22" s="58" t="str">
        <x:v>PENDING_REVIEW</x:v>
      </x:c>
      <x:c r="M22" s="58" t="str"/>
      <x:c r="N22" s="58" t="str"/>
    </x:row>
    <x:row r="23">
      <x:c r="A23" s="58" t="n">
        <x:v>7</x:v>
      </x:c>
      <x:c r="B23" s="58" t="str">
        <x:v>PRIORITY</x:v>
      </x:c>
      <x:c r="C23" s="58" t="str">
        <x:v>GF-2025-CASH</x:v>
      </x:c>
      <x:c r="D23" s="58" t="str">
        <x:v>E05</x:v>
      </x:c>
      <x:c r="E23" s="58" t="str">
        <x:v>Gold Fields</x:v>
      </x:c>
      <x:c r="F23" s="58" t="str">
        <x:v>cash_and_cash_equivalents</x:v>
      </x:c>
      <x:c r="G23" s="59" t="n">
        <x:v>1779.2</x:v>
      </x:c>
      <x:c r="H23" s="58" t="str">
        <x:v>USD</x:v>
      </x:c>
      <x:c r="I23" s="58" t="str">
        <x:v>million</x:v>
      </x:c>
      <x:c r="J23" s="58" t="n">
        <x:v>74</x:v>
      </x:c>
      <x:c r="K23" s="58" t="str">
        <x:v>DEVELOPER_VERIFIED</x:v>
      </x:c>
      <x:c r="L23" s="58" t="str">
        <x:v>PENDING_REVIEW</x:v>
      </x:c>
      <x:c r="M23" s="58" t="str"/>
      <x:c r="N23" s="58" t="str"/>
    </x:row>
    <x:row r="24">
      <x:c r="A24" s="58" t="n">
        <x:v>7</x:v>
      </x:c>
      <x:c r="B24" s="58" t="str">
        <x:v>PRIORITY</x:v>
      </x:c>
      <x:c r="C24" s="58" t="str">
        <x:v>GF-2025-DEBT</x:v>
      </x:c>
      <x:c r="D24" s="58" t="str">
        <x:v>E05</x:v>
      </x:c>
      <x:c r="E24" s="58" t="str">
        <x:v>Gold Fields</x:v>
      </x:c>
      <x:c r="F24" s="58" t="str">
        <x:v>current_debt</x:v>
      </x:c>
      <x:c r="G24" s="59" t="n">
        <x:v>178.7</x:v>
      </x:c>
      <x:c r="H24" s="58" t="str">
        <x:v>USD</x:v>
      </x:c>
      <x:c r="I24" s="58" t="str">
        <x:v>million</x:v>
      </x:c>
      <x:c r="J24" s="58" t="n">
        <x:v>74</x:v>
      </x:c>
      <x:c r="K24" s="58" t="str">
        <x:v>DEVELOPER_VERIFIED</x:v>
      </x:c>
      <x:c r="L24" s="58" t="str">
        <x:v>PENDING_REVIEW</x:v>
      </x:c>
      <x:c r="M24" s="58" t="str"/>
      <x:c r="N24" s="58" t="str"/>
    </x:row>
    <x:row r="25">
      <x:c r="A25" s="58" t="n">
        <x:v>7</x:v>
      </x:c>
      <x:c r="B25" s="58" t="str">
        <x:v>PRIORITY</x:v>
      </x:c>
      <x:c r="C25" s="58" t="str">
        <x:v>GF-2025-REV</x:v>
      </x:c>
      <x:c r="D25" s="58" t="str">
        <x:v>E05</x:v>
      </x:c>
      <x:c r="E25" s="58" t="str">
        <x:v>Gold Fields</x:v>
      </x:c>
      <x:c r="F25" s="58" t="str">
        <x:v>revenue</x:v>
      </x:c>
      <x:c r="G25" s="59" t="n">
        <x:v>8751.3</x:v>
      </x:c>
      <x:c r="H25" s="58" t="str">
        <x:v>USD</x:v>
      </x:c>
      <x:c r="I25" s="58" t="str">
        <x:v>million</x:v>
      </x:c>
      <x:c r="J25" s="58" t="n">
        <x:v>72</x:v>
      </x:c>
      <x:c r="K25" s="58" t="str">
        <x:v>DEVELOPER_VERIFIED</x:v>
      </x:c>
      <x:c r="L25" s="58" t="str">
        <x:v>PENDING_REVIEW</x:v>
      </x:c>
      <x:c r="M25" s="58" t="str"/>
      <x:c r="N25" s="58" t="str"/>
    </x:row>
    <x:row r="26">
      <x:c r="A26" s="58" t="n">
        <x:v>8</x:v>
      </x:c>
      <x:c r="B26" s="58" t="str">
        <x:v>DEFERRED</x:v>
      </x:c>
      <x:c r="C26" s="58" t="str">
        <x:v>ASPEN-2025-CASH</x:v>
      </x:c>
      <x:c r="D26" s="58" t="str">
        <x:v>E19</x:v>
      </x:c>
      <x:c r="E26" s="58" t="str">
        <x:v>Aspen Pharmacare</x:v>
      </x:c>
      <x:c r="F26" s="58" t="str">
        <x:v>cash_and_cash_equivalents</x:v>
      </x:c>
      <x:c r="G26" s="59" t="n">
        <x:v>6409</x:v>
      </x:c>
      <x:c r="H26" s="58" t="str">
        <x:v>ZAR</x:v>
      </x:c>
      <x:c r="I26" s="58" t="str">
        <x:v>million</x:v>
      </x:c>
      <x:c r="J26" s="58" t="n">
        <x:v>15</x:v>
      </x:c>
      <x:c r="K26" s="58" t="str">
        <x:v>DEVELOPER_VERIFIED</x:v>
      </x:c>
      <x:c r="L26" s="58" t="str">
        <x:v>PENDING_REVIEW</x:v>
      </x:c>
      <x:c r="M26" s="58" t="str"/>
      <x:c r="N26" s="58" t="str"/>
    </x:row>
    <x:row r="27">
      <x:c r="A27" s="58" t="n">
        <x:v>8</x:v>
      </x:c>
      <x:c r="B27" s="58" t="str">
        <x:v>DEFERRED</x:v>
      </x:c>
      <x:c r="C27" s="58" t="str">
        <x:v>ASPEN-2025-DEBT</x:v>
      </x:c>
      <x:c r="D27" s="58" t="str">
        <x:v>E19</x:v>
      </x:c>
      <x:c r="E27" s="58" t="str">
        <x:v>Aspen Pharmacare</x:v>
      </x:c>
      <x:c r="F27" s="58" t="str">
        <x:v>current_debt</x:v>
      </x:c>
      <x:c r="G27" s="59" t="n">
        <x:v>4612</x:v>
      </x:c>
      <x:c r="H27" s="58" t="str">
        <x:v>ZAR</x:v>
      </x:c>
      <x:c r="I27" s="58" t="str">
        <x:v>million</x:v>
      </x:c>
      <x:c r="J27" s="58" t="n">
        <x:v>15</x:v>
      </x:c>
      <x:c r="K27" s="58" t="str">
        <x:v>DEVELOPER_VERIFIED</x:v>
      </x:c>
      <x:c r="L27" s="58" t="str">
        <x:v>PENDING_REVIEW</x:v>
      </x:c>
      <x:c r="M27" s="58" t="str"/>
      <x:c r="N27" s="58" t="str"/>
    </x:row>
    <x:row r="28">
      <x:c r="A28" s="58" t="n">
        <x:v>8</x:v>
      </x:c>
      <x:c r="B28" s="58" t="str">
        <x:v>DEFERRED</x:v>
      </x:c>
      <x:c r="C28" s="58" t="str">
        <x:v>ASPEN-2025-REV</x:v>
      </x:c>
      <x:c r="D28" s="58" t="str">
        <x:v>E19</x:v>
      </x:c>
      <x:c r="E28" s="58" t="str">
        <x:v>Aspen Pharmacare</x:v>
      </x:c>
      <x:c r="F28" s="58" t="str">
        <x:v>revenue</x:v>
      </x:c>
      <x:c r="G28" s="59" t="n">
        <x:v>43363</x:v>
      </x:c>
      <x:c r="H28" s="58" t="str">
        <x:v>ZAR</x:v>
      </x:c>
      <x:c r="I28" s="58" t="str">
        <x:v>million</x:v>
      </x:c>
      <x:c r="J28" s="58" t="n">
        <x:v>16</x:v>
      </x:c>
      <x:c r="K28" s="58" t="str">
        <x:v>DEVELOPER_VERIFIED</x:v>
      </x:c>
      <x:c r="L28" s="58" t="str">
        <x:v>PENDING_REVIEW</x:v>
      </x:c>
      <x:c r="M28" s="58" t="str"/>
      <x:c r="N28" s="58" t="str"/>
    </x:row>
    <x:row r="29">
      <x:c r="A29" s="58" t="n">
        <x:v>9</x:v>
      </x:c>
      <x:c r="B29" s="58" t="str">
        <x:v>DEFERRED</x:v>
      </x:c>
      <x:c r="C29" s="58" t="str">
        <x:v>AGA-2025-CASH</x:v>
      </x:c>
      <x:c r="D29" s="58" t="str">
        <x:v>E04</x:v>
      </x:c>
      <x:c r="E29" s="58" t="str">
        <x:v>AngloGold Ashanti</x:v>
      </x:c>
      <x:c r="F29" s="58" t="str">
        <x:v>cash_and_cash_equivalents</x:v>
      </x:c>
      <x:c r="G29" s="59" t="n">
        <x:v>2905</x:v>
      </x:c>
      <x:c r="H29" s="58" t="str">
        <x:v>USD</x:v>
      </x:c>
      <x:c r="I29" s="58" t="str">
        <x:v>million</x:v>
      </x:c>
      <x:c r="J29" s="58" t="n">
        <x:v>160</x:v>
      </x:c>
      <x:c r="K29" s="58" t="str">
        <x:v>DEVELOPER_VERIFIED</x:v>
      </x:c>
      <x:c r="L29" s="58" t="str">
        <x:v>PENDING_REVIEW</x:v>
      </x:c>
      <x:c r="M29" s="58" t="str"/>
      <x:c r="N29" s="58" t="str"/>
    </x:row>
    <x:row r="30">
      <x:c r="A30" s="58" t="n">
        <x:v>9</x:v>
      </x:c>
      <x:c r="B30" s="58" t="str">
        <x:v>DEFERRED</x:v>
      </x:c>
      <x:c r="C30" s="58" t="str">
        <x:v>AGA-2025-DEBT</x:v>
      </x:c>
      <x:c r="D30" s="58" t="str">
        <x:v>E04</x:v>
      </x:c>
      <x:c r="E30" s="58" t="str">
        <x:v>AngloGold Ashanti</x:v>
      </x:c>
      <x:c r="F30" s="58" t="str">
        <x:v>current_debt</x:v>
      </x:c>
      <x:c r="G30" s="59" t="n">
        <x:v>19</x:v>
      </x:c>
      <x:c r="H30" s="58" t="str">
        <x:v>USD</x:v>
      </x:c>
      <x:c r="I30" s="58" t="str">
        <x:v>million</x:v>
      </x:c>
      <x:c r="J30" s="58" t="n">
        <x:v>160</x:v>
      </x:c>
      <x:c r="K30" s="58" t="str">
        <x:v>DEVELOPER_VERIFIED</x:v>
      </x:c>
      <x:c r="L30" s="58" t="str">
        <x:v>PENDING_REVIEW</x:v>
      </x:c>
      <x:c r="M30" s="58" t="str"/>
      <x:c r="N30" s="58" t="str"/>
    </x:row>
    <x:row r="31">
      <x:c r="A31" s="58" t="n">
        <x:v>9</x:v>
      </x:c>
      <x:c r="B31" s="58" t="str">
        <x:v>DEFERRED</x:v>
      </x:c>
      <x:c r="C31" s="58" t="str">
        <x:v>AGA-2025-REV</x:v>
      </x:c>
      <x:c r="D31" s="58" t="str">
        <x:v>E04</x:v>
      </x:c>
      <x:c r="E31" s="58" t="str">
        <x:v>AngloGold Ashanti</x:v>
      </x:c>
      <x:c r="F31" s="58" t="str">
        <x:v>revenue</x:v>
      </x:c>
      <x:c r="G31" s="59" t="n">
        <x:v>9893</x:v>
      </x:c>
      <x:c r="H31" s="58" t="str">
        <x:v>USD</x:v>
      </x:c>
      <x:c r="I31" s="58" t="str">
        <x:v>million</x:v>
      </x:c>
      <x:c r="J31" s="58" t="n">
        <x:v>158</x:v>
      </x:c>
      <x:c r="K31" s="58" t="str">
        <x:v>DEVELOPER_VERIFIED</x:v>
      </x:c>
      <x:c r="L31" s="58" t="str">
        <x:v>PENDING_REVIEW</x:v>
      </x:c>
      <x:c r="M31" s="58" t="str"/>
      <x:c r="N31" s="58" t="str"/>
    </x:row>
    <x:row r="32">
      <x:c r="A32" s="58" t="n">
        <x:v>10</x:v>
      </x:c>
      <x:c r="B32" s="58" t="str">
        <x:v>DEFERRED</x:v>
      </x:c>
      <x:c r="C32" s="58" t="str">
        <x:v>VODACOM-2026-CASH</x:v>
      </x:c>
      <x:c r="D32" s="58" t="str">
        <x:v>E17</x:v>
      </x:c>
      <x:c r="E32" s="58" t="str">
        <x:v>Vodacom Group</x:v>
      </x:c>
      <x:c r="F32" s="58" t="str">
        <x:v>cash_and_cash_equivalents</x:v>
      </x:c>
      <x:c r="G32" s="59" t="n">
        <x:v>31209</x:v>
      </x:c>
      <x:c r="H32" s="58" t="str">
        <x:v>ZAR</x:v>
      </x:c>
      <x:c r="I32" s="58" t="str">
        <x:v>million</x:v>
      </x:c>
      <x:c r="J32" s="58" t="n">
        <x:v>21</x:v>
      </x:c>
      <x:c r="K32" s="58" t="str">
        <x:v>DEVELOPER_VERIFIED</x:v>
      </x:c>
      <x:c r="L32" s="58" t="str">
        <x:v>PENDING_REVIEW</x:v>
      </x:c>
      <x:c r="M32" s="58" t="str"/>
      <x:c r="N32" s="58" t="str"/>
    </x:row>
    <x:row r="33">
      <x:c r="A33" s="58" t="n">
        <x:v>10</x:v>
      </x:c>
      <x:c r="B33" s="58" t="str">
        <x:v>DEFERRED</x:v>
      </x:c>
      <x:c r="C33" s="58" t="str">
        <x:v>VODACOM-2026-DEBT</x:v>
      </x:c>
      <x:c r="D33" s="58" t="str">
        <x:v>E17</x:v>
      </x:c>
      <x:c r="E33" s="58" t="str">
        <x:v>Vodacom Group</x:v>
      </x:c>
      <x:c r="F33" s="58" t="str">
        <x:v>current_debt</x:v>
      </x:c>
      <x:c r="G33" s="59" t="n">
        <x:v>8781</x:v>
      </x:c>
      <x:c r="H33" s="58" t="str">
        <x:v>ZAR</x:v>
      </x:c>
      <x:c r="I33" s="58" t="str">
        <x:v>million</x:v>
      </x:c>
      <x:c r="J33" s="58" t="n">
        <x:v>21</x:v>
      </x:c>
      <x:c r="K33" s="58" t="str">
        <x:v>DEVELOPER_VERIFIED</x:v>
      </x:c>
      <x:c r="L33" s="58" t="str">
        <x:v>PENDING_REVIEW</x:v>
      </x:c>
      <x:c r="M33" s="58" t="str"/>
      <x:c r="N33" s="58" t="str"/>
    </x:row>
    <x:row r="34">
      <x:c r="A34" s="58" t="n">
        <x:v>10</x:v>
      </x:c>
      <x:c r="B34" s="58" t="str">
        <x:v>DEFERRED</x:v>
      </x:c>
      <x:c r="C34" s="58" t="str">
        <x:v>VODACOM-2026-REV</x:v>
      </x:c>
      <x:c r="D34" s="58" t="str">
        <x:v>E17</x:v>
      </x:c>
      <x:c r="E34" s="58" t="str">
        <x:v>Vodacom Group</x:v>
      </x:c>
      <x:c r="F34" s="58" t="str">
        <x:v>revenue</x:v>
      </x:c>
      <x:c r="G34" s="59" t="n">
        <x:v>167652</x:v>
      </x:c>
      <x:c r="H34" s="58" t="str">
        <x:v>ZAR</x:v>
      </x:c>
      <x:c r="I34" s="58" t="str">
        <x:v>million</x:v>
      </x:c>
      <x:c r="J34" s="58" t="n">
        <x:v>19</x:v>
      </x:c>
      <x:c r="K34" s="58" t="str">
        <x:v>DEVELOPER_VERIFIED</x:v>
      </x:c>
      <x:c r="L34" s="58" t="str">
        <x:v>PENDING_REVIEW</x:v>
      </x:c>
      <x:c r="M34" s="58" t="str"/>
      <x:c r="N34" s="58" t="str"/>
    </x:row>
    <x:row r="35">
      <x:c r="A35" s="58" t="n">
        <x:v>11</x:v>
      </x:c>
      <x:c r="B35" s="58" t="str">
        <x:v>DEFERRED</x:v>
      </x:c>
      <x:c r="C35" s="58" t="str">
        <x:v>NASPERS-2026-CASH</x:v>
      </x:c>
      <x:c r="D35" s="58" t="str">
        <x:v>E15</x:v>
      </x:c>
      <x:c r="E35" s="58" t="str">
        <x:v>Naspers</x:v>
      </x:c>
      <x:c r="F35" s="58" t="str">
        <x:v>cash_and_cash_equivalents</x:v>
      </x:c>
      <x:c r="G35" s="59" t="n">
        <x:v>6820</x:v>
      </x:c>
      <x:c r="H35" s="58" t="str">
        <x:v>USD</x:v>
      </x:c>
      <x:c r="I35" s="58" t="str">
        <x:v>million</x:v>
      </x:c>
      <x:c r="J35" s="58" t="n">
        <x:v>32</x:v>
      </x:c>
      <x:c r="K35" s="58" t="str">
        <x:v>DEVELOPER_VERIFIED</x:v>
      </x:c>
      <x:c r="L35" s="58" t="str">
        <x:v>PENDING_REVIEW</x:v>
      </x:c>
      <x:c r="M35" s="58" t="str"/>
      <x:c r="N35" s="58" t="str"/>
    </x:row>
    <x:row r="36">
      <x:c r="A36" s="58" t="n">
        <x:v>11</x:v>
      </x:c>
      <x:c r="B36" s="58" t="str">
        <x:v>DEFERRED</x:v>
      </x:c>
      <x:c r="C36" s="58" t="str">
        <x:v>NASPERS-2026-DEBT</x:v>
      </x:c>
      <x:c r="D36" s="58" t="str">
        <x:v>E15</x:v>
      </x:c>
      <x:c r="E36" s="58" t="str">
        <x:v>Naspers</x:v>
      </x:c>
      <x:c r="F36" s="58" t="str">
        <x:v>current_debt</x:v>
      </x:c>
      <x:c r="G36" s="59" t="n">
        <x:v>1987</x:v>
      </x:c>
      <x:c r="H36" s="58" t="str">
        <x:v>USD</x:v>
      </x:c>
      <x:c r="I36" s="58" t="str">
        <x:v>million</x:v>
      </x:c>
      <x:c r="J36" s="58" t="n">
        <x:v>32</x:v>
      </x:c>
      <x:c r="K36" s="58" t="str">
        <x:v>DEVELOPER_VERIFIED</x:v>
      </x:c>
      <x:c r="L36" s="58" t="str">
        <x:v>PENDING_REVIEW</x:v>
      </x:c>
      <x:c r="M36" s="58" t="str"/>
      <x:c r="N36" s="58" t="str"/>
    </x:row>
    <x:row r="37">
      <x:c r="A37" s="58" t="n">
        <x:v>11</x:v>
      </x:c>
      <x:c r="B37" s="58" t="str">
        <x:v>DEFERRED</x:v>
      </x:c>
      <x:c r="C37" s="58" t="str">
        <x:v>NASPERS-2026-REV</x:v>
      </x:c>
      <x:c r="D37" s="58" t="str">
        <x:v>E15</x:v>
      </x:c>
      <x:c r="E37" s="58" t="str">
        <x:v>Naspers</x:v>
      </x:c>
      <x:c r="F37" s="58" t="str">
        <x:v>revenue</x:v>
      </x:c>
      <x:c r="G37" s="59" t="n">
        <x:v>10848</x:v>
      </x:c>
      <x:c r="H37" s="58" t="str">
        <x:v>USD</x:v>
      </x:c>
      <x:c r="I37" s="58" t="str">
        <x:v>million</x:v>
      </x:c>
      <x:c r="J37" s="58" t="n">
        <x:v>33</x:v>
      </x:c>
      <x:c r="K37" s="58" t="str">
        <x:v>DEVELOPER_VERIFIED</x:v>
      </x:c>
      <x:c r="L37" s="58" t="str">
        <x:v>PENDING_REVIEW</x:v>
      </x:c>
      <x:c r="M37" s="58" t="str"/>
      <x:c r="N37" s="58" t="str"/>
    </x:row>
    <x:row r="38">
      <x:c r="A38" s="58" t="n">
        <x:v>12</x:v>
      </x:c>
      <x:c r="B38" s="58" t="str">
        <x:v>DEFERRED</x:v>
      </x:c>
      <x:c r="C38" s="58" t="str">
        <x:v>PROSUS-2026-CASH</x:v>
      </x:c>
      <x:c r="D38" s="58" t="str">
        <x:v>E14</x:v>
      </x:c>
      <x:c r="E38" s="58" t="str">
        <x:v>Prosus</x:v>
      </x:c>
      <x:c r="F38" s="58" t="str">
        <x:v>cash_and_cash_equivalents</x:v>
      </x:c>
      <x:c r="G38" s="59" t="n">
        <x:v>6682</x:v>
      </x:c>
      <x:c r="H38" s="58" t="str">
        <x:v>USD</x:v>
      </x:c>
      <x:c r="I38" s="58" t="str">
        <x:v>million</x:v>
      </x:c>
      <x:c r="J38" s="58" t="n">
        <x:v>140</x:v>
      </x:c>
      <x:c r="K38" s="58" t="str">
        <x:v>DEVELOPER_VERIFIED</x:v>
      </x:c>
      <x:c r="L38" s="58" t="str">
        <x:v>PENDING_REVIEW</x:v>
      </x:c>
      <x:c r="M38" s="58" t="str"/>
      <x:c r="N38" s="58" t="str"/>
    </x:row>
    <x:row r="39">
      <x:c r="A39" s="58" t="n">
        <x:v>12</x:v>
      </x:c>
      <x:c r="B39" s="58" t="str">
        <x:v>DEFERRED</x:v>
      </x:c>
      <x:c r="C39" s="58" t="str">
        <x:v>PROSUS-2026-DEBT</x:v>
      </x:c>
      <x:c r="D39" s="58" t="str">
        <x:v>E14</x:v>
      </x:c>
      <x:c r="E39" s="58" t="str">
        <x:v>Prosus</x:v>
      </x:c>
      <x:c r="F39" s="58" t="str">
        <x:v>current_debt</x:v>
      </x:c>
      <x:c r="G39" s="59" t="n">
        <x:v>1953</x:v>
      </x:c>
      <x:c r="H39" s="58" t="str">
        <x:v>USD</x:v>
      </x:c>
      <x:c r="I39" s="58" t="str">
        <x:v>million</x:v>
      </x:c>
      <x:c r="J39" s="58" t="n">
        <x:v>140</x:v>
      </x:c>
      <x:c r="K39" s="58" t="str">
        <x:v>DEVELOPER_VERIFIED</x:v>
      </x:c>
      <x:c r="L39" s="58" t="str">
        <x:v>PENDING_REVIEW</x:v>
      </x:c>
      <x:c r="M39" s="58" t="str"/>
      <x:c r="N39" s="58" t="str"/>
    </x:row>
    <x:row r="40">
      <x:c r="A40" s="58" t="n">
        <x:v>12</x:v>
      </x:c>
      <x:c r="B40" s="58" t="str">
        <x:v>DEFERRED</x:v>
      </x:c>
      <x:c r="C40" s="58" t="str">
        <x:v>PROSUS-2026-REV</x:v>
      </x:c>
      <x:c r="D40" s="58" t="str">
        <x:v>E14</x:v>
      </x:c>
      <x:c r="E40" s="58" t="str">
        <x:v>Prosus</x:v>
      </x:c>
      <x:c r="F40" s="58" t="str">
        <x:v>revenue</x:v>
      </x:c>
      <x:c r="G40" s="59" t="n">
        <x:v>9705</x:v>
      </x:c>
      <x:c r="H40" s="58" t="str">
        <x:v>USD</x:v>
      </x:c>
      <x:c r="I40" s="58" t="str">
        <x:v>million</x:v>
      </x:c>
      <x:c r="J40" s="58" t="n">
        <x:v>141</x:v>
      </x:c>
      <x:c r="K40" s="58" t="str">
        <x:v>DEVELOPER_VERIFIED</x:v>
      </x:c>
      <x:c r="L40" s="58" t="str">
        <x:v>PENDING_REVIEW</x:v>
      </x:c>
      <x:c r="M40" s="58" t="str"/>
      <x:c r="N40" s="58" t="str"/>
    </x:row>
    <x:row r="41">
      <x:c r="A41" s="58" t="n">
        <x:v>13</x:v>
      </x:c>
      <x:c r="B41" s="58" t="str">
        <x:v>DEFERRED</x:v>
      </x:c>
      <x:c r="C41" s="58" t="str">
        <x:v>OUT-2025-CASH</x:v>
      </x:c>
      <x:c r="D41" s="58" t="str">
        <x:v>E07</x:v>
      </x:c>
      <x:c r="E41" s="58" t="str">
        <x:v>OUTsurance Group</x:v>
      </x:c>
      <x:c r="F41" s="58" t="str">
        <x:v>cash_and_cash_equivalents</x:v>
      </x:c>
      <x:c r="G41" s="59" t="n">
        <x:v>1865</x:v>
      </x:c>
      <x:c r="H41" s="58" t="str">
        <x:v>ZAR</x:v>
      </x:c>
      <x:c r="I41" s="58" t="str">
        <x:v>million</x:v>
      </x:c>
      <x:c r="J41" s="58" t="n">
        <x:v>21</x:v>
      </x:c>
      <x:c r="K41" s="58" t="str">
        <x:v>DEVELOPER_VERIFIED</x:v>
      </x:c>
      <x:c r="L41" s="58" t="str">
        <x:v>PENDING_REVIEW</x:v>
      </x:c>
      <x:c r="M41" s="58" t="str"/>
      <x:c r="N41" s="58" t="str"/>
    </x:row>
    <x:row r="42">
      <x:c r="A42" s="58" t="n">
        <x:v>13</x:v>
      </x:c>
      <x:c r="B42" s="58" t="str">
        <x:v>DEFERRED</x:v>
      </x:c>
      <x:c r="C42" s="58" t="str">
        <x:v>OUT-2025-INS-LIAB</x:v>
      </x:c>
      <x:c r="D42" s="58" t="str">
        <x:v>E07</x:v>
      </x:c>
      <x:c r="E42" s="58" t="str">
        <x:v>OUTsurance Group</x:v>
      </x:c>
      <x:c r="F42" s="58" t="str">
        <x:v>insurance_liabilities</x:v>
      </x:c>
      <x:c r="G42" s="59" t="n">
        <x:v>16229</x:v>
      </x:c>
      <x:c r="H42" s="58" t="str">
        <x:v>ZAR</x:v>
      </x:c>
      <x:c r="I42" s="58" t="str">
        <x:v>million</x:v>
      </x:c>
      <x:c r="J42" s="58" t="n">
        <x:v>21</x:v>
      </x:c>
      <x:c r="K42" s="58" t="str">
        <x:v>DEVELOPER_VERIFIED</x:v>
      </x:c>
      <x:c r="L42" s="58" t="str">
        <x:v>PENDING_REVIEW</x:v>
      </x:c>
      <x:c r="M42" s="58" t="str"/>
      <x:c r="N42" s="58" t="str"/>
    </x:row>
    <x:row r="43">
      <x:c r="A43" s="58" t="n">
        <x:v>13</x:v>
      </x:c>
      <x:c r="B43" s="58" t="str">
        <x:v>DEFERRED</x:v>
      </x:c>
      <x:c r="C43" s="58" t="str">
        <x:v>OUT-2025-REV</x:v>
      </x:c>
      <x:c r="D43" s="58" t="str">
        <x:v>E07</x:v>
      </x:c>
      <x:c r="E43" s="58" t="str">
        <x:v>OUTsurance Group</x:v>
      </x:c>
      <x:c r="F43" s="58" t="str">
        <x:v>insurance_revenue</x:v>
      </x:c>
      <x:c r="G43" s="59" t="n">
        <x:v>37131</x:v>
      </x:c>
      <x:c r="H43" s="58" t="str">
        <x:v>ZAR</x:v>
      </x:c>
      <x:c r="I43" s="58" t="str">
        <x:v>million</x:v>
      </x:c>
      <x:c r="J43" s="58" t="n">
        <x:v>19</x:v>
      </x:c>
      <x:c r="K43" s="58" t="str">
        <x:v>DEVELOPER_VERIFIED</x:v>
      </x:c>
      <x:c r="L43" s="58" t="str">
        <x:v>PENDING_REVIEW</x:v>
      </x:c>
      <x:c r="M43" s="58" t="str"/>
      <x:c r="N43" s="58" t="str"/>
    </x:row>
    <x:row r="44">
      <x:c r="A44" s="58" t="n">
        <x:v>14</x:v>
      </x:c>
      <x:c r="B44" s="58" t="str">
        <x:v>DEFERRED</x:v>
      </x:c>
      <x:c r="C44" s="58" t="str">
        <x:v>CLICKS-2025-CASH</x:v>
      </x:c>
      <x:c r="D44" s="58" t="str">
        <x:v>E12</x:v>
      </x:c>
      <x:c r="E44" s="58" t="str">
        <x:v>Clicks Group</x:v>
      </x:c>
      <x:c r="F44" s="58" t="str">
        <x:v>cash_and_cash_equivalents</x:v>
      </x:c>
      <x:c r="G44" s="59" t="n">
        <x:v>3255.77</x:v>
      </x:c>
      <x:c r="H44" s="58" t="str">
        <x:v>ZAR</x:v>
      </x:c>
      <x:c r="I44" s="58" t="str">
        <x:v>million</x:v>
      </x:c>
      <x:c r="J44" s="58" t="n">
        <x:v>10</x:v>
      </x:c>
      <x:c r="K44" s="58" t="str">
        <x:v>DEVELOPER_VERIFIED</x:v>
      </x:c>
      <x:c r="L44" s="58" t="str">
        <x:v>PENDING_REVIEW</x:v>
      </x:c>
      <x:c r="M44" s="58" t="str"/>
      <x:c r="N44" s="58" t="str"/>
    </x:row>
    <x:row r="45">
      <x:c r="A45" s="58" t="n">
        <x:v>14</x:v>
      </x:c>
      <x:c r="B45" s="58" t="str">
        <x:v>DEFERRED</x:v>
      </x:c>
      <x:c r="C45" s="58" t="str">
        <x:v>CLICKS-2025-PAY</x:v>
      </x:c>
      <x:c r="D45" s="58" t="str">
        <x:v>E12</x:v>
      </x:c>
      <x:c r="E45" s="58" t="str">
        <x:v>Clicks Group</x:v>
      </x:c>
      <x:c r="F45" s="58" t="str">
        <x:v>trade_payables</x:v>
      </x:c>
      <x:c r="G45" s="59" t="n">
        <x:v>10912.537</x:v>
      </x:c>
      <x:c r="H45" s="58" t="str">
        <x:v>ZAR</x:v>
      </x:c>
      <x:c r="I45" s="58" t="str">
        <x:v>million</x:v>
      </x:c>
      <x:c r="J45" s="58" t="n">
        <x:v>10</x:v>
      </x:c>
      <x:c r="K45" s="58" t="str">
        <x:v>DEVELOPER_VERIFIED</x:v>
      </x:c>
      <x:c r="L45" s="58" t="str">
        <x:v>PENDING_REVIEW</x:v>
      </x:c>
      <x:c r="M45" s="58" t="str"/>
      <x:c r="N45" s="58" t="str"/>
    </x:row>
    <x:row r="46">
      <x:c r="A46" s="58" t="n">
        <x:v>14</x:v>
      </x:c>
      <x:c r="B46" s="58" t="str">
        <x:v>DEFERRED</x:v>
      </x:c>
      <x:c r="C46" s="58" t="str">
        <x:v>CLICKS-2025-REV</x:v>
      </x:c>
      <x:c r="D46" s="58" t="str">
        <x:v>E12</x:v>
      </x:c>
      <x:c r="E46" s="58" t="str">
        <x:v>Clicks Group</x:v>
      </x:c>
      <x:c r="F46" s="58" t="str">
        <x:v>revenue</x:v>
      </x:c>
      <x:c r="G46" s="59" t="n">
        <x:v>51426.992</x:v>
      </x:c>
      <x:c r="H46" s="58" t="str">
        <x:v>ZAR</x:v>
      </x:c>
      <x:c r="I46" s="58" t="str">
        <x:v>million</x:v>
      </x:c>
      <x:c r="J46" s="58" t="n">
        <x:v>10</x:v>
      </x:c>
      <x:c r="K46" s="58" t="str">
        <x:v>DEVELOPER_VERIFIED</x:v>
      </x:c>
      <x:c r="L46" s="58" t="str">
        <x:v>PENDING_REVIEW</x:v>
      </x:c>
      <x:c r="M46" s="58" t="str"/>
      <x:c r="N46" s="58" t="str"/>
    </x:row>
    <x:row r="47">
      <x:c r="A47" s="58" t="n">
        <x:v>15</x:v>
      </x:c>
      <x:c r="B47" s="58" t="str">
        <x:v>DEFERRED</x:v>
      </x:c>
      <x:c r="C47" s="58" t="str">
        <x:v>VALTERRA-2025-CASH</x:v>
      </x:c>
      <x:c r="D47" s="58" t="str">
        <x:v>E06</x:v>
      </x:c>
      <x:c r="E47" s="58" t="str">
        <x:v>Valterra Platinum</x:v>
      </x:c>
      <x:c r="F47" s="58" t="str">
        <x:v>cash_and_cash_equivalents</x:v>
      </x:c>
      <x:c r="G47" s="59" t="n">
        <x:v>16602</x:v>
      </x:c>
      <x:c r="H47" s="58" t="str">
        <x:v>ZAR</x:v>
      </x:c>
      <x:c r="I47" s="58" t="str">
        <x:v>million</x:v>
      </x:c>
      <x:c r="J47" s="58" t="n">
        <x:v>25</x:v>
      </x:c>
      <x:c r="K47" s="58" t="str">
        <x:v>DEVELOPER_VERIFIED</x:v>
      </x:c>
      <x:c r="L47" s="58" t="str">
        <x:v>PENDING_REVIEW</x:v>
      </x:c>
      <x:c r="M47" s="58" t="str"/>
      <x:c r="N47" s="58" t="str"/>
    </x:row>
    <x:row r="48">
      <x:c r="A48" s="58" t="n">
        <x:v>15</x:v>
      </x:c>
      <x:c r="B48" s="58" t="str">
        <x:v>DEFERRED</x:v>
      </x:c>
      <x:c r="C48" s="58" t="str">
        <x:v>VALTERRA-2025-DEBT</x:v>
      </x:c>
      <x:c r="D48" s="58" t="str">
        <x:v>E06</x:v>
      </x:c>
      <x:c r="E48" s="58" t="str">
        <x:v>Valterra Platinum</x:v>
      </x:c>
      <x:c r="F48" s="58" t="str">
        <x:v>current_debt</x:v>
      </x:c>
      <x:c r="G48" s="59" t="n">
        <x:v>4046</x:v>
      </x:c>
      <x:c r="H48" s="58" t="str">
        <x:v>ZAR</x:v>
      </x:c>
      <x:c r="I48" s="58" t="str">
        <x:v>million</x:v>
      </x:c>
      <x:c r="J48" s="58" t="n">
        <x:v>25</x:v>
      </x:c>
      <x:c r="K48" s="58" t="str">
        <x:v>DEVELOPER_VERIFIED</x:v>
      </x:c>
      <x:c r="L48" s="58" t="str">
        <x:v>PENDING_REVIEW</x:v>
      </x:c>
      <x:c r="M48" s="58" t="str"/>
      <x:c r="N48" s="58" t="str"/>
    </x:row>
    <x:row r="49">
      <x:c r="A49" s="58" t="n">
        <x:v>15</x:v>
      </x:c>
      <x:c r="B49" s="58" t="str">
        <x:v>DEFERRED</x:v>
      </x:c>
      <x:c r="C49" s="58" t="str">
        <x:v>VALTERRA-2025-REV</x:v>
      </x:c>
      <x:c r="D49" s="58" t="str">
        <x:v>E06</x:v>
      </x:c>
      <x:c r="E49" s="58" t="str">
        <x:v>Valterra Platinum</x:v>
      </x:c>
      <x:c r="F49" s="58" t="str">
        <x:v>revenue</x:v>
      </x:c>
      <x:c r="G49" s="59" t="n">
        <x:v>116330</x:v>
      </x:c>
      <x:c r="H49" s="58" t="str">
        <x:v>ZAR</x:v>
      </x:c>
      <x:c r="I49" s="58" t="str">
        <x:v>million</x:v>
      </x:c>
      <x:c r="J49" s="58" t="n">
        <x:v>24</x:v>
      </x:c>
      <x:c r="K49" s="58" t="str">
        <x:v>DEVELOPER_VERIFIED</x:v>
      </x:c>
      <x:c r="L49" s="58" t="str">
        <x:v>PENDING_REVIEW</x:v>
      </x:c>
      <x:c r="M49" s="58" t="str"/>
      <x:c r="N49" s="58" t="str"/>
    </x:row>
    <x:row r="50">
      <x:c r="A50" s="58" t="n">
        <x:v>16</x:v>
      </x:c>
      <x:c r="B50" s="58" t="str">
        <x:v>DEFERRED</x:v>
      </x:c>
      <x:c r="C50" s="58" t="str">
        <x:v>NEPI-2025-CASH</x:v>
      </x:c>
      <x:c r="D50" s="58" t="str">
        <x:v>E13</x:v>
      </x:c>
      <x:c r="E50" s="58" t="str">
        <x:v>NEPI Rockcastle</x:v>
      </x:c>
      <x:c r="F50" s="58" t="str">
        <x:v>cash_and_cash_equivalents</x:v>
      </x:c>
      <x:c r="G50" s="59" t="n">
        <x:v>313.994</x:v>
      </x:c>
      <x:c r="H50" s="58" t="str">
        <x:v>EUR</x:v>
      </x:c>
      <x:c r="I50" s="58" t="str">
        <x:v>million</x:v>
      </x:c>
      <x:c r="J50" s="58" t="n">
        <x:v>310</x:v>
      </x:c>
      <x:c r="K50" s="58" t="str">
        <x:v>DEVELOPER_VERIFIED</x:v>
      </x:c>
      <x:c r="L50" s="58" t="str">
        <x:v>PENDING_REVIEW</x:v>
      </x:c>
      <x:c r="M50" s="58" t="str"/>
      <x:c r="N50" s="58" t="str"/>
    </x:row>
    <x:row r="51">
      <x:c r="A51" s="58" t="n">
        <x:v>16</x:v>
      </x:c>
      <x:c r="B51" s="58" t="str">
        <x:v>DEFERRED</x:v>
      </x:c>
      <x:c r="C51" s="58" t="str">
        <x:v>NEPI-2025-DEBT</x:v>
      </x:c>
      <x:c r="D51" s="58" t="str">
        <x:v>E13</x:v>
      </x:c>
      <x:c r="E51" s="58" t="str">
        <x:v>NEPI Rockcastle</x:v>
      </x:c>
      <x:c r="F51" s="58" t="str">
        <x:v>current_debt</x:v>
      </x:c>
      <x:c r="G51" s="59" t="n">
        <x:v>284.059</x:v>
      </x:c>
      <x:c r="H51" s="58" t="str">
        <x:v>EUR</x:v>
      </x:c>
      <x:c r="I51" s="58" t="str">
        <x:v>million</x:v>
      </x:c>
      <x:c r="J51" s="58" t="n">
        <x:v>310</x:v>
      </x:c>
      <x:c r="K51" s="58" t="str">
        <x:v>DEVELOPER_VERIFIED</x:v>
      </x:c>
      <x:c r="L51" s="58" t="str">
        <x:v>PENDING_REVIEW</x:v>
      </x:c>
      <x:c r="M51" s="58" t="str"/>
      <x:c r="N51" s="58" t="str"/>
    </x:row>
    <x:row r="52">
      <x:c r="A52" s="58" t="n">
        <x:v>16</x:v>
      </x:c>
      <x:c r="B52" s="58" t="str">
        <x:v>DEFERRED</x:v>
      </x:c>
      <x:c r="C52" s="58" t="str">
        <x:v>NEPI-2025-REV</x:v>
      </x:c>
      <x:c r="D52" s="58" t="str">
        <x:v>E13</x:v>
      </x:c>
      <x:c r="E52" s="58" t="str">
        <x:v>NEPI Rockcastle</x:v>
      </x:c>
      <x:c r="F52" s="58" t="str">
        <x:v>gross_rental_income</x:v>
      </x:c>
      <x:c r="G52" s="59" t="n">
        <x:v>624.348</x:v>
      </x:c>
      <x:c r="H52" s="58" t="str">
        <x:v>EUR</x:v>
      </x:c>
      <x:c r="I52" s="58" t="str">
        <x:v>million</x:v>
      </x:c>
      <x:c r="J52" s="58" t="n">
        <x:v>311</x:v>
      </x:c>
      <x:c r="K52" s="58" t="str">
        <x:v>DEVELOPER_VERIFIED</x:v>
      </x:c>
      <x:c r="L52" s="58" t="str">
        <x:v>PENDING_REVIEW</x:v>
      </x:c>
      <x:c r="M52" s="58" t="str"/>
      <x:c r="N52" s="58" t="str"/>
    </x:row>
    <x:row r="53">
      <x:c r="A53" s="58" t="n">
        <x:v>17</x:v>
      </x:c>
      <x:c r="B53" s="58" t="str">
        <x:v>DEFERRED</x:v>
      </x:c>
      <x:c r="C53" s="58" t="str">
        <x:v>SHC-2025-CASH</x:v>
      </x:c>
      <x:c r="D53" s="58" t="str">
        <x:v>E20</x:v>
      </x:c>
      <x:c r="E53" s="58" t="str">
        <x:v>Shaftesbury Capital plc</x:v>
      </x:c>
      <x:c r="F53" s="58" t="str">
        <x:v>cash_and_cash_equivalents</x:v>
      </x:c>
      <x:c r="G53" s="59" t="n">
        <x:v>361.4</x:v>
      </x:c>
      <x:c r="H53" s="58" t="str">
        <x:v>GBP</x:v>
      </x:c>
      <x:c r="I53" s="58" t="str">
        <x:v>million</x:v>
      </x:c>
      <x:c r="J53" s="58" t="n">
        <x:v>22</x:v>
      </x:c>
      <x:c r="K53" s="58" t="str">
        <x:v>DEVELOPER_VERIFIED</x:v>
      </x:c>
      <x:c r="L53" s="58" t="str">
        <x:v>PENDING_REVIEW</x:v>
      </x:c>
      <x:c r="M53" s="58" t="str"/>
      <x:c r="N53" s="58" t="str"/>
    </x:row>
    <x:row r="54">
      <x:c r="A54" s="58" t="n">
        <x:v>17</x:v>
      </x:c>
      <x:c r="B54" s="58" t="str">
        <x:v>DEFERRED</x:v>
      </x:c>
      <x:c r="C54" s="58" t="str">
        <x:v>SHC-2025-DEBT</x:v>
      </x:c>
      <x:c r="D54" s="58" t="str">
        <x:v>E20</x:v>
      </x:c>
      <x:c r="E54" s="58" t="str">
        <x:v>Shaftesbury Capital plc</x:v>
      </x:c>
      <x:c r="F54" s="58" t="str">
        <x:v>current_debt</x:v>
      </x:c>
      <x:c r="G54" s="59" t="n">
        <x:v>438.4</x:v>
      </x:c>
      <x:c r="H54" s="58" t="str">
        <x:v>GBP</x:v>
      </x:c>
      <x:c r="I54" s="58" t="str">
        <x:v>million</x:v>
      </x:c>
      <x:c r="J54" s="58" t="n">
        <x:v>22</x:v>
      </x:c>
      <x:c r="K54" s="58" t="str">
        <x:v>DEVELOPER_VERIFIED</x:v>
      </x:c>
      <x:c r="L54" s="58" t="str">
        <x:v>PENDING_REVIEW</x:v>
      </x:c>
      <x:c r="M54" s="58" t="str"/>
      <x:c r="N54" s="58" t="str"/>
    </x:row>
    <x:row r="55">
      <x:c r="A55" s="58" t="n">
        <x:v>17</x:v>
      </x:c>
      <x:c r="B55" s="58" t="str">
        <x:v>DEFERRED</x:v>
      </x:c>
      <x:c r="C55" s="58" t="str">
        <x:v>SHC-2025-REV</x:v>
      </x:c>
      <x:c r="D55" s="58" t="str">
        <x:v>E20</x:v>
      </x:c>
      <x:c r="E55" s="58" t="str">
        <x:v>Shaftesbury Capital plc</x:v>
      </x:c>
      <x:c r="F55" s="58" t="str">
        <x:v>revenue</x:v>
      </x:c>
      <x:c r="G55" s="59" t="n">
        <x:v>238.9</x:v>
      </x:c>
      <x:c r="H55" s="58" t="str">
        <x:v>GBP</x:v>
      </x:c>
      <x:c r="I55" s="58" t="str">
        <x:v>million</x:v>
      </x:c>
      <x:c r="J55" s="58" t="n">
        <x:v>21</x:v>
      </x:c>
      <x:c r="K55" s="58" t="str">
        <x:v>DEVELOPER_VERIFIED</x:v>
      </x:c>
      <x:c r="L55" s="58" t="str">
        <x:v>PENDING_REVIEW</x:v>
      </x:c>
      <x:c r="M55" s="58" t="str"/>
      <x:c r="N55" s="58" t="str"/>
    </x:row>
  </x:sheetData>
  <x:mergeCells>
    <x:mergeCell ref="A1:N1"/>
    <x:mergeCell ref="A2:N2"/>
  </x:mergeCells>
  <x:conditionalFormatting sqref="A5:N55">
    <x:cfRule type="expression" dxfId="5" priority="1">
      <x:formula>$B5="SELECTED"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38" hidden="0" customWidth="1"/>
  </x:cols>
  <x:sheetData>
    <x:row r="1" ht="35" customHeight="1">
      <x:c r="A1" s="3" t="str">
        <x:v>Global Sensitivity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6" customHeight="1">
      <x:c r="A2" s="7" t="str">
        <x:v>10,000 reproducible Latin-hypercube draws; product dominance is an output, never a release condition.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77" t="str">
        <x:v>Product</x:v>
      </x:c>
      <x:c r="B4" s="77" t="str">
        <x:v>First-ranked frequency</x:v>
      </x:c>
      <x:c r="C4" s="77" t="str">
        <x:v>Mean top-10 share</x:v>
      </x:c>
      <x:c r="D4" s="77" t="str">
        <x:v>Majority-dominance frequency</x:v>
      </x:c>
      <x:c r="E4" s="77" t="str">
        <x:v>Economics P05</x:v>
      </x:c>
      <x:c r="F4" s="77" t="str">
        <x:v>Economics P50</x:v>
      </x:c>
      <x:c r="G4" s="77" t="str">
        <x:v>Economics P95</x:v>
      </x:c>
      <x:c r="H4" s="77" t="str">
        <x:v>Trade Finance first?</x:v>
      </x:c>
      <x:c r="I4" s="77" t="str">
        <x:v>Trade Finance majority?</x:v>
      </x:c>
      <x:c r="J4" s="77" t="str">
        <x:v>Interpretation</x:v>
      </x:c>
    </x:row>
    <x:row r="5">
      <x:c r="A5" s="58" t="str">
        <x:v>Collections</x:v>
      </x:c>
      <x:c r="B5" s="60" t="n">
        <x:v>0</x:v>
      </x:c>
      <x:c r="C5" s="60" t="n">
        <x:v>0.0453</x:v>
      </x:c>
      <x:c r="D5" s="60" t="n">
        <x:v>0</x:v>
      </x:c>
      <x:c r="E5" s="78" t="n">
        <x:v>3670469</x:v>
      </x:c>
      <x:c r="F5" s="78" t="n">
        <x:v>6888161</x:v>
      </x:c>
      <x:c r="G5" s="78" t="n">
        <x:v>12377283</x:v>
      </x:c>
      <x:c r="H5" s="58" t="str">
        <x:v>NO</x:v>
      </x:c>
      <x:c r="I5" s="58" t="str">
        <x:v>NO</x:v>
      </x:c>
      <x:c r="J5" s="58" t="str">
        <x:v>Not dominant</x:v>
      </x:c>
    </x:row>
    <x:row r="6">
      <x:c r="A6" s="58" t="str">
        <x:v>Cross-border FX</x:v>
      </x:c>
      <x:c r="B6" s="60" t="n">
        <x:v>0</x:v>
      </x:c>
      <x:c r="C6" s="60" t="n">
        <x:v>0.2</x:v>
      </x:c>
      <x:c r="D6" s="60" t="n">
        <x:v>0</x:v>
      </x:c>
      <x:c r="E6" s="78" t="n">
        <x:v>9202587</x:v>
      </x:c>
      <x:c r="F6" s="78" t="n">
        <x:v>25257897</x:v>
      </x:c>
      <x:c r="G6" s="78" t="n">
        <x:v>52771938</x:v>
      </x:c>
      <x:c r="H6" s="58" t="str">
        <x:v>NO</x:v>
      </x:c>
      <x:c r="I6" s="58" t="str">
        <x:v>NO</x:v>
      </x:c>
      <x:c r="J6" s="58" t="str">
        <x:v>Not dominant</x:v>
      </x:c>
    </x:row>
    <x:row r="7">
      <x:c r="A7" s="58" t="str">
        <x:v>Liquidity</x:v>
      </x:c>
      <x:c r="B7" s="60" t="n">
        <x:v>0</x:v>
      </x:c>
      <x:c r="C7" s="60" t="n">
        <x:v>0.18529</x:v>
      </x:c>
      <x:c r="D7" s="60" t="n">
        <x:v>0</x:v>
      </x:c>
      <x:c r="E7" s="78" t="n">
        <x:v>5543983</x:v>
      </x:c>
      <x:c r="F7" s="78" t="n">
        <x:v>21743808</x:v>
      </x:c>
      <x:c r="G7" s="78" t="n">
        <x:v>46072148</x:v>
      </x:c>
      <x:c r="H7" s="58" t="str">
        <x:v>NO</x:v>
      </x:c>
      <x:c r="I7" s="58" t="str">
        <x:v>NO</x:v>
      </x:c>
      <x:c r="J7" s="58" t="str">
        <x:v>Not dominant</x:v>
      </x:c>
    </x:row>
    <x:row r="8">
      <x:c r="A8" s="58" t="str">
        <x:v>Payments</x:v>
      </x:c>
      <x:c r="B8" s="60" t="n">
        <x:v>0</x:v>
      </x:c>
      <x:c r="C8" s="60" t="n">
        <x:v>0.01224</x:v>
      </x:c>
      <x:c r="D8" s="60" t="n">
        <x:v>0</x:v>
      </x:c>
      <x:c r="E8" s="78" t="n">
        <x:v>2223386</x:v>
      </x:c>
      <x:c r="F8" s="78" t="n">
        <x:v>4800803</x:v>
      </x:c>
      <x:c r="G8" s="78" t="n">
        <x:v>9634325</x:v>
      </x:c>
      <x:c r="H8" s="58" t="str">
        <x:v>NO</x:v>
      </x:c>
      <x:c r="I8" s="58" t="str">
        <x:v>NO</x:v>
      </x:c>
      <x:c r="J8" s="58" t="str">
        <x:v>Not dominant</x:v>
      </x:c>
    </x:row>
    <x:row r="9">
      <x:c r="A9" s="58" t="str">
        <x:v>Trade finance</x:v>
      </x:c>
      <x:c r="B9" s="60" t="n">
        <x:v>1</x:v>
      </x:c>
      <x:c r="C9" s="60" t="n">
        <x:v>0.55717</x:v>
      </x:c>
      <x:c r="D9" s="60" t="n">
        <x:v>0.8775</x:v>
      </x:c>
      <x:c r="E9" s="78" t="n">
        <x:v>23194707</x:v>
      </x:c>
      <x:c r="F9" s="78" t="n">
        <x:v>55277502</x:v>
      </x:c>
      <x:c r="G9" s="78" t="n">
        <x:v>105672347</x:v>
      </x:c>
      <x:c r="H9" s="58" t="str">
        <x:v>YES</x:v>
      </x:c>
      <x:c r="I9" s="58" t="str">
        <x:v>YES</x:v>
      </x:c>
      <x:c r="J9" s="58" t="str">
        <x:v>Dominant in the 10,000-draw benchmark; must be re-tested with approved rates and E3 evidence</x:v>
      </x:c>
    </x:row>
    <x:row r="12" ht="30" customHeight="1">
      <x:c r="A12" s="71" t="str">
        <x:v>Draws</x:v>
      </x:c>
      <x:c r="B12" s="71" t="str">
        <x:v>Seed</x:v>
      </x:c>
      <x:c r="C12" s="71" t="str">
        <x:v>Version</x:v>
      </x:c>
      <x:c r="D12" s="71" t="str">
        <x:v>Correlation policy</x:v>
      </x:c>
      <x:c r="F12" s="66" t="str">
        <x:v>Driver</x:v>
      </x:c>
      <x:c r="G12" s="66" t="str">
        <x:v>Absolute rank correlation</x:v>
      </x:c>
      <x:c r="H12" s="66" t="str">
        <x:v>Priority</x:v>
      </x:c>
      <x:c r="I12" s="66" t="str">
        <x:v>Policy use</x:v>
      </x:c>
      <x:c r="J12" s="66" t="str">
        <x:v>Boundary</x:v>
      </x:c>
    </x:row>
    <x:row r="13">
      <x:c r="A13" s="58" t="n">
        <x:v>10000</x:v>
      </x:c>
      <x:c r="B13" s="58" t="n">
        <x:v>20260808</x:v>
      </x:c>
      <x:c r="C13" s="58" t="str">
        <x:v>lhs-copula-sensitivity-2.0.0</x:v>
      </x:c>
      <x:c r="D13" s="58" t="str">
        <x:v>Governed matrix in canonical fixture</x:v>
      </x:c>
      <x:c r="F13" s="58" t="str">
        <x:v>target_share</x:v>
      </x:c>
      <x:c r="G13" s="60" t="n">
        <x:v>0.68944565</x:v>
      </x:c>
      <x:c r="H13" s="58" t="n">
        <x:v>1</x:v>
      </x:c>
      <x:c r="I13" s="58" t="str">
        <x:v>Evidence/rate calibration priority</x:v>
      </x:c>
      <x:c r="J13" s="58" t="str">
        <x:v>Sensitivity, not causality</x:v>
      </x:c>
    </x:row>
    <x:row r="14">
      <x:c r="F14" s="58" t="str">
        <x:v>price</x:v>
      </x:c>
      <x:c r="G14" s="60" t="n">
        <x:v>0.3809238</x:v>
      </x:c>
      <x:c r="H14" s="58" t="n">
        <x:v>2</x:v>
      </x:c>
      <x:c r="I14" s="58" t="str">
        <x:v>Evidence/rate calibration priority</x:v>
      </x:c>
      <x:c r="J14" s="58" t="str">
        <x:v>Sensitivity, not causality</x:v>
      </x:c>
    </x:row>
    <x:row r="15">
      <x:c r="F15" s="58" t="str">
        <x:v>wallet</x:v>
      </x:c>
      <x:c r="G15" s="60" t="n">
        <x:v>0.37034027</x:v>
      </x:c>
      <x:c r="H15" s="58" t="n">
        <x:v>3</x:v>
      </x:c>
      <x:c r="I15" s="58" t="str">
        <x:v>Evidence/rate calibration priority</x:v>
      </x:c>
      <x:c r="J15" s="58" t="str">
        <x:v>Sensitivity, not causality</x:v>
      </x:c>
    </x:row>
    <x:row r="16">
      <x:c r="F16" s="58" t="str">
        <x:v>share_prior</x:v>
      </x:c>
      <x:c r="G16" s="60" t="n">
        <x:v>0.35166117</x:v>
      </x:c>
      <x:c r="H16" s="58" t="n">
        <x:v>4</x:v>
      </x:c>
      <x:c r="I16" s="58" t="str">
        <x:v>Evidence/rate calibration priority</x:v>
      </x:c>
      <x:c r="J16" s="58" t="str">
        <x:v>Sensitivity, not causality</x:v>
      </x:c>
    </x:row>
    <x:row r="17">
      <x:c r="F17" s="58" t="str">
        <x:v>competitor_error</x:v>
      </x:c>
      <x:c r="G17" s="60" t="n">
        <x:v>0.27835327</x:v>
      </x:c>
      <x:c r="H17" s="58" t="n">
        <x:v>5</x:v>
      </x:c>
      <x:c r="I17" s="58" t="str">
        <x:v>Evidence/rate calibration priority</x:v>
      </x:c>
      <x:c r="J17" s="58" t="str">
        <x:v>Sensitivity, not causality</x:v>
      </x:c>
    </x:row>
    <x:row r="18">
      <x:c r="F18" s="58" t="str">
        <x:v>anchor_error</x:v>
      </x:c>
      <x:c r="G18" s="60" t="n">
        <x:v>0.08063383</x:v>
      </x:c>
      <x:c r="H18" s="58" t="n">
        <x:v>6</x:v>
      </x:c>
      <x:c r="I18" s="58" t="str">
        <x:v>Evidence/rate calibration priority</x:v>
      </x:c>
      <x:c r="J18" s="58" t="str">
        <x:v>Sensitivity, not causality</x:v>
      </x:c>
    </x:row>
    <x:row r="19">
      <x:c r="F19" s="58" t="str">
        <x:v>fx_policy</x:v>
      </x:c>
      <x:c r="G19" s="60" t="n">
        <x:v>0.02026635</x:v>
      </x:c>
      <x:c r="H19" s="58" t="n">
        <x:v>7</x:v>
      </x:c>
      <x:c r="I19" s="58" t="str">
        <x:v>Evidence/rate calibration priority</x:v>
      </x:c>
      <x:c r="J19" s="58" t="str">
        <x:v>Sensitivity, not causality</x:v>
      </x:c>
    </x:row>
    <x:row r="20">
      <x:c r="F20" s="58" t="str">
        <x:v>capital</x:v>
      </x:c>
      <x:c r="G20" s="60" t="n">
        <x:v>0.01356604</x:v>
      </x:c>
      <x:c r="H20" s="58" t="n">
        <x:v>8</x:v>
      </x:c>
      <x:c r="I20" s="58" t="str">
        <x:v>Evidence/rate calibration priority</x:v>
      </x:c>
      <x:c r="J20" s="58" t="str">
        <x:v>Sensitivity, not causality</x:v>
      </x:c>
    </x:row>
    <x:row r="21">
      <x:c r="F21" s="58" t="str">
        <x:v>ftp</x:v>
      </x:c>
      <x:c r="G21" s="60" t="n">
        <x:v>0.00542175</x:v>
      </x:c>
      <x:c r="H21" s="58" t="n">
        <x:v>9</x:v>
      </x:c>
      <x:c r="I21" s="58" t="str">
        <x:v>Evidence/rate calibration priority</x:v>
      </x:c>
      <x:c r="J21" s="58" t="str">
        <x:v>Sensitivity, not causality</x:v>
      </x:c>
    </x:row>
    <x:row r="25" ht="30" customHeight="1">
      <x:c r="A25" s="84" t="str">
        <x:v>E1 weight</x:v>
      </x:c>
      <x:c r="B25" s="84" t="str">
        <x:v>Mean width</x:v>
      </x:c>
      <x:c r="C25" s="84" t="str">
        <x:v>Coverage 90%</x:v>
      </x:c>
      <x:c r="D25" s="84" t="str">
        <x:v>CRPS</x:v>
      </x:c>
      <x:c r="E25" s="84" t="str">
        <x:v>Top-10 changes</x:v>
      </x:c>
      <x:c r="F25" s="84" t="str">
        <x:v>Trade first-rank</x:v>
      </x:c>
      <x:c r="G25" s="84" t="str">
        <x:v>Trade top-10 share</x:v>
      </x:c>
      <x:c r="H25" s="84" t="str">
        <x:v>Trade majority</x:v>
      </x:c>
      <x:c r="I25" s="84" t="str">
        <x:v>Policy status</x:v>
      </x:c>
      <x:c r="J25" s="84" t="str">
        <x:v>Interpretation</x:v>
      </x:c>
    </x:row>
    <x:row r="26">
      <x:c r="A26" s="85" t="n">
        <x:v>0.2</x:v>
      </x:c>
      <x:c r="B26" s="58" t="n">
        <x:v>5826512163.77</x:v>
      </x:c>
      <x:c r="C26" s="86" t="n">
        <x:v>0.888</x:v>
      </x:c>
      <x:c r="D26" s="86" t="n">
        <x:v>0.2361564</x:v>
      </x:c>
      <x:c r="E26" s="58" t="n">
        <x:v>6</x:v>
      </x:c>
      <x:c r="F26" s="60" t="n">
        <x:v>1</x:v>
      </x:c>
      <x:c r="G26" s="60" t="n">
        <x:v>0.7</x:v>
      </x:c>
      <x:c r="H26" s="60" t="n">
        <x:v>1</x:v>
      </x:c>
      <x:c r="I26" s="58" t="str">
        <x:v>SENSITIVITY</x:v>
      </x:c>
      <x:c r="J26" s="58" t="str">
        <x:v>SYNTHETIC_KNOWN_TRUTH_ONLY; ranking sensitivity only, not client calibration</x:v>
      </x:c>
    </x:row>
    <x:row r="27">
      <x:c r="A27" s="85" t="n">
        <x:v>0.35</x:v>
      </x:c>
      <x:c r="B27" s="58" t="n">
        <x:v>4373701084.33</x:v>
      </x:c>
      <x:c r="C27" s="86" t="n">
        <x:v>0.88</x:v>
      </x:c>
      <x:c r="D27" s="86" t="n">
        <x:v>0.19502938</x:v>
      </x:c>
      <x:c r="E27" s="58" t="n">
        <x:v>0</x:v>
      </x:c>
      <x:c r="F27" s="60" t="n">
        <x:v>1</x:v>
      </x:c>
      <x:c r="G27" s="60" t="n">
        <x:v>0.6</x:v>
      </x:c>
      <x:c r="H27" s="60" t="n">
        <x:v>1</x:v>
      </x:c>
      <x:c r="I27" s="58" t="str">
        <x:v>ACTIVE</x:v>
      </x:c>
      <x:c r="J27" s="58" t="str">
        <x:v>SYNTHETIC_KNOWN_TRUTH_ONLY; ranking sensitivity only, not client calibration</x:v>
      </x:c>
    </x:row>
    <x:row r="28">
      <x:c r="A28" s="85" t="n">
        <x:v>0.5</x:v>
      </x:c>
      <x:c r="B28" s="58" t="n">
        <x:v>3293118178.95</x:v>
      </x:c>
      <x:c r="C28" s="86" t="n">
        <x:v>0.868</x:v>
      </x:c>
      <x:c r="D28" s="86" t="n">
        <x:v>0.15870271</x:v>
      </x:c>
      <x:c r="E28" s="58" t="n">
        <x:v>6</x:v>
      </x:c>
      <x:c r="F28" s="60" t="n">
        <x:v>1</x:v>
      </x:c>
      <x:c r="G28" s="60" t="n">
        <x:v>0.3</x:v>
      </x:c>
      <x:c r="H28" s="60" t="n">
        <x:v>0</x:v>
      </x:c>
      <x:c r="I28" s="58" t="str">
        <x:v>SENSITIVITY</x:v>
      </x:c>
      <x:c r="J28" s="58" t="str">
        <x:v>SYNTHETIC_KNOWN_TRUTH_ONLY; ranking sensitivity only, not client calibration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58" hidden="0" customWidth="1"/>
  </x:cols>
  <x:sheetData>
    <x:row r="1" ht="35" customHeight="1">
      <x:c r="A1" s="3" t="str">
        <x:v>Promotion Readiness Twin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6" customHeight="1">
      <x:c r="A2" s="7" t="str">
        <x:v>Blue is rehearsal evidence; green would require real bank evidence. Simulation can never authorize bank use.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0" customHeight="1">
      <x:c r="A4" s="71" t="str">
        <x:v>Real state</x:v>
      </x:c>
      <x:c r="B4" s="71" t="str">
        <x:v>Rehearsed state</x:v>
      </x:c>
      <x:c r="C4" s="71" t="str">
        <x:v>Bank shadow authorized</x:v>
      </x:c>
      <x:c r="D4" s="71" t="str">
        <x:v>PMR</x:v>
      </x:c>
      <x:c r="E4" s="71" t="str">
        <x:v>BER</x:v>
      </x:c>
      <x:c r="F4" s="71" t="str">
        <x:v>Rehearsal clean days</x:v>
      </x:c>
      <x:c r="G4" s="71" t="str">
        <x:v>Elapsed bank days</x:v>
      </x:c>
      <x:c r="H4" s="71" t="str">
        <x:v>Package status</x:v>
      </x:c>
      <x:c r="I4" s="71" t="str">
        <x:v>Bank status</x:v>
      </x:c>
      <x:c r="J4" s="71" t="str">
        <x:v>Real signer available</x:v>
      </x:c>
      <x:c r="K4" s="71" t="str">
        <x:v>Gate count</x:v>
      </x:c>
    </x:row>
    <x:row r="5">
      <x:c r="A5" s="58" t="str">
        <x:v>OFFLINE_CANDIDATE</x:v>
      </x:c>
      <x:c r="B5" s="58" t="str">
        <x:v>SHADOW_READY</x:v>
      </x:c>
      <x:c r="C5" s="58" t="str">
        <x:v>FALSE</x:v>
      </x:c>
      <x:c r="D5" s="60" t="n">
        <x:v>1</x:v>
      </x:c>
      <x:c r="E5" s="60" t="n">
        <x:v>0</x:v>
      </x:c>
      <x:c r="F5" s="58" t="n">
        <x:v>30</x:v>
      </x:c>
      <x:c r="G5" s="58" t="n">
        <x:v>0</x:v>
      </x:c>
      <x:c r="H5" s="58" t="str">
        <x:v>SHADOW_DEPLOYMENT_PACKAGE_READY</x:v>
      </x:c>
      <x:c r="I5" s="58" t="str">
        <x:v>NOT_PROMOTABLE</x:v>
      </x:c>
      <x:c r="J5" s="58" t="str">
        <x:v>FALSE</x:v>
      </x:c>
      <x:c r="K5" s="58" t="n">
        <x:v>30</x:v>
      </x:c>
    </x:row>
    <x:row r="8" ht="30" customHeight="1">
      <x:c r="A8" s="77" t="str">
        <x:v>Transition</x:v>
      </x:c>
      <x:c r="B8" s="77" t="str">
        <x:v>Gate ID</x:v>
      </x:c>
      <x:c r="C8" s="77" t="str">
        <x:v>Requirement</x:v>
      </x:c>
      <x:c r="D8" s="77" t="str">
        <x:v>Severity</x:v>
      </x:c>
      <x:c r="E8" s="77" t="str">
        <x:v>Blocking</x:v>
      </x:c>
      <x:c r="F8" s="77" t="str">
        <x:v>Real status</x:v>
      </x:c>
      <x:c r="G8" s="77" t="str">
        <x:v>Rehearsal status</x:v>
      </x:c>
      <x:c r="H8" s="77" t="str">
        <x:v>Evidence mode</x:v>
      </x:c>
      <x:c r="I8" s="77" t="str">
        <x:v>Signature</x:v>
      </x:c>
      <x:c r="J8" s="77" t="str">
        <x:v>Owner</x:v>
      </x:c>
      <x:c r="K8" s="77" t="str">
        <x:v>Approver</x:v>
      </x:c>
      <x:c r="L8" s="77" t="str">
        <x:v>What makes real pass</x:v>
      </x:c>
    </x:row>
    <x:row r="9">
      <x:c r="A9" s="58" t="str">
        <x:v>OFFLINE_CANDIDATE__TO__SHADOW_READY</x:v>
      </x:c>
      <x:c r="B9" s="58" t="str">
        <x:v>independent-reproduction</x:v>
      </x:c>
      <x:c r="C9" s="58" t="str">
        <x:v>A second party rebuilds every gated artifact byte-identically from the named commit.</x:v>
      </x:c>
      <x:c r="D9" s="58" t="str">
        <x:v>CRITICAL</x:v>
      </x:c>
      <x:c r="E9" s="58" t="str">
        <x:v>YES</x:v>
      </x:c>
      <x:c r="F9" s="58" t="str">
        <x:v>NOT_EVALUATED</x:v>
      </x:c>
      <x:c r="G9" s="58" t="str">
        <x:v>PASS</x:v>
      </x:c>
      <x:c r="H9" s="58" t="str">
        <x:v>SYNTHETIC_REHEARSAL</x:v>
      </x:c>
      <x:c r="I9" s="58" t="str">
        <x:v>SIGNED_REHEARSAL</x:v>
      </x:c>
      <x:c r="J9" s="58" t="str">
        <x:v>ENGINEERING</x:v>
      </x:c>
      <x:c r="K9" s="58" t="str">
        <x:v>MODEL_RISK</x:v>
      </x:c>
      <x:c r="L9" s="58" t="str">
        <x:v>A reviewer outside the build machine runs scripts/build_submission.py at the tagged commit and reports matching digests for all 74 gated artifacts.</x:v>
      </x:c>
    </x:row>
    <x:row r="10">
      <x:c r="A10" s="58" t="str">
        <x:v>OFFLINE_CANDIDATE__TO__SHADOW_READY</x:v>
      </x:c>
      <x:c r="B10" s="58" t="str">
        <x:v>point-in-time-zero-leakage</x:v>
      </x:c>
      <x:c r="C10" s="58" t="str">
        <x:v>No input dated after a record's as_of informs that record.</x:v>
      </x:c>
      <x:c r="D10" s="58" t="str">
        <x:v>CRITICAL</x:v>
      </x:c>
      <x:c r="E10" s="58" t="str">
        <x:v>YES</x:v>
      </x:c>
      <x:c r="F10" s="58" t="str">
        <x:v>NOT_EVALUATED</x:v>
      </x:c>
      <x:c r="G10" s="58" t="str">
        <x:v>PASS</x:v>
      </x:c>
      <x:c r="H10" s="58" t="str">
        <x:v>SYNTHETIC_REHEARSAL</x:v>
      </x:c>
      <x:c r="I10" s="58" t="str">
        <x:v>SIGNED_REHEARSAL</x:v>
      </x:c>
      <x:c r="J10" s="58" t="str">
        <x:v>DATA_ENGINEERING</x:v>
      </x:c>
      <x:c r="K10" s="58" t="str">
        <x:v>MODEL_RISK</x:v>
      </x:c>
      <x:c r="L10" s="58" t="str">
        <x:v>The V3 validation report shows point_in_time_violations = 0 on bank data rather than on the public fixture.</x:v>
      </x:c>
    </x:row>
    <x:row r="11">
      <x:c r="A11" s="58" t="str">
        <x:v>OFFLINE_CANDIDATE__TO__SHADOW_READY</x:v>
      </x:c>
      <x:c r="B11" s="58" t="str">
        <x:v>reconciliation-exact</x:v>
      </x:c>
      <x:c r="C11" s="58" t="str">
        <x:v>Shadow wallet mass balance reconciles exactly, with no tolerance.</x:v>
      </x:c>
      <x:c r="D11" s="58" t="str">
        <x:v>CRITICAL</x:v>
      </x:c>
      <x:c r="E11" s="58" t="str">
        <x:v>YES</x:v>
      </x:c>
      <x:c r="F11" s="58" t="str">
        <x:v>NOT_EVALUATED</x:v>
      </x:c>
      <x:c r="G11" s="58" t="str">
        <x:v>PASS</x:v>
      </x:c>
      <x:c r="H11" s="58" t="str">
        <x:v>SYNTHETIC_REHEARSAL</x:v>
      </x:c>
      <x:c r="I11" s="58" t="str">
        <x:v>SIGNED_REHEARSAL</x:v>
      </x:c>
      <x:c r="J11" s="58" t="str">
        <x:v>FINANCE_OPERATIONS</x:v>
      </x:c>
      <x:c r="K11" s="58" t="str">
        <x:v>FINANCE_CONTROLLER</x:v>
      </x:c>
      <x:c r="L11" s="58" t="str">
        <x:v>Reconciliation runs against real bank balances for a full cycle and reports a rate of exactly 1.0.</x:v>
      </x:c>
    </x:row>
    <x:row r="12">
      <x:c r="A12" s="58" t="str">
        <x:v>OFFLINE_CANDIDATE__TO__SHADOW_READY</x:v>
      </x:c>
      <x:c r="B12" s="58" t="str">
        <x:v>interval-coverage-90</x:v>
      </x:c>
      <x:c r="C12" s="58" t="str">
        <x:v>Empirical coverage of the nominal 90% interval falls within 0.85–0.95.</x:v>
      </x:c>
      <x:c r="D12" s="58" t="str">
        <x:v>HIGH</x:v>
      </x:c>
      <x:c r="E12" s="58" t="str">
        <x:v>YES</x:v>
      </x:c>
      <x:c r="F12" s="58" t="str">
        <x:v>NOT_EVALUATED</x:v>
      </x:c>
      <x:c r="G12" s="58" t="str">
        <x:v>PASS</x:v>
      </x:c>
      <x:c r="H12" s="58" t="str">
        <x:v>SYNTHETIC_REHEARSAL</x:v>
      </x:c>
      <x:c r="I12" s="58" t="str">
        <x:v>SIGNED_REHEARSAL</x:v>
      </x:c>
      <x:c r="J12" s="58" t="str">
        <x:v>DATA_SCIENCE</x:v>
      </x:c>
      <x:c r="K12" s="58" t="str">
        <x:v>MODEL_RISK</x:v>
      </x:c>
      <x:c r="L12" s="58" t="str">
        <x:v>Coverage is measured on held-out real bank outcomes, not on the synthetic calibration lab.</x:v>
      </x:c>
    </x:row>
    <x:row r="13">
      <x:c r="A13" s="58" t="str">
        <x:v>OFFLINE_CANDIDATE__TO__SHADOW_READY</x:v>
      </x:c>
      <x:c r="B13" s="58" t="str">
        <x:v>crps-improvement</x:v>
      </x:c>
      <x:c r="C13" s="58" t="str">
        <x:v>Continuous ranked probability score improves ≥10% against the registered baseline.</x:v>
      </x:c>
      <x:c r="D13" s="58" t="str">
        <x:v>HIGH</x:v>
      </x:c>
      <x:c r="E13" s="58" t="str">
        <x:v>YES</x:v>
      </x:c>
      <x:c r="F13" s="58" t="str">
        <x:v>NOT_EVALUATED</x:v>
      </x:c>
      <x:c r="G13" s="58" t="str">
        <x:v>PASS</x:v>
      </x:c>
      <x:c r="H13" s="58" t="str">
        <x:v>SYNTHETIC_REHEARSAL</x:v>
      </x:c>
      <x:c r="I13" s="58" t="str">
        <x:v>SIGNED_REHEARSAL</x:v>
      </x:c>
      <x:c r="J13" s="58" t="str">
        <x:v>DATA_SCIENCE</x:v>
      </x:c>
      <x:c r="K13" s="58" t="str">
        <x:v>MODEL_RISK</x:v>
      </x:c>
      <x:c r="L13" s="58" t="str">
        <x:v>The comparison is run on real bank outcomes with the baseline frozen before the comparison.</x:v>
      </x:c>
    </x:row>
    <x:row r="14">
      <x:c r="A14" s="58" t="str">
        <x:v>OFFLINE_CANDIDATE__TO__SHADOW_READY</x:v>
      </x:c>
      <x:c r="B14" s="58" t="str">
        <x:v>genai-schema-and-fidelity</x:v>
      </x:c>
      <x:c r="C14" s="58" t="str">
        <x:v>First-attempt schema compliance with no repair or retry; every critical fact traceable; no unsupported critical claim; numerics preserved.</x:v>
      </x:c>
      <x:c r="D14" s="58" t="str">
        <x:v>HIGH</x:v>
      </x:c>
      <x:c r="E14" s="58" t="str">
        <x:v>YES</x:v>
      </x:c>
      <x:c r="F14" s="58" t="str">
        <x:v>NOT_EVALUATED</x:v>
      </x:c>
      <x:c r="G14" s="58" t="str">
        <x:v>PASS</x:v>
      </x:c>
      <x:c r="H14" s="58" t="str">
        <x:v>SYNTHETIC_REHEARSAL</x:v>
      </x:c>
      <x:c r="I14" s="58" t="str">
        <x:v>SIGNED_REHEARSAL</x:v>
      </x:c>
      <x:c r="J14" s="58" t="str">
        <x:v>ENGINEERING</x:v>
      </x:c>
      <x:c r="K14" s="58" t="str">
        <x:v>MODEL_RISK</x:v>
      </x:c>
      <x:c r="L14" s="58" t="str">
        <x:v>At least three accepted live-provider briefs across providers, produced with rotated credentials injected at runtime.</x:v>
      </x:c>
    </x:row>
    <x:row r="15">
      <x:c r="A15" s="58" t="str">
        <x:v>OFFLINE_CANDIDATE__TO__SHADOW_READY</x:v>
      </x:c>
      <x:c r="B15" s="58" t="str">
        <x:v>prompt-injection-resistance</x:v>
      </x:c>
      <x:c r="C15" s="58" t="str">
        <x:v>No injection attempt in the registered corpus causes the model to exceed its closed fact pack.</x:v>
      </x:c>
      <x:c r="D15" s="58" t="str">
        <x:v>CRITICAL</x:v>
      </x:c>
      <x:c r="E15" s="58" t="str">
        <x:v>YES</x:v>
      </x:c>
      <x:c r="F15" s="58" t="str">
        <x:v>NOT_EVALUATED</x:v>
      </x:c>
      <x:c r="G15" s="58" t="str">
        <x:v>PASS</x:v>
      </x:c>
      <x:c r="H15" s="58" t="str">
        <x:v>SYNTHETIC_REHEARSAL</x:v>
      </x:c>
      <x:c r="I15" s="58" t="str">
        <x:v>SIGNED_REHEARSAL</x:v>
      </x:c>
      <x:c r="J15" s="58" t="str">
        <x:v>SECURITY</x:v>
      </x:c>
      <x:c r="K15" s="58" t="str">
        <x:v>SECURITY_OFFICER</x:v>
      </x:c>
      <x:c r="L15" s="58" t="str">
        <x:v>The injection corpus is run against the live provider path rather than the offline stub.</x:v>
      </x:c>
    </x:row>
    <x:row r="16">
      <x:c r="A16" s="58" t="str">
        <x:v>OFFLINE_CANDIDATE__TO__SHADOW_READY</x:v>
      </x:c>
      <x:c r="B16" s="58" t="str">
        <x:v>entitlement-negative-tests</x:v>
      </x:c>
      <x:c r="C16" s="58" t="str">
        <x:v>Every cross-client, cross-region and wrong-role request is denied.</x:v>
      </x:c>
      <x:c r="D16" s="58" t="str">
        <x:v>CRITICAL</x:v>
      </x:c>
      <x:c r="E16" s="58" t="str">
        <x:v>YES</x:v>
      </x:c>
      <x:c r="F16" s="58" t="str">
        <x:v>NOT_EVALUATED</x:v>
      </x:c>
      <x:c r="G16" s="58" t="str">
        <x:v>PASS</x:v>
      </x:c>
      <x:c r="H16" s="58" t="str">
        <x:v>SYNTHETIC_REHEARSAL</x:v>
      </x:c>
      <x:c r="I16" s="58" t="str">
        <x:v>SIGNED_REHEARSAL</x:v>
      </x:c>
      <x:c r="J16" s="58" t="str">
        <x:v>SECURITY</x:v>
      </x:c>
      <x:c r="K16" s="58" t="str">
        <x:v>SECURITY_OFFICER</x:v>
      </x:c>
      <x:c r="L16" s="58" t="str">
        <x:v>Denials are proven against the request path with OPA enforcing, not against in-process entitlement computation.</x:v>
      </x:c>
    </x:row>
    <x:row r="17">
      <x:c r="A17" s="58" t="str">
        <x:v>OFFLINE_CANDIDATE__TO__SHADOW_READY</x:v>
      </x:c>
      <x:c r="B17" s="58" t="str">
        <x:v>supply-chain-clean</x:v>
      </x:c>
      <x:c r="C17" s="58" t="str">
        <x:v>Container image signed, SBOM published, zero unresolved CRITICAL/HIGH findings.</x:v>
      </x:c>
      <x:c r="D17" s="58" t="str">
        <x:v>HIGH</x:v>
      </x:c>
      <x:c r="E17" s="58" t="str">
        <x:v>YES</x:v>
      </x:c>
      <x:c r="F17" s="58" t="str">
        <x:v>NOT_EVALUATED</x:v>
      </x:c>
      <x:c r="G17" s="58" t="str">
        <x:v>PASS</x:v>
      </x:c>
      <x:c r="H17" s="58" t="str">
        <x:v>SYNTHETIC_REHEARSAL</x:v>
      </x:c>
      <x:c r="I17" s="58" t="str">
        <x:v>SIGNED_REHEARSAL</x:v>
      </x:c>
      <x:c r="J17" s="58" t="str">
        <x:v>PLATFORM_ENGINEERING</x:v>
      </x:c>
      <x:c r="K17" s="58" t="str">
        <x:v>SECURITY_OFFICER</x:v>
      </x:c>
      <x:c r="L17" s="58" t="str">
        <x:v>CI publishes a cosign signature and SBOM for the released digest and Trivy reports zero unresolved CRITICAL/HIGH.</x:v>
      </x:c>
    </x:row>
    <x:row r="18">
      <x:c r="A18" s="58" t="str">
        <x:v>OFFLINE_CANDIDATE__TO__SHADOW_READY</x:v>
      </x:c>
      <x:c r="B18" s="58" t="str">
        <x:v>feasibility-gates-block-selection</x:v>
      </x:c>
      <x:c r="C18" s="58" t="str">
        <x:v>A failed material feasibility gate removes a solution from selection; an unknown one downgrades it to discovery.</x:v>
      </x:c>
      <x:c r="D18" s="58" t="str">
        <x:v>STANDARD</x:v>
      </x:c>
      <x:c r="E18" s="58" t="str">
        <x:v>YES</x:v>
      </x:c>
      <x:c r="F18" s="58" t="str">
        <x:v>NOT_EVALUATED</x:v>
      </x:c>
      <x:c r="G18" s="58" t="str">
        <x:v>PASS</x:v>
      </x:c>
      <x:c r="H18" s="58" t="str">
        <x:v>SYNTHETIC_REHEARSAL</x:v>
      </x:c>
      <x:c r="I18" s="58" t="str">
        <x:v>SIGNED_REHEARSAL</x:v>
      </x:c>
      <x:c r="J18" s="58" t="str">
        <x:v>DATA_SCIENCE</x:v>
      </x:c>
      <x:c r="K18" s="58" t="str">
        <x:v>PRODUCT_OWNER</x:v>
      </x:c>
      <x:c r="L18" s="58" t="str">
        <x:v>The rule is exercised against real client feasibility data rather than the fixture.</x:v>
      </x:c>
    </x:row>
    <x:row r="19">
      <x:c r="A19" s="58" t="str">
        <x:v>SHADOW_READY__TO__PILOT_READY</x:v>
      </x:c>
      <x:c r="B19" s="58" t="str">
        <x:v>elapsed-clean-shadow-days</x:v>
      </x:c>
      <x:c r="C19" s="58" t="str">
        <x:v>Thirty consecutive calendar days of shadow operation with no critical incident, measured in elapsed bank time.</x:v>
      </x:c>
      <x:c r="D19" s="58" t="str">
        <x:v>CRITICAL</x:v>
      </x:c>
      <x:c r="E19" s="58" t="str">
        <x:v>YES</x:v>
      </x:c>
      <x:c r="F19" s="58" t="str">
        <x:v>NOT_EVALUATED</x:v>
      </x:c>
      <x:c r="G19" s="58" t="str">
        <x:v>PASS</x:v>
      </x:c>
      <x:c r="H19" s="58" t="str">
        <x:v>SYNTHETIC_REHEARSAL</x:v>
      </x:c>
      <x:c r="I19" s="58" t="str">
        <x:v>SIGNED_REHEARSAL</x:v>
      </x:c>
      <x:c r="J19" s="58" t="str">
        <x:v>PRODUCTION_OPERATIONS</x:v>
      </x:c>
      <x:c r="K19" s="58" t="str">
        <x:v>HEAD_OF_OPERATIONS</x:v>
      </x:c>
      <x:c r="L19" s="58" t="str">
        <x:v>The bank runs the system in shadow for thirty consecutive clean calendar days. No rehearsal can substitute; this gate is why elapsed_bank_shadow_days is published beside every rehearsal count.</x:v>
      </x:c>
    </x:row>
    <x:row r="20">
      <x:c r="A20" s="58" t="str">
        <x:v>SHADOW_READY__TO__PILOT_READY</x:v>
      </x:c>
      <x:c r="B20" s="58" t="str">
        <x:v>service-availability</x:v>
      </x:c>
      <x:c r="C20" s="58" t="str">
        <x:v>Measured availability ≥ 0.999 over the shadow period.</x:v>
      </x:c>
      <x:c r="D20" s="58" t="str">
        <x:v>HIGH</x:v>
      </x:c>
      <x:c r="E20" s="58" t="str">
        <x:v>YES</x:v>
      </x:c>
      <x:c r="F20" s="58" t="str">
        <x:v>NOT_EVALUATED</x:v>
      </x:c>
      <x:c r="G20" s="58" t="str">
        <x:v>PASS</x:v>
      </x:c>
      <x:c r="H20" s="58" t="str">
        <x:v>SYNTHETIC_REHEARSAL</x:v>
      </x:c>
      <x:c r="I20" s="58" t="str">
        <x:v>SIGNED_REHEARSAL</x:v>
      </x:c>
      <x:c r="J20" s="58" t="str">
        <x:v>PRODUCTION_OPERATIONS</x:v>
      </x:c>
      <x:c r="K20" s="58" t="str">
        <x:v>HEAD_OF_OPERATIONS</x:v>
      </x:c>
      <x:c r="L20" s="58" t="str">
        <x:v>Availability is measured from bank monitoring over the elapsed shadow window.</x:v>
      </x:c>
    </x:row>
    <x:row r="21">
      <x:c r="A21" s="58" t="str">
        <x:v>SHADOW_READY__TO__PILOT_READY</x:v>
      </x:c>
      <x:c r="B21" s="58" t="str">
        <x:v>read-latency-p95</x:v>
      </x:c>
      <x:c r="C21" s="58" t="str">
        <x:v>p95 read latency &lt; 750 ms under bank load.</x:v>
      </x:c>
      <x:c r="D21" s="58" t="str">
        <x:v>STANDARD</x:v>
      </x:c>
      <x:c r="E21" s="58" t="str">
        <x:v>YES</x:v>
      </x:c>
      <x:c r="F21" s="58" t="str">
        <x:v>NOT_EVALUATED</x:v>
      </x:c>
      <x:c r="G21" s="58" t="str">
        <x:v>PASS</x:v>
      </x:c>
      <x:c r="H21" s="58" t="str">
        <x:v>SYNTHETIC_REHEARSAL</x:v>
      </x:c>
      <x:c r="I21" s="58" t="str">
        <x:v>SIGNED_REHEARSAL</x:v>
      </x:c>
      <x:c r="J21" s="58" t="str">
        <x:v>PLATFORM_ENGINEERING</x:v>
      </x:c>
      <x:c r="K21" s="58" t="str">
        <x:v>HEAD_OF_OPERATIONS</x:v>
      </x:c>
      <x:c r="L21" s="58" t="str">
        <x:v>p95 is measured on bank infrastructure under production-shaped load, not on the build machine.</x:v>
      </x:c>
    </x:row>
    <x:row r="22">
      <x:c r="A22" s="58" t="str">
        <x:v>SHADOW_READY__TO__PILOT_READY</x:v>
      </x:c>
      <x:c r="B22" s="58" t="str">
        <x:v>event-latency</x:v>
      </x:c>
      <x:c r="C22" s="58" t="str">
        <x:v>Domain events reach consumers in under 300 seconds.</x:v>
      </x:c>
      <x:c r="D22" s="58" t="str">
        <x:v>STANDARD</x:v>
      </x:c>
      <x:c r="E22" s="58" t="str">
        <x:v>YES</x:v>
      </x:c>
      <x:c r="F22" s="58" t="str">
        <x:v>NOT_EVALUATED</x:v>
      </x:c>
      <x:c r="G22" s="58" t="str">
        <x:v>PASS</x:v>
      </x:c>
      <x:c r="H22" s="58" t="str">
        <x:v>SYNTHETIC_REHEARSAL</x:v>
      </x:c>
      <x:c r="I22" s="58" t="str">
        <x:v>SIGNED_REHEARSAL</x:v>
      </x:c>
      <x:c r="J22" s="58" t="str">
        <x:v>PLATFORM_ENGINEERING</x:v>
      </x:c>
      <x:c r="K22" s="58" t="str">
        <x:v>HEAD_OF_OPERATIONS</x:v>
      </x:c>
      <x:c r="L22" s="58" t="str">
        <x:v>Latency is measured across the bank's actual broker.</x:v>
      </x:c>
    </x:row>
    <x:row r="23">
      <x:c r="A23" s="58" t="str">
        <x:v>SHADOW_READY__TO__PILOT_READY</x:v>
      </x:c>
      <x:c r="B23" s="58" t="str">
        <x:v>refresh-by-0600-sast</x:v>
      </x:c>
      <x:c r="C23" s="58" t="str">
        <x:v>The overnight refresh completes before 06:00 SAST.</x:v>
      </x:c>
      <x:c r="D23" s="58" t="str">
        <x:v>STANDARD</x:v>
      </x:c>
      <x:c r="E23" s="58" t="str">
        <x:v>YES</x:v>
      </x:c>
      <x:c r="F23" s="58" t="str">
        <x:v>NOT_EVALUATED</x:v>
      </x:c>
      <x:c r="G23" s="58" t="str">
        <x:v>PASS</x:v>
      </x:c>
      <x:c r="H23" s="58" t="str">
        <x:v>SYNTHETIC_REHEARSAL</x:v>
      </x:c>
      <x:c r="I23" s="58" t="str">
        <x:v>SIGNED_REHEARSAL</x:v>
      </x:c>
      <x:c r="J23" s="58" t="str">
        <x:v>PRODUCTION_OPERATIONS</x:v>
      </x:c>
      <x:c r="K23" s="58" t="str">
        <x:v>HEAD_OF_OPERATIONS</x:v>
      </x:c>
      <x:c r="L23" s="58" t="str">
        <x:v>Completion time is observed over the elapsed shadow window.</x:v>
      </x:c>
    </x:row>
    <x:row r="24">
      <x:c r="A24" s="58" t="str">
        <x:v>SHADOW_READY__TO__PILOT_READY</x:v>
      </x:c>
      <x:c r="B24" s="58" t="str">
        <x:v>no-unresolved-sev1-sev2</x:v>
      </x:c>
      <x:c r="C24" s="58" t="str">
        <x:v>Zero unresolved Sev-1/Sev-2 at the promotion decision point.</x:v>
      </x:c>
      <x:c r="D24" s="58" t="str">
        <x:v>CRITICAL</x:v>
      </x:c>
      <x:c r="E24" s="58" t="str">
        <x:v>YES</x:v>
      </x:c>
      <x:c r="F24" s="58" t="str">
        <x:v>NOT_EVALUATED</x:v>
      </x:c>
      <x:c r="G24" s="58" t="str">
        <x:v>PASS</x:v>
      </x:c>
      <x:c r="H24" s="58" t="str">
        <x:v>SYNTHETIC_REHEARSAL</x:v>
      </x:c>
      <x:c r="I24" s="58" t="str">
        <x:v>SIGNED_REHEARSAL</x:v>
      </x:c>
      <x:c r="J24" s="58" t="str">
        <x:v>PRODUCTION_OPERATIONS</x:v>
      </x:c>
      <x:c r="K24" s="58" t="str">
        <x:v>HEAD_OF_OPERATIONS</x:v>
      </x:c>
      <x:c r="L24" s="58" t="str">
        <x:v>The bank incident register shows none open against this system.</x:v>
      </x:c>
    </x:row>
    <x:row r="25">
      <x:c r="A25" s="58" t="str">
        <x:v>SHADOW_READY__TO__PILOT_READY</x:v>
      </x:c>
      <x:c r="B25" s="58" t="str">
        <x:v>model-risk-approval</x:v>
      </x:c>
      <x:c r="C25" s="58" t="str">
        <x:v>Model risk management approves the model card, limitations and monitoring plan.</x:v>
      </x:c>
      <x:c r="D25" s="58" t="str">
        <x:v>CRITICAL</x:v>
      </x:c>
      <x:c r="E25" s="58" t="str">
        <x:v>YES</x:v>
      </x:c>
      <x:c r="F25" s="58" t="str">
        <x:v>NOT_EVALUATED</x:v>
      </x:c>
      <x:c r="G25" s="58" t="str">
        <x:v>PASS</x:v>
      </x:c>
      <x:c r="H25" s="58" t="str">
        <x:v>SYNTHETIC_REHEARSAL</x:v>
      </x:c>
      <x:c r="I25" s="58" t="str">
        <x:v>SIGNED_REHEARSAL</x:v>
      </x:c>
      <x:c r="J25" s="58" t="str">
        <x:v>MODEL_RISK</x:v>
      </x:c>
      <x:c r="K25" s="58" t="str">
        <x:v>CHIEF_RISK_OFFICER</x:v>
      </x:c>
      <x:c r="L25" s="58" t="str">
        <x:v>Model risk reviews the V3.2 model card and records an approval with a named accountable owner.</x:v>
      </x:c>
    </x:row>
    <x:row r="26">
      <x:c r="A26" s="58" t="str">
        <x:v>SHADOW_READY__TO__PILOT_READY</x:v>
      </x:c>
      <x:c r="B26" s="58" t="str">
        <x:v>selected-critical-path-evidence-complete</x:v>
      </x:c>
      <x:c r="C26" s="58" t="str">
        <x:v>Every selected opportunity has approved support for every fact on the path from signal to proposed action.</x:v>
      </x:c>
      <x:c r="D26" s="58" t="str">
        <x:v>CRITICAL</x:v>
      </x:c>
      <x:c r="E26" s="58" t="str">
        <x:v>YES</x:v>
      </x:c>
      <x:c r="F26" s="58" t="str">
        <x:v>NOT_EVALUATED</x:v>
      </x:c>
      <x:c r="G26" s="58" t="str">
        <x:v>PASS</x:v>
      </x:c>
      <x:c r="H26" s="58" t="str">
        <x:v>SYNTHETIC_REHEARSAL</x:v>
      </x:c>
      <x:c r="I26" s="58" t="str">
        <x:v>SIGNED_REHEARSAL</x:v>
      </x:c>
      <x:c r="J26" s="58" t="str">
        <x:v>EVIDENCE_GOVERNANCE</x:v>
      </x:c>
      <x:c r="K26" s="58" t="str">
        <x:v>FINANCE_CONTROLLER</x:v>
      </x:c>
      <x:c r="L26" s="58" t="str">
        <x:v>The selected plan reports 100% critical-path coverage after independent review; fact counts alone do not satisfy this gate.</x:v>
      </x:c>
    </x:row>
    <x:row r="27">
      <x:c r="A27" s="58" t="str">
        <x:v>SHADOW_READY__TO__PILOT_READY</x:v>
      </x:c>
      <x:c r="B27" s="58" t="str">
        <x:v>selected-value-e2-coverage</x:v>
      </x:c>
      <x:c r="C27" s="58" t="str">
        <x:v>The value-weighted evidence coverage of the selected portfolio is at least 0.80 using approved E2, E3 or E4 evidence.</x:v>
      </x:c>
      <x:c r="D27" s="58" t="str">
        <x:v>HIGH</x:v>
      </x:c>
      <x:c r="E27" s="58" t="str">
        <x:v>YES</x:v>
      </x:c>
      <x:c r="F27" s="58" t="str">
        <x:v>NOT_EVALUATED</x:v>
      </x:c>
      <x:c r="G27" s="58" t="str">
        <x:v>PASS</x:v>
      </x:c>
      <x:c r="H27" s="58" t="str">
        <x:v>SYNTHETIC_REHEARSAL</x:v>
      </x:c>
      <x:c r="I27" s="58" t="str">
        <x:v>SIGNED_REHEARSAL</x:v>
      </x:c>
      <x:c r="J27" s="58" t="str">
        <x:v>EVIDENCE_GOVERNANCE</x:v>
      </x:c>
      <x:c r="K27" s="58" t="str">
        <x:v>MODEL_RISK</x:v>
      </x:c>
      <x:c r="L27" s="58" t="str">
        <x:v>The point-in-time selected portfolio is recomputed and its E2-or-better supported value share is independently attested at or above 80%.</x:v>
      </x:c>
    </x:row>
    <x:row r="28">
      <x:c r="A28" s="58" t="str">
        <x:v>SHADOW_READY__TO__PILOT_READY</x:v>
      </x:c>
      <x:c r="B28" s="58" t="str">
        <x:v>genai-bank-approved</x:v>
      </x:c>
      <x:c r="C28" s="58" t="str">
        <x:v>Provider, model, endpoint, residency, retention, contract, credential boundary and sealed evaluation are approved.</x:v>
      </x:c>
      <x:c r="D28" s="58" t="str">
        <x:v>HIGH</x:v>
      </x:c>
      <x:c r="E28" s="58" t="str">
        <x:v>NO</x:v>
      </x:c>
      <x:c r="F28" s="58" t="str">
        <x:v>NOT_EVALUATED</x:v>
      </x:c>
      <x:c r="G28" s="58" t="str">
        <x:v>PASS</x:v>
      </x:c>
      <x:c r="H28" s="58" t="str">
        <x:v>SYNTHETIC_REHEARSAL</x:v>
      </x:c>
      <x:c r="I28" s="58" t="str">
        <x:v>SIGNED_REHEARSAL</x:v>
      </x:c>
      <x:c r="J28" s="58" t="str">
        <x:v>THIRD_PARTY_RISK</x:v>
      </x:c>
      <x:c r="K28" s="58" t="str">
        <x:v>CHIEF_RISK_OFFICER</x:v>
      </x:c>
      <x:c r="L28" s="58" t="str">
        <x:v>The bank records provider, privacy, residency, retention and model-version approval. If absent, deterministic narration remains the only permitted path.</x:v>
      </x:c>
    </x:row>
    <x:row r="29">
      <x:c r="A29" s="58" t="str">
        <x:v>SHADOW_READY__TO__PILOT_READY</x:v>
      </x:c>
      <x:c r="B29" s="58" t="str">
        <x:v>rm-pilot-protocol-approved</x:v>
      </x:c>
      <x:c r="C29" s="58" t="str">
        <x:v>A named cohort, consent basis, training, support, exclusions and incident protocol are approved before exposure.</x:v>
      </x:c>
      <x:c r="D29" s="58" t="str">
        <x:v>CRITICAL</x:v>
      </x:c>
      <x:c r="E29" s="58" t="str">
        <x:v>YES</x:v>
      </x:c>
      <x:c r="F29" s="58" t="str">
        <x:v>NOT_EVALUATED</x:v>
      </x:c>
      <x:c r="G29" s="58" t="str">
        <x:v>PASS</x:v>
      </x:c>
      <x:c r="H29" s="58" t="str">
        <x:v>SYNTHETIC_REHEARSAL</x:v>
      </x:c>
      <x:c r="I29" s="58" t="str">
        <x:v>SIGNED_REHEARSAL</x:v>
      </x:c>
      <x:c r="J29" s="58" t="str">
        <x:v>COMMERCIAL_BANKING</x:v>
      </x:c>
      <x:c r="K29" s="58" t="str">
        <x:v>HEAD_OF_COVERAGE</x:v>
      </x:c>
      <x:c r="L29" s="58" t="str">
        <x:v>Business, Risk and Operations approve the cohort and protocol, with no automated client contact, pricing, credit or booking.</x:v>
      </x:c>
    </x:row>
    <x:row r="30">
      <x:c r="A30" s="58" t="str">
        <x:v>PILOT_READY__TO__SCALE_READY</x:v>
      </x:c>
      <x:c r="B30" s="58" t="str">
        <x:v>supervised-pilot-completed</x:v>
      </x:c>
      <x:c r="C30" s="58" t="str">
        <x:v>A named RM cohort completes at least five real supervised sessions each, with recorded outcomes.</x:v>
      </x:c>
      <x:c r="D30" s="58" t="str">
        <x:v>CRITICAL</x:v>
      </x:c>
      <x:c r="E30" s="58" t="str">
        <x:v>YES</x:v>
      </x:c>
      <x:c r="F30" s="58" t="str">
        <x:v>NOT_EVALUATED</x:v>
      </x:c>
      <x:c r="G30" s="58" t="str">
        <x:v>PASS</x:v>
      </x:c>
      <x:c r="H30" s="58" t="str">
        <x:v>SYNTHETIC_REHEARSAL</x:v>
      </x:c>
      <x:c r="I30" s="58" t="str">
        <x:v>SIGNED_REHEARSAL</x:v>
      </x:c>
      <x:c r="J30" s="58" t="str">
        <x:v>COMMERCIAL_BANKING</x:v>
      </x:c>
      <x:c r="K30" s="58" t="str">
        <x:v>HEAD_OF_COVERAGE</x:v>
      </x:c>
      <x:c r="L30" s="58" t="str">
        <x:v>Real RMs run real client sessions. Fixture persona sessions carry real_participant=False by construction and can never satisfy this.</x:v>
      </x:c>
    </x:row>
    <x:row r="31">
      <x:c r="A31" s="58" t="str">
        <x:v>PILOT_READY__TO__SCALE_READY</x:v>
      </x:c>
      <x:c r="B31" s="58" t="str">
        <x:v>bank-approved-economics-registered</x:v>
      </x:c>
      <x:c r="C31" s="58" t="str">
        <x:v>Every monetised value traces to a bank-approved, in-date rate card.</x:v>
      </x:c>
      <x:c r="D31" s="58" t="str">
        <x:v>CRITICAL</x:v>
      </x:c>
      <x:c r="E31" s="58" t="str">
        <x:v>YES</x:v>
      </x:c>
      <x:c r="F31" s="58" t="str">
        <x:v>NOT_EVALUATED</x:v>
      </x:c>
      <x:c r="G31" s="58" t="str">
        <x:v>PASS</x:v>
      </x:c>
      <x:c r="H31" s="58" t="str">
        <x:v>SYNTHETIC_REHEARSAL</x:v>
      </x:c>
      <x:c r="I31" s="58" t="str">
        <x:v>SIGNED_REHEARSAL</x:v>
      </x:c>
      <x:c r="J31" s="58" t="str">
        <x:v>PRODUCT_FINANCE</x:v>
      </x:c>
      <x:c r="K31" s="58" t="str">
        <x:v>FINANCE_CONTROLLER</x:v>
      </x:c>
      <x:c r="L31" s="58" t="str">
        <x:v>Product finance approves rate cards covering every product in the grid and registers them with expiry dates.</x:v>
      </x:c>
    </x:row>
    <x:row r="32">
      <x:c r="A32" s="58" t="str">
        <x:v>PILOT_READY__TO__SCALE_READY</x:v>
      </x:c>
      <x:c r="B32" s="58" t="str">
        <x:v>rollback-restores-prior-state</x:v>
      </x:c>
      <x:c r="C32" s="58" t="str">
        <x:v>A rehearsed rollback restores the previous model alias and its outputs exactly.</x:v>
      </x:c>
      <x:c r="D32" s="58" t="str">
        <x:v>HIGH</x:v>
      </x:c>
      <x:c r="E32" s="58" t="str">
        <x:v>YES</x:v>
      </x:c>
      <x:c r="F32" s="58" t="str">
        <x:v>NOT_EVALUATED</x:v>
      </x:c>
      <x:c r="G32" s="58" t="str">
        <x:v>PASS</x:v>
      </x:c>
      <x:c r="H32" s="58" t="str">
        <x:v>SYNTHETIC_REHEARSAL</x:v>
      </x:c>
      <x:c r="I32" s="58" t="str">
        <x:v>SIGNED_REHEARSAL</x:v>
      </x:c>
      <x:c r="J32" s="58" t="str">
        <x:v>PLATFORM_ENGINEERING</x:v>
      </x:c>
      <x:c r="K32" s="58" t="str">
        <x:v>HEAD_OF_OPERATIONS</x:v>
      </x:c>
      <x:c r="L32" s="58" t="str">
        <x:v>A rollback is exercised in the bank environment and the restored outputs are compared digest-for-digest.</x:v>
      </x:c>
    </x:row>
    <x:row r="33">
      <x:c r="A33" s="58" t="str">
        <x:v>PILOT_READY__TO__SCALE_READY</x:v>
      </x:c>
      <x:c r="B33" s="58" t="str">
        <x:v>e3-multibank-observation-approved</x:v>
      </x:c>
      <x:c r="C33" s="58" t="str">
        <x:v>An approved panel provides multibank observation sufficient to identify competitor share.</x:v>
      </x:c>
      <x:c r="D33" s="58" t="str">
        <x:v>HIGH</x:v>
      </x:c>
      <x:c r="E33" s="58" t="str">
        <x:v>NO</x:v>
      </x:c>
      <x:c r="F33" s="58" t="str">
        <x:v>NOT_EVALUATED</x:v>
      </x:c>
      <x:c r="G33" s="58" t="str">
        <x:v>PASS</x:v>
      </x:c>
      <x:c r="H33" s="58" t="str">
        <x:v>SYNTHETIC_REHEARSAL</x:v>
      </x:c>
      <x:c r="I33" s="58" t="str">
        <x:v>SIGNED_REHEARSAL</x:v>
      </x:c>
      <x:c r="J33" s="58" t="str">
        <x:v>DATA_STRATEGY</x:v>
      </x:c>
      <x:c r="K33" s="58" t="str">
        <x:v>CHIEF_DATA_OFFICER</x:v>
      </x:c>
      <x:c r="L33" s="58" t="str">
        <x:v>A multibank data source is contracted, approved and calibrated. Until then MEASURED_SHARE_REPORTING stays refused — this gate does not block hidden shadow scoring, which needs no share measurement.</x:v>
      </x:c>
    </x:row>
    <x:row r="34">
      <x:c r="A34" s="58" t="str">
        <x:v>PILOT_READY__TO__SCALE_READY</x:v>
      </x:c>
      <x:c r="B34" s="58" t="str">
        <x:v>pilot-findings-remediated</x:v>
      </x:c>
      <x:c r="C34" s="58" t="str">
        <x:v>Every critical or high pilot finding is closed or carries an accountable, time-bound accepted risk decision.</x:v>
      </x:c>
      <x:c r="D34" s="58" t="str">
        <x:v>CRITICAL</x:v>
      </x:c>
      <x:c r="E34" s="58" t="str">
        <x:v>YES</x:v>
      </x:c>
      <x:c r="F34" s="58" t="str">
        <x:v>NOT_EVALUATED</x:v>
      </x:c>
      <x:c r="G34" s="58" t="str">
        <x:v>PASS</x:v>
      </x:c>
      <x:c r="H34" s="58" t="str">
        <x:v>SYNTHETIC_REHEARSAL</x:v>
      </x:c>
      <x:c r="I34" s="58" t="str">
        <x:v>SIGNED_REHEARSAL</x:v>
      </x:c>
      <x:c r="J34" s="58" t="str">
        <x:v>PRODUCT_OWNER</x:v>
      </x:c>
      <x:c r="K34" s="58" t="str">
        <x:v>MODEL_RISK</x:v>
      </x:c>
      <x:c r="L34" s="58" t="str">
        <x:v>The pilot issue register is reconciled to zero unresolved critical/high findings and the closure is independently checked.</x:v>
      </x:c>
    </x:row>
    <x:row r="35">
      <x:c r="A35" s="58" t="str">
        <x:v>PILOT_READY__TO__SCALE_READY</x:v>
      </x:c>
      <x:c r="B35" s="58" t="str">
        <x:v>scale-operating-model-approved</x:v>
      </x:c>
      <x:c r="C35" s="58" t="str">
        <x:v>On-call ownership, change controls, incident response, capacity, disaster recovery and rollback are approved for controlled scale.</x:v>
      </x:c>
      <x:c r="D35" s="58" t="str">
        <x:v>CRITICAL</x:v>
      </x:c>
      <x:c r="E35" s="58" t="str">
        <x:v>YES</x:v>
      </x:c>
      <x:c r="F35" s="58" t="str">
        <x:v>NOT_EVALUATED</x:v>
      </x:c>
      <x:c r="G35" s="58" t="str">
        <x:v>PASS</x:v>
      </x:c>
      <x:c r="H35" s="58" t="str">
        <x:v>SYNTHETIC_REHEARSAL</x:v>
      </x:c>
      <x:c r="I35" s="58" t="str">
        <x:v>SIGNED_REHEARSAL</x:v>
      </x:c>
      <x:c r="J35" s="58" t="str">
        <x:v>PRODUCTION_OPERATIONS</x:v>
      </x:c>
      <x:c r="K35" s="58" t="str">
        <x:v>HEAD_OF_OPERATIONS</x:v>
      </x:c>
      <x:c r="L35" s="58" t="str">
        <x:v>Operations, Security and Business approve the runbook and independently observe a production-shaped restore, failover and rollback test.</x:v>
      </x:c>
    </x:row>
    <x:row r="36">
      <x:c r="A36" s="58" t="str">
        <x:v>SCALE_READY__TO__CAUSAL_CHAMPION</x:v>
      </x:c>
      <x:c r="B36" s="58" t="str">
        <x:v>randomised-trial-validated</x:v>
      </x:c>
      <x:c r="C36" s="58" t="str">
        <x:v>A pre-registered cluster-randomised trial reports an ITT effect with cluster-robust inference and randomization-inference confirmation.</x:v>
      </x:c>
      <x:c r="D36" s="58" t="str">
        <x:v>CRITICAL</x:v>
      </x:c>
      <x:c r="E36" s="58" t="str">
        <x:v>YES</x:v>
      </x:c>
      <x:c r="F36" s="58" t="str">
        <x:v>NOT_EVALUATED</x:v>
      </x:c>
      <x:c r="G36" s="58" t="str">
        <x:v>PASS</x:v>
      </x:c>
      <x:c r="H36" s="58" t="str">
        <x:v>SYNTHETIC_REHEARSAL</x:v>
      </x:c>
      <x:c r="I36" s="58" t="str">
        <x:v>SIGNED_REHEARSAL</x:v>
      </x:c>
      <x:c r="J36" s="58" t="str">
        <x:v>DATA_SCIENCE</x:v>
      </x:c>
      <x:c r="K36" s="58" t="str">
        <x:v>CHIEF_RISK_OFFICER</x:v>
      </x:c>
      <x:c r="L36" s="58" t="str">
        <x:v>The bank runs a pre-registered cluster-randomised trial to its planned sample size and the analysis is independently reviewed.</x:v>
      </x:c>
    </x:row>
    <x:row r="37">
      <x:c r="A37" s="58" t="str">
        <x:v>SCALE_READY__TO__CAUSAL_CHAMPION</x:v>
      </x:c>
      <x:c r="B37" s="58" t="str">
        <x:v>trial-first-stage-strength-adequate</x:v>
      </x:c>
      <x:c r="C37" s="58" t="str">
        <x:v>First-stage compliance strength is at or above 0.10.</x:v>
      </x:c>
      <x:c r="D37" s="58" t="str">
        <x:v>CRITICAL</x:v>
      </x:c>
      <x:c r="E37" s="58" t="str">
        <x:v>YES</x:v>
      </x:c>
      <x:c r="F37" s="58" t="str">
        <x:v>NOT_EVALUATED</x:v>
      </x:c>
      <x:c r="G37" s="58" t="str">
        <x:v>PASS</x:v>
      </x:c>
      <x:c r="H37" s="58" t="str">
        <x:v>SYNTHETIC_REHEARSAL</x:v>
      </x:c>
      <x:c r="I37" s="58" t="str">
        <x:v>SIGNED_REHEARSAL</x:v>
      </x:c>
      <x:c r="J37" s="58" t="str">
        <x:v>DATA_SCIENCE</x:v>
      </x:c>
      <x:c r="K37" s="58" t="str">
        <x:v>MODEL_RISK</x:v>
      </x:c>
      <x:c r="L37" s="58" t="str">
        <x:v>Observed compliance in the trial reaches the pre-registered strength threshold. If it does not, the honest outcome is a null result and the system stays SCALE_READY.</x:v>
      </x:c>
    </x:row>
    <x:row r="38">
      <x:c r="A38" s="58" t="str">
        <x:v>SCALE_READY__TO__CAUSAL_CHAMPION</x:v>
      </x:c>
      <x:c r="B38" s="58" t="str">
        <x:v>sustained-adoption</x:v>
      </x:c>
      <x:c r="C38" s="58" t="str">
        <x:v>The RM cohort sustains use beyond the supervised period without prompting.</x:v>
      </x:c>
      <x:c r="D38" s="58" t="str">
        <x:v>HIGH</x:v>
      </x:c>
      <x:c r="E38" s="58" t="str">
        <x:v>YES</x:v>
      </x:c>
      <x:c r="F38" s="58" t="str">
        <x:v>NOT_EVALUATED</x:v>
      </x:c>
      <x:c r="G38" s="58" t="str">
        <x:v>PASS</x:v>
      </x:c>
      <x:c r="H38" s="58" t="str">
        <x:v>SYNTHETIC_REHEARSAL</x:v>
      </x:c>
      <x:c r="I38" s="58" t="str">
        <x:v>SIGNED_REHEARSAL</x:v>
      </x:c>
      <x:c r="J38" s="58" t="str">
        <x:v>COMMERCIAL_BANKING</x:v>
      </x:c>
      <x:c r="K38" s="58" t="str">
        <x:v>HEAD_OF_COVERAGE</x:v>
      </x:c>
      <x:c r="L38" s="58" t="str">
        <x:v>Adoption is measured from real RM sessions over a sustained window.</x:v>
      </x:c>
    </x:row>
  </x:sheetData>
  <x:mergeCells>
    <x:mergeCell ref="A1:L1"/>
    <x:mergeCell ref="A2:L2"/>
  </x:mergeCells>
  <x:conditionalFormatting sqref="F9:F38">
    <x:cfRule type="containsText" dxfId="6" priority="1" operator="containsText" text="PASS"/>
  </x:conditionalFormatting>
  <x:conditionalFormatting sqref="G9:G38">
    <x:cfRule type="containsText" dxfId="7" priority="2" operator="containsText" text="PASS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22" hidden="0" customWidth="1"/>
    <x:col min="5" max="5" width="42" hidden="0" customWidth="1"/>
    <x:col min="6" max="6" width="25" hidden="0" customWidth="1"/>
  </x:cols>
  <x:sheetData>
    <x:row r="1" ht="35" customHeight="1">
      <x:c r="A1" s="3" t="str">
        <x:v>V3.2 Register Control Checks</x:v>
      </x:c>
      <x:c r="B1" s="3"/>
      <x:c r="C1" s="3"/>
      <x:c r="D1" s="3"/>
      <x:c r="E1" s="3"/>
      <x:c r="F1" s="3"/>
    </x:row>
    <x:row r="2" ht="26" customHeight="1">
      <x:c r="A2" s="7" t="str">
        <x:v>Workbook checks validate artifact integrity; they do not authorize bank promotion.</x:v>
      </x:c>
      <x:c r="B2" s="7"/>
      <x:c r="C2" s="7"/>
      <x:c r="D2" s="7"/>
      <x:c r="E2" s="7"/>
      <x:c r="F2" s="7"/>
    </x:row>
    <x:row r="4" ht="30" customHeight="1">
      <x:c r="A4" s="66" t="str">
        <x:v>Check</x:v>
      </x:c>
      <x:c r="B4" s="66" t="str">
        <x:v>Expected</x:v>
      </x:c>
      <x:c r="C4" s="66" t="str">
        <x:v>Actual</x:v>
      </x:c>
      <x:c r="D4" s="66" t="str">
        <x:v>Status</x:v>
      </x:c>
      <x:c r="E4" s="66" t="str">
        <x:v>Control meaning</x:v>
      </x:c>
      <x:c r="F4" s="66" t="str">
        <x:v>Owner</x:v>
      </x:c>
    </x:row>
    <x:row r="5">
      <x:c r="A5" s="58" t="str">
        <x:v>Public fact count</x:v>
      </x:c>
      <x:c r="B5" s="58" t="n">
        <x:v>82</x:v>
      </x:c>
      <x:c r="C5" s="58" t="n">
        <x:f>COUNTA('Public Facts'!A5:A86)</x:f>
        <x:v>82</x:v>
      </x:c>
      <x:c r="D5" s="58" t="str">
        <x:f>IF(ABS(C5-B5)&lt;0.0001,"PASS","FAIL")</x:f>
        <x:v>PASS</x:v>
      </x:c>
      <x:c r="E5" s="58" t="str">
        <x:v>All canonical facts loaded</x:v>
      </x:c>
      <x:c r="F5" s="58" t="str">
        <x:v>Evidence service</x:v>
      </x:c>
    </x:row>
    <x:row r="6">
      <x:c r="A6" s="58" t="str">
        <x:v>Client coverage</x:v>
      </x:c>
      <x:c r="B6" s="58" t="n">
        <x:v>20</x:v>
      </x:c>
      <x:c r="C6" s="58" t="n">
        <x:f>COUNTA('Client Coverage'!A5:A24)</x:f>
        <x:v>20</x:v>
      </x:c>
      <x:c r="D6" s="58" t="str">
        <x:f>IF(ABS(C6-B6)&lt;0.0001,"PASS","FAIL")</x:f>
        <x:v>PASS</x:v>
      </x:c>
      <x:c r="E6" s="58" t="str">
        <x:v>All showcase relationships represented</x:v>
      </x:c>
      <x:c r="F6" s="58" t="str">
        <x:v>Data owner</x:v>
      </x:c>
    </x:row>
    <x:row r="7">
      <x:c r="A7" s="58" t="str">
        <x:v>Approved facts</x:v>
      </x:c>
      <x:c r="B7" s="58" t="n">
        <x:v>31</x:v>
      </x:c>
      <x:c r="C7" s="58" t="n">
        <x:f>COUNTIF('Public Facts'!M5:M86,"APPROVED")</x:f>
        <x:v>31</x:v>
      </x:c>
      <x:c r="D7" s="58" t="str">
        <x:f>IF(ABS(C7-B7)&lt;0.0001,"PASS","FAIL")</x:f>
        <x:v>PASS</x:v>
      </x:c>
      <x:c r="E7" s="58" t="str">
        <x:v>Approval is explicit</x:v>
      </x:c>
      <x:c r="F7" s="58" t="str">
        <x:v>Finance SME</x:v>
      </x:c>
    </x:row>
    <x:row r="8">
      <x:c r="A8" s="58" t="str">
        <x:v>Pending facts</x:v>
      </x:c>
      <x:c r="B8" s="58" t="n">
        <x:v>51</x:v>
      </x:c>
      <x:c r="C8" s="58" t="n">
        <x:f>COUNTIF('Public Facts'!M5:M86,"PENDING_REVIEW")</x:f>
        <x:v>51</x:v>
      </x:c>
      <x:c r="D8" s="58" t="str">
        <x:f>IF(ABS(C8-B8)&lt;0.0001,"PASS","FAIL")</x:f>
        <x:v>PASS</x:v>
      </x:c>
      <x:c r="E8" s="58" t="str">
        <x:v>Pending facts are not promoted</x:v>
      </x:c>
      <x:c r="F8" s="58" t="str">
        <x:v>Finance SME</x:v>
      </x:c>
    </x:row>
    <x:row r="9">
      <x:c r="A9" s="58" t="str">
        <x:v>E1 tier completeness</x:v>
      </x:c>
      <x:c r="B9" s="58" t="n">
        <x:v>82</x:v>
      </x:c>
      <x:c r="C9" s="58" t="n">
        <x:f>COUNTIF('Public Facts'!K5:K86,"E1")</x:f>
        <x:v>82</x:v>
      </x:c>
      <x:c r="D9" s="58" t="str">
        <x:f>IF(ABS(C9-B9)&lt;0.0001,"PASS","FAIL")</x:f>
        <x:v>PASS</x:v>
      </x:c>
      <x:c r="E9" s="58" t="str">
        <x:v>No tier silently defaulted</x:v>
      </x:c>
      <x:c r="F9" s="58" t="str">
        <x:v>Evidence service</x:v>
      </x:c>
    </x:row>
    <x:row r="10">
      <x:c r="A10" s="58" t="str">
        <x:v>Page citation completeness</x:v>
      </x:c>
      <x:c r="B10" s="58" t="n">
        <x:v>0</x:v>
      </x:c>
      <x:c r="C10" s="58" t="n">
        <x:f>COUNTBLANK('Public Facts'!O5:O86)</x:f>
        <x:v>0</x:v>
      </x:c>
      <x:c r="D10" s="58" t="str">
        <x:f>IF(ABS(C10-B10)&lt;0.0001,"PASS","FAIL")</x:f>
        <x:v>PASS</x:v>
      </x:c>
      <x:c r="E10" s="58" t="str">
        <x:v>Every fact has a page</x:v>
      </x:c>
      <x:c r="F10" s="58" t="str">
        <x:v>Evidence service</x:v>
      </x:c>
    </x:row>
    <x:row r="11">
      <x:c r="A11" s="58" t="str">
        <x:v>Available-date completeness</x:v>
      </x:c>
      <x:c r="B11" s="58" t="n">
        <x:v>0</x:v>
      </x:c>
      <x:c r="C11" s="58" t="n">
        <x:f>COUNTBLANK('Public Facts'!J5:J86)</x:f>
        <x:v>0</x:v>
      </x:c>
      <x:c r="D11" s="58" t="str">
        <x:f>IF(ABS(C11-B11)&lt;0.0001,"PASS","FAIL")</x:f>
        <x:v>PASS</x:v>
      </x:c>
      <x:c r="E11" s="58" t="str">
        <x:v>Point-in-time eligibility</x:v>
      </x:c>
      <x:c r="F11" s="58" t="str">
        <x:v>Model risk</x:v>
      </x:c>
    </x:row>
    <x:row r="12">
      <x:c r="A12" s="58" t="str">
        <x:v>Approved anchors</x:v>
      </x:c>
      <x:c r="B12" s="58" t="n">
        <x:v>15</x:v>
      </x:c>
      <x:c r="C12" s="58" t="n">
        <x:f>COUNTA('Approved Anchors'!A5:A19)</x:f>
        <x:v>15</x:v>
      </x:c>
      <x:c r="D12" s="58" t="str">
        <x:f>IF(ABS(C12-B12)&lt;0.0001,"PASS","FAIL")</x:f>
        <x:v>PASS</x:v>
      </x:c>
      <x:c r="E12" s="58" t="str">
        <x:v>Five anchors for each showcase client</x:v>
      </x:c>
      <x:c r="F12" s="58" t="str">
        <x:v>Product finance</x:v>
      </x:c>
    </x:row>
    <x:row r="13">
      <x:c r="A13" s="58" t="str">
        <x:v>Wallet cell count</x:v>
      </x:c>
      <x:c r="B13" s="58" t="n">
        <x:v>100</x:v>
      </x:c>
      <x:c r="C13" s="58" t="n">
        <x:f>COUNTA('Wallet Decision Impact'!A5:A104)</x:f>
        <x:v>100</x:v>
      </x:c>
      <x:c r="D13" s="58" t="str">
        <x:f>IF(ABS(C13-B13)&lt;0.0001,"PASS","FAIL")</x:f>
        <x:v>PASS</x:v>
      </x:c>
      <x:c r="E13" s="58" t="str">
        <x:v>20 clients x five products</x:v>
      </x:c>
      <x:c r="F13" s="58" t="str">
        <x:v>Model owner</x:v>
      </x:c>
    </x:row>
    <x:row r="14">
      <x:c r="A14" s="58" t="str">
        <x:v>Approved anchored cells</x:v>
      </x:c>
      <x:c r="B14" s="58" t="n">
        <x:v>15</x:v>
      </x:c>
      <x:c r="C14" s="58" t="n">
        <x:f>COUNTIF('Wallet Decision Impact'!H5:H104,"E1")</x:f>
        <x:v>15</x:v>
      </x:c>
      <x:c r="D14" s="58" t="str">
        <x:f>IF(ABS(C14-B14)&lt;0.0001,"PASS","FAIL")</x:f>
        <x:v>PASS</x:v>
      </x:c>
      <x:c r="E14" s="58" t="str">
        <x:v>Only approved facts activate anchors</x:v>
      </x:c>
      <x:c r="F14" s="58" t="str">
        <x:v>Model risk</x:v>
      </x:c>
    </x:row>
    <x:row r="15">
      <x:c r="A15" s="58" t="str">
        <x:v>Prior-led cells</x:v>
      </x:c>
      <x:c r="B15" s="58" t="n">
        <x:v>85</x:v>
      </x:c>
      <x:c r="C15" s="58" t="n">
        <x:f>COUNTIF('Wallet Decision Impact'!H5:H104,"E0")</x:f>
        <x:v>85</x:v>
      </x:c>
      <x:c r="D15" s="58" t="str">
        <x:f>IF(ABS(C15-B15)&lt;0.0001,"PASS","FAIL")</x:f>
        <x:v>PASS</x:v>
      </x:c>
      <x:c r="E15" s="58" t="str">
        <x:v>Pending facts excluded</x:v>
      </x:c>
      <x:c r="F15" s="58" t="str">
        <x:v>Model risk</x:v>
      </x:c>
    </x:row>
    <x:row r="16">
      <x:c r="A16" s="58" t="str">
        <x:v>Developer-verified pending facts</x:v>
      </x:c>
      <x:c r="B16" s="58" t="n">
        <x:v>51</x:v>
      </x:c>
      <x:c r="C16" s="58" t="n">
        <x:f>COUNTIF('Evidence Queue'!K5:K55,"DEVELOPER_VERIFIED")</x:f>
        <x:v>51</x:v>
      </x:c>
      <x:c r="D16" s="58" t="str">
        <x:f>IF(ABS(C16-B16)&lt;0.0001,"PASS","FAIL")</x:f>
        <x:v>PASS</x:v>
      </x:c>
      <x:c r="E16" s="58" t="str">
        <x:v>QA is not approval</x:v>
      </x:c>
      <x:c r="F16" s="58" t="str">
        <x:v>Evidence owner</x:v>
      </x:c>
    </x:row>
    <x:row r="17">
      <x:c r="A17" s="58" t="str">
        <x:v>Measured competitor shares</x:v>
      </x:c>
      <x:c r="B17" s="58" t="n">
        <x:v>0</x:v>
      </x:c>
      <x:c r="C17" s="58" t="n">
        <x:f>COUNTIF('Wallet Decision Impact'!T5:T104,"*MEASURED*")</x:f>
        <x:v>0</x:v>
      </x:c>
      <x:c r="D17" s="58" t="str">
        <x:f>IF(ABS(C17-B17)&lt;0.0001,"PASS","FAIL")</x:f>
        <x:v>PASS</x:v>
      </x:c>
      <x:c r="E17" s="58" t="str">
        <x:v>No inferred share is measured</x:v>
      </x:c>
      <x:c r="F17" s="58" t="str">
        <x:v>Model risk</x:v>
      </x:c>
    </x:row>
    <x:row r="18">
      <x:c r="A18" s="58" t="str">
        <x:v>Trade Finance first-ranked frequency</x:v>
      </x:c>
      <x:c r="B18" s="58" t="n">
        <x:v>1</x:v>
      </x:c>
      <x:c r="C18" s="58" t="n">
        <x:f>'Sensitivity'!B9</x:f>
        <x:v>1</x:v>
      </x:c>
      <x:c r="D18" s="58" t="str">
        <x:f>IF(ABS(C18-B18)&lt;0.0001,"PASS","FAIL")</x:f>
        <x:v>PASS</x:v>
      </x:c>
      <x:c r="E18" s="58" t="str">
        <x:v>Dominance is read from sensitivity output</x:v>
      </x:c>
      <x:c r="F18" s="58" t="str">
        <x:v>Model risk</x:v>
      </x:c>
    </x:row>
    <x:row r="19">
      <x:c r="A19" s="58" t="str">
        <x:v>Trade Finance majority frequency</x:v>
      </x:c>
      <x:c r="B19" s="58" t="n">
        <x:v>0.8775</x:v>
      </x:c>
      <x:c r="C19" s="58" t="n">
        <x:f>'Sensitivity'!D9</x:f>
        <x:v>0.8775</x:v>
      </x:c>
      <x:c r="D19" s="58" t="str">
        <x:f>IF(ABS(C19-B19)&lt;0.0001,"PASS","FAIL")</x:f>
        <x:v>PASS</x:v>
      </x:c>
      <x:c r="E19" s="58" t="str">
        <x:v>Reported, never hard-coded as a release gate</x:v>
      </x:c>
      <x:c r="F19" s="58" t="str">
        <x:v>Model risk</x:v>
      </x:c>
    </x:row>
    <x:row r="20">
      <x:c r="A20" s="58" t="str">
        <x:v>Promotion gate count</x:v>
      </x:c>
      <x:c r="B20" s="58" t="n">
        <x:v>30</x:v>
      </x:c>
      <x:c r="C20" s="58" t="n">
        <x:f>COUNTA('Promotion Readiness'!B9:B200)</x:f>
        <x:v>30</x:v>
      </x:c>
      <x:c r="D20" s="58" t="str">
        <x:f>IF(ABS(C20-B20)&lt;0.0001,"PASS","FAIL")</x:f>
        <x:v>PASS</x:v>
      </x:c>
      <x:c r="E20" s="58" t="str">
        <x:v>Every governed promotion gate is visible</x:v>
      </x:c>
      <x:c r="F20" s="58" t="str">
        <x:v>Model risk</x:v>
      </x:c>
    </x:row>
    <x:row r="21">
      <x:c r="A21" s="58" t="str">
        <x:v>Elapsed bank shadow days</x:v>
      </x:c>
      <x:c r="B21" s="58" t="n">
        <x:v>0</x:v>
      </x:c>
      <x:c r="C21" s="58" t="n">
        <x:f>'Promotion Readiness'!G5</x:f>
        <x:v>0</x:v>
      </x:c>
      <x:c r="D21" s="58" t="str">
        <x:f>IF(ABS(C21-B21)&lt;0.0001,"PASS","FAIL")</x:f>
        <x:v>PASS</x:v>
      </x:c>
      <x:c r="E21" s="58" t="str">
        <x:v>Virtual time never becomes bank time</x:v>
      </x:c>
      <x:c r="F21" s="58" t="str">
        <x:v>Operations</x:v>
      </x:c>
    </x:row>
    <x:row r="22">
      <x:c r="A22" s="58" t="str">
        <x:v>Bank evidence readiness</x:v>
      </x:c>
      <x:c r="B22" s="58" t="n">
        <x:v>0</x:v>
      </x:c>
      <x:c r="C22" s="58" t="n">
        <x:f>'Promotion Readiness'!E5</x:f>
        <x:v>0</x:v>
      </x:c>
      <x:c r="D22" s="58" t="str">
        <x:f>IF(ABS(C22-B22)&lt;0.0001,"PASS","FAIL")</x:f>
        <x:v>PASS</x:v>
      </x:c>
      <x:c r="E22" s="58" t="str">
        <x:v>Synthetic evidence contributes zero to BER</x:v>
      </x:c>
      <x:c r="F22" s="58" t="str">
        <x:v>Model risk</x:v>
      </x:c>
    </x:row>
  </x:sheetData>
  <x:mergeCells>
    <x:mergeCell ref="A1:F1"/>
    <x:mergeCell ref="A2:F2"/>
  </x:mergeCells>
  <x:conditionalFormatting sqref="D5:D22">
    <x:cfRule type="containsText" dxfId="8" priority="1" operator="containsText" text="PASS"/>
    <x:cfRule type="containsText" dxfId="9" priority="2" operator="containsText" text="FAIL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8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  <x:col min="8" max="8" width="18" hidden="0" customWidth="1"/>
    <x:col min="9" max="9" width="18" hidden="0" customWidth="1"/>
    <x:col min="10" max="10" width="52" hidden="0" customWidth="1"/>
  </x:cols>
  <x:sheetData>
    <x:row r="1" ht="35" customHeight="1">
      <x:c r="A1" s="3" t="str">
        <x:v>Public Source Register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6" customHeight="1">
      <x:c r="A2" s="7" t="str">
        <x:v>Unique documents underlying the 82 facts; URLs, pages, point-in-time availability and approval counts remain traceable.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54" t="str">
        <x:v>Source title</x:v>
      </x:c>
      <x:c r="B4" s="54" t="str">
        <x:v>Entity ID</x:v>
      </x:c>
      <x:c r="C4" s="54" t="str">
        <x:v>Client</x:v>
      </x:c>
      <x:c r="D4" s="54" t="str">
        <x:v>Fact count</x:v>
      </x:c>
      <x:c r="E4" s="54" t="str">
        <x:v>Approved</x:v>
      </x:c>
      <x:c r="F4" s="54" t="str">
        <x:v>Pending</x:v>
      </x:c>
      <x:c r="G4" s="54" t="str">
        <x:v>Pages used</x:v>
      </x:c>
      <x:c r="H4" s="54" t="str">
        <x:v>Latest period end</x:v>
      </x:c>
      <x:c r="I4" s="54" t="str">
        <x:v>Latest available date</x:v>
      </x:c>
      <x:c r="J4" s="54" t="str">
        <x:v>Official URL</x:v>
      </x:c>
    </x:row>
    <x:row r="5">
      <x:c r="A5" s="58" t="str">
        <x:v>BHP Annual Report 2025</x:v>
      </x:c>
      <x:c r="B5" s="58" t="str">
        <x:v>E01</x:v>
      </x:c>
      <x:c r="C5" s="58" t="str">
        <x:v>BHP Group</x:v>
      </x:c>
      <x:c r="D5" s="58" t="n">
        <x:f>COUNTIFS('Public Facts'!$B$5:$B$86,B5,'Public Facts'!$N$5:$N$86,A5)</x:f>
        <x:v>10</x:v>
      </x:c>
      <x:c r="E5" s="58" t="n">
        <x:f>COUNTIFS('Public Facts'!$B$5:$B$86,B5,'Public Facts'!$N$5:$N$86,A5,'Public Facts'!$M$5:$M$86,"APPROVED")</x:f>
        <x:v>10</x:v>
      </x:c>
      <x:c r="F5" s="58" t="n">
        <x:f>COUNTIFS('Public Facts'!$B$5:$B$86,B5,'Public Facts'!$N$5:$N$86,A5,'Public Facts'!$M$5:$M$86,"PENDING_REVIEW")</x:f>
        <x:v>0</x:v>
      </x:c>
      <x:c r="G5" s="58" t="str">
        <x:v>118, 119, 139, 160</x:v>
      </x:c>
      <x:c r="H5" s="58" t="str">
        <x:v>2025-06-30</x:v>
      </x:c>
      <x:c r="I5" s="58" t="str">
        <x:v>2025-08-19</x:v>
      </x:c>
      <x:c r="J5" s="58" t="str">
        <x:v>https://www.bhp.com/-/media/documents/investors/annual-reports/2025/250819_bhpannualreport2025.pdf</x:v>
      </x:c>
    </x:row>
    <x:row r="6">
      <x:c r="A6" s="58" t="str">
        <x:v>Glencore Annual Report 2025</x:v>
      </x:c>
      <x:c r="B6" s="58" t="str">
        <x:v>E02</x:v>
      </x:c>
      <x:c r="C6" s="58" t="str">
        <x:v>Glencore</x:v>
      </x:c>
      <x:c r="D6" s="58" t="n">
        <x:f>COUNTIFS('Public Facts'!$B$5:$B$86,B6,'Public Facts'!$N$5:$N$86,A6)</x:f>
        <x:v>10</x:v>
      </x:c>
      <x:c r="E6" s="58" t="n">
        <x:f>COUNTIFS('Public Facts'!$B$5:$B$86,B6,'Public Facts'!$N$5:$N$86,A6,'Public Facts'!$M$5:$M$86,"APPROVED")</x:f>
        <x:v>10</x:v>
      </x:c>
      <x:c r="F6" s="58" t="n">
        <x:f>COUNTIFS('Public Facts'!$B$5:$B$86,B6,'Public Facts'!$N$5:$N$86,A6,'Public Facts'!$M$5:$M$86,"PENDING_REVIEW")</x:f>
        <x:v>0</x:v>
      </x:c>
      <x:c r="G6" s="58" t="str">
        <x:v>136, 138, 185, 186, 205, 212</x:v>
      </x:c>
      <x:c r="H6" s="58" t="str">
        <x:v>2025-12-31</x:v>
      </x:c>
      <x:c r="I6" s="58" t="str">
        <x:v>2026-03-10</x:v>
      </x:c>
      <x:c r="J6" s="58" t="str">
        <x:v>https://www.glencore.com/.rest/api/v1/documents/static/9b103e11-72e7-40bf-ae7c-eabe57361522/GLEN-2025-Annual-Report.pdf</x:v>
      </x:c>
    </x:row>
    <x:row r="7">
      <x:c r="A7" s="58" t="str">
        <x:v>Anglo American Integrated Annual Report 2025</x:v>
      </x:c>
      <x:c r="B7" s="58" t="str">
        <x:v>E03</x:v>
      </x:c>
      <x:c r="C7" s="58" t="str">
        <x:v>Anglo American</x:v>
      </x:c>
      <x:c r="D7" s="58" t="n">
        <x:f>COUNTIFS('Public Facts'!$B$5:$B$86,B7,'Public Facts'!$N$5:$N$86,A7)</x:f>
        <x:v>3</x:v>
      </x:c>
      <x:c r="E7" s="58" t="n">
        <x:f>COUNTIFS('Public Facts'!$B$5:$B$86,B7,'Public Facts'!$N$5:$N$86,A7,'Public Facts'!$M$5:$M$86,"APPROVED")</x:f>
        <x:v>0</x:v>
      </x:c>
      <x:c r="F7" s="58" t="n">
        <x:f>COUNTIFS('Public Facts'!$B$5:$B$86,B7,'Public Facts'!$N$5:$N$86,A7,'Public Facts'!$M$5:$M$86,"PENDING_REVIEW")</x:f>
        <x:v>3</x:v>
      </x:c>
      <x:c r="G7" s="58" t="str">
        <x:v>272, 274</x:v>
      </x:c>
      <x:c r="H7" s="58" t="str">
        <x:v>2025-12-31</x:v>
      </x:c>
      <x:c r="I7" s="58" t="str">
        <x:v>2026-03-02</x:v>
      </x:c>
      <x:c r="J7" s="58" t="str">
        <x:v>https://www.angloamerican.com/~/media/Files/A/Anglo-American-Group-v9/PLC/investors/annual-reporting/2025/aa-annual-report-full-2025.pdf</x:v>
      </x:c>
    </x:row>
    <x:row r="8">
      <x:c r="A8" s="58" t="str">
        <x:v>AngloGold Ashanti Annual Report 2025</x:v>
      </x:c>
      <x:c r="B8" s="58" t="str">
        <x:v>E04</x:v>
      </x:c>
      <x:c r="C8" s="58" t="str">
        <x:v>AngloGold Ashanti</x:v>
      </x:c>
      <x:c r="D8" s="58" t="n">
        <x:f>COUNTIFS('Public Facts'!$B$5:$B$86,B8,'Public Facts'!$N$5:$N$86,A8)</x:f>
        <x:v>3</x:v>
      </x:c>
      <x:c r="E8" s="58" t="n">
        <x:f>COUNTIFS('Public Facts'!$B$5:$B$86,B8,'Public Facts'!$N$5:$N$86,A8,'Public Facts'!$M$5:$M$86,"APPROVED")</x:f>
        <x:v>0</x:v>
      </x:c>
      <x:c r="F8" s="58" t="n">
        <x:f>COUNTIFS('Public Facts'!$B$5:$B$86,B8,'Public Facts'!$N$5:$N$86,A8,'Public Facts'!$M$5:$M$86,"PENDING_REVIEW")</x:f>
        <x:v>3</x:v>
      </x:c>
      <x:c r="G8" s="58" t="str">
        <x:v>158, 160</x:v>
      </x:c>
      <x:c r="H8" s="58" t="str">
        <x:v>2025-12-31</x:v>
      </x:c>
      <x:c r="I8" s="58" t="str">
        <x:v>2026-03-26</x:v>
      </x:c>
      <x:c r="J8" s="58" t="str">
        <x:v>https://reports.anglogoldashanti.com/25/download/AGA-AR25.pdf</x:v>
      </x:c>
    </x:row>
    <x:row r="9">
      <x:c r="A9" s="58" t="str">
        <x:v>Gold Fields Annual Financial Report 2025</x:v>
      </x:c>
      <x:c r="B9" s="58" t="str">
        <x:v>E05</x:v>
      </x:c>
      <x:c r="C9" s="58" t="str">
        <x:v>Gold Fields</x:v>
      </x:c>
      <x:c r="D9" s="58" t="n">
        <x:f>COUNTIFS('Public Facts'!$B$5:$B$86,B9,'Public Facts'!$N$5:$N$86,A9)</x:f>
        <x:v>3</x:v>
      </x:c>
      <x:c r="E9" s="58" t="n">
        <x:f>COUNTIFS('Public Facts'!$B$5:$B$86,B9,'Public Facts'!$N$5:$N$86,A9,'Public Facts'!$M$5:$M$86,"APPROVED")</x:f>
        <x:v>0</x:v>
      </x:c>
      <x:c r="F9" s="58" t="n">
        <x:f>COUNTIFS('Public Facts'!$B$5:$B$86,B9,'Public Facts'!$N$5:$N$86,A9,'Public Facts'!$M$5:$M$86,"PENDING_REVIEW")</x:f>
        <x:v>3</x:v>
      </x:c>
      <x:c r="G9" s="58" t="str">
        <x:v>72, 74</x:v>
      </x:c>
      <x:c r="H9" s="58" t="str">
        <x:v>2025-12-31</x:v>
      </x:c>
      <x:c r="I9" s="58" t="str">
        <x:v>2026-03-27</x:v>
      </x:c>
      <x:c r="J9" s="58" t="str">
        <x:v>https://www.goldfields.com/pdf/investors/integrated-annual-reports/2025/afs-2025.pdf</x:v>
      </x:c>
    </x:row>
    <x:row r="10">
      <x:c r="A10" s="58" t="str">
        <x:v>Valterra Platinum Annual Financial Statements 2025</x:v>
      </x:c>
      <x:c r="B10" s="58" t="str">
        <x:v>E06</x:v>
      </x:c>
      <x:c r="C10" s="58" t="str">
        <x:v>Valterra Platinum</x:v>
      </x:c>
      <x:c r="D10" s="58" t="n">
        <x:f>COUNTIFS('Public Facts'!$B$5:$B$86,B10,'Public Facts'!$N$5:$N$86,A10)</x:f>
        <x:v>3</x:v>
      </x:c>
      <x:c r="E10" s="58" t="n">
        <x:f>COUNTIFS('Public Facts'!$B$5:$B$86,B10,'Public Facts'!$N$5:$N$86,A10,'Public Facts'!$M$5:$M$86,"APPROVED")</x:f>
        <x:v>0</x:v>
      </x:c>
      <x:c r="F10" s="58" t="n">
        <x:f>COUNTIFS('Public Facts'!$B$5:$B$86,B10,'Public Facts'!$N$5:$N$86,A10,'Public Facts'!$M$5:$M$86,"PENDING_REVIEW")</x:f>
        <x:v>3</x:v>
      </x:c>
      <x:c r="G10" s="58" t="str">
        <x:v>24, 25</x:v>
      </x:c>
      <x:c r="H10" s="58" t="str">
        <x:v>2025-12-31</x:v>
      </x:c>
      <x:c r="I10" s="58" t="str">
        <x:v>2026-03-27</x:v>
      </x:c>
      <x:c r="J10" s="58" t="str">
        <x:v>https://www.valterraplatinum.com/wp-content/uploads/2026/05/annual-financial-statements-2025.pdf</x:v>
      </x:c>
    </x:row>
    <x:row r="11">
      <x:c r="A11" s="58" t="str">
        <x:v>OUTsurance Group Annual Financial Statements 2025</x:v>
      </x:c>
      <x:c r="B11" s="58" t="str">
        <x:v>E07</x:v>
      </x:c>
      <x:c r="C11" s="58" t="str">
        <x:v>OUTsurance Group</x:v>
      </x:c>
      <x:c r="D11" s="58" t="n">
        <x:f>COUNTIFS('Public Facts'!$B$5:$B$86,B11,'Public Facts'!$N$5:$N$86,A11)</x:f>
        <x:v>3</x:v>
      </x:c>
      <x:c r="E11" s="58" t="n">
        <x:f>COUNTIFS('Public Facts'!$B$5:$B$86,B11,'Public Facts'!$N$5:$N$86,A11,'Public Facts'!$M$5:$M$86,"APPROVED")</x:f>
        <x:v>0</x:v>
      </x:c>
      <x:c r="F11" s="58" t="n">
        <x:f>COUNTIFS('Public Facts'!$B$5:$B$86,B11,'Public Facts'!$N$5:$N$86,A11,'Public Facts'!$M$5:$M$86,"PENDING_REVIEW")</x:f>
        <x:v>3</x:v>
      </x:c>
      <x:c r="G11" s="58" t="str">
        <x:v>19, 21</x:v>
      </x:c>
      <x:c r="H11" s="58" t="str">
        <x:v>2025-06-30</x:v>
      </x:c>
      <x:c r="I11" s="58" t="str">
        <x:v>2025-09-15</x:v>
      </x:c>
      <x:c r="J11" s="58" t="str">
        <x:v>https://group.outsurance.co.za/globalassets/documents/investor-relations/reports-and-results/2025/ogl-annual-financial-statements-2025.pdf</x:v>
      </x:c>
    </x:row>
    <x:row r="12">
      <x:c r="A12" s="58" t="str">
        <x:v>Sanlam Annual Financial Statements 2024</x:v>
      </x:c>
      <x:c r="B12" s="58" t="str">
        <x:v>E08</x:v>
      </x:c>
      <x:c r="C12" s="58" t="str">
        <x:v>Sanlam</x:v>
      </x:c>
      <x:c r="D12" s="58" t="n">
        <x:f>COUNTIFS('Public Facts'!$B$5:$B$86,B12,'Public Facts'!$N$5:$N$86,A12)</x:f>
        <x:v>3</x:v>
      </x:c>
      <x:c r="E12" s="58" t="n">
        <x:f>COUNTIFS('Public Facts'!$B$5:$B$86,B12,'Public Facts'!$N$5:$N$86,A12,'Public Facts'!$M$5:$M$86,"APPROVED")</x:f>
        <x:v>0</x:v>
      </x:c>
      <x:c r="F12" s="58" t="n">
        <x:f>COUNTIFS('Public Facts'!$B$5:$B$86,B12,'Public Facts'!$N$5:$N$86,A12,'Public Facts'!$M$5:$M$86,"PENDING_REVIEW")</x:f>
        <x:v>3</x:v>
      </x:c>
      <x:c r="G12" s="58" t="str">
        <x:v>42</x:v>
      </x:c>
      <x:c r="H12" s="58" t="str">
        <x:v>2024-12-31</x:v>
      </x:c>
      <x:c r="I12" s="58" t="str">
        <x:v>2025-03-07</x:v>
      </x:c>
      <x:c r="J12" s="58" t="str">
        <x:v>https://www.sanlam.com/downloads/integrated-report-and-annual-financial-statements/2024/Sanlam-AFS-2024-spreads.pdf</x:v>
      </x:c>
    </x:row>
    <x:row r="13">
      <x:c r="A13" s="58" t="str">
        <x:v>Shoprite Holdings Annual Financial Statements 2025</x:v>
      </x:c>
      <x:c r="B13" s="58" t="str">
        <x:v>E09</x:v>
      </x:c>
      <x:c r="C13" s="58" t="str">
        <x:v>Shoprite Holdings</x:v>
      </x:c>
      <x:c r="D13" s="58" t="n">
        <x:f>COUNTIFS('Public Facts'!$B$5:$B$86,B13,'Public Facts'!$N$5:$N$86,A13)</x:f>
        <x:v>11</x:v>
      </x:c>
      <x:c r="E13" s="58" t="n">
        <x:f>COUNTIFS('Public Facts'!$B$5:$B$86,B13,'Public Facts'!$N$5:$N$86,A13,'Public Facts'!$M$5:$M$86,"APPROVED")</x:f>
        <x:v>11</x:v>
      </x:c>
      <x:c r="F13" s="58" t="n">
        <x:f>COUNTIFS('Public Facts'!$B$5:$B$86,B13,'Public Facts'!$N$5:$N$86,A13,'Public Facts'!$M$5:$M$86,"PENDING_REVIEW")</x:f>
        <x:v>0</x:v>
      </x:c>
      <x:c r="G13" s="58" t="str">
        <x:v>18, 19, 118</x:v>
      </x:c>
      <x:c r="H13" s="58" t="str">
        <x:v>2025-06-29</x:v>
      </x:c>
      <x:c r="I13" s="58" t="str">
        <x:v>2025-10-13</x:v>
      </x:c>
      <x:c r="J13" s="58" t="str">
        <x:v>https://www.shopriteholdings.co.za/docs/shp-afs-2025.pdf</x:v>
      </x:c>
    </x:row>
    <x:row r="14">
      <x:c r="A14" s="58" t="str">
        <x:v>Bidcorp Annual Integrated Report 2025</x:v>
      </x:c>
      <x:c r="B14" s="58" t="str">
        <x:v>E10</x:v>
      </x:c>
      <x:c r="C14" s="58" t="str">
        <x:v>Bid Corporation</x:v>
      </x:c>
      <x:c r="D14" s="58" t="n">
        <x:f>COUNTIFS('Public Facts'!$B$5:$B$86,B14,'Public Facts'!$N$5:$N$86,A14)</x:f>
        <x:v>3</x:v>
      </x:c>
      <x:c r="E14" s="58" t="n">
        <x:f>COUNTIFS('Public Facts'!$B$5:$B$86,B14,'Public Facts'!$N$5:$N$86,A14,'Public Facts'!$M$5:$M$86,"APPROVED")</x:f>
        <x:v>0</x:v>
      </x:c>
      <x:c r="F14" s="58" t="n">
        <x:f>COUNTIFS('Public Facts'!$B$5:$B$86,B14,'Public Facts'!$N$5:$N$86,A14,'Public Facts'!$M$5:$M$86,"PENDING_REVIEW")</x:f>
        <x:v>3</x:v>
      </x:c>
      <x:c r="G14" s="58" t="str">
        <x:v>18, 19</x:v>
      </x:c>
      <x:c r="H14" s="58" t="str">
        <x:v>2025-06-30</x:v>
      </x:c>
      <x:c r="I14" s="58" t="str">
        <x:v>2025-10-30</x:v>
      </x:c>
      <x:c r="J14" s="58" t="str">
        <x:v>https://www.bidcorpgroup.com/pdf/reports/2025/Bidcorp-2025-AIR.pdf</x:v>
      </x:c>
    </x:row>
    <x:row r="15">
      <x:c r="A15" s="58" t="str">
        <x:v>Pepkor Annual Financial Statements 2025</x:v>
      </x:c>
      <x:c r="B15" s="58" t="str">
        <x:v>E11</x:v>
      </x:c>
      <x:c r="C15" s="58" t="str">
        <x:v>Pepkor Holdings</x:v>
      </x:c>
      <x:c r="D15" s="58" t="n">
        <x:f>COUNTIFS('Public Facts'!$B$5:$B$86,B15,'Public Facts'!$N$5:$N$86,A15)</x:f>
        <x:v>3</x:v>
      </x:c>
      <x:c r="E15" s="58" t="n">
        <x:f>COUNTIFS('Public Facts'!$B$5:$B$86,B15,'Public Facts'!$N$5:$N$86,A15,'Public Facts'!$M$5:$M$86,"APPROVED")</x:f>
        <x:v>0</x:v>
      </x:c>
      <x:c r="F15" s="58" t="n">
        <x:f>COUNTIFS('Public Facts'!$B$5:$B$86,B15,'Public Facts'!$N$5:$N$86,A15,'Public Facts'!$M$5:$M$86,"PENDING_REVIEW")</x:f>
        <x:v>3</x:v>
      </x:c>
      <x:c r="G15" s="58" t="str">
        <x:v>21, 23</x:v>
      </x:c>
      <x:c r="H15" s="58" t="str">
        <x:v>2025-09-30</x:v>
      </x:c>
      <x:c r="I15" s="58" t="str">
        <x:v>2025-12-15</x:v>
      </x:c>
      <x:c r="J15" s="58" t="str">
        <x:v>https://pepkor.co.za/wp-content/uploads/Pepkor-annual-financial-statements-2025.pdf</x:v>
      </x:c>
    </x:row>
    <x:row r="16">
      <x:c r="A16" s="58" t="str">
        <x:v>Clicks Group Annual Financial Statements 2025</x:v>
      </x:c>
      <x:c r="B16" s="58" t="str">
        <x:v>E12</x:v>
      </x:c>
      <x:c r="C16" s="58" t="str">
        <x:v>Clicks Group</x:v>
      </x:c>
      <x:c r="D16" s="58" t="n">
        <x:f>COUNTIFS('Public Facts'!$B$5:$B$86,B16,'Public Facts'!$N$5:$N$86,A16)</x:f>
        <x:v>3</x:v>
      </x:c>
      <x:c r="E16" s="58" t="n">
        <x:f>COUNTIFS('Public Facts'!$B$5:$B$86,B16,'Public Facts'!$N$5:$N$86,A16,'Public Facts'!$M$5:$M$86,"APPROVED")</x:f>
        <x:v>0</x:v>
      </x:c>
      <x:c r="F16" s="58" t="n">
        <x:f>COUNTIFS('Public Facts'!$B$5:$B$86,B16,'Public Facts'!$N$5:$N$86,A16,'Public Facts'!$M$5:$M$86,"PENDING_REVIEW")</x:f>
        <x:v>3</x:v>
      </x:c>
      <x:c r="G16" s="58" t="str">
        <x:v>10</x:v>
      </x:c>
      <x:c r="H16" s="58" t="str">
        <x:v>2025-08-31</x:v>
      </x:c>
      <x:c r="I16" s="58" t="str">
        <x:v>2025-11-06</x:v>
      </x:c>
      <x:c r="J16" s="58" t="str">
        <x:v>https://clicksgroup.co.za/iar2025/wp-content/uploads/CGL-YE25-Annual-financial-statements.pdf</x:v>
      </x:c>
    </x:row>
    <x:row r="17">
      <x:c r="A17" s="58" t="str">
        <x:v>NEPI Rockcastle Annual Report 2025</x:v>
      </x:c>
      <x:c r="B17" s="58" t="str">
        <x:v>E13</x:v>
      </x:c>
      <x:c r="C17" s="58" t="str">
        <x:v>NEPI Rockcastle</x:v>
      </x:c>
      <x:c r="D17" s="58" t="n">
        <x:f>COUNTIFS('Public Facts'!$B$5:$B$86,B17,'Public Facts'!$N$5:$N$86,A17)</x:f>
        <x:v>3</x:v>
      </x:c>
      <x:c r="E17" s="58" t="n">
        <x:f>COUNTIFS('Public Facts'!$B$5:$B$86,B17,'Public Facts'!$N$5:$N$86,A17,'Public Facts'!$M$5:$M$86,"APPROVED")</x:f>
        <x:v>0</x:v>
      </x:c>
      <x:c r="F17" s="58" t="n">
        <x:f>COUNTIFS('Public Facts'!$B$5:$B$86,B17,'Public Facts'!$N$5:$N$86,A17,'Public Facts'!$M$5:$M$86,"PENDING_REVIEW")</x:f>
        <x:v>3</x:v>
      </x:c>
      <x:c r="G17" s="58" t="str">
        <x:v>310, 311</x:v>
      </x:c>
      <x:c r="H17" s="58" t="str">
        <x:v>2025-12-31</x:v>
      </x:c>
      <x:c r="I17" s="58" t="str">
        <x:v>2026-03-18</x:v>
      </x:c>
      <x:c r="J17" s="58" t="str">
        <x:v>https://nepirockcastle.com/wp-content/uploads/2026/03/NEPI_Rockcastle_Annual_Report_2025.pdf</x:v>
      </x:c>
    </x:row>
    <x:row r="18">
      <x:c r="A18" s="58" t="str">
        <x:v>Prosus Annual Report 2026</x:v>
      </x:c>
      <x:c r="B18" s="58" t="str">
        <x:v>E14</x:v>
      </x:c>
      <x:c r="C18" s="58" t="str">
        <x:v>Prosus</x:v>
      </x:c>
      <x:c r="D18" s="58" t="n">
        <x:f>COUNTIFS('Public Facts'!$B$5:$B$86,B18,'Public Facts'!$N$5:$N$86,A18)</x:f>
        <x:v>3</x:v>
      </x:c>
      <x:c r="E18" s="58" t="n">
        <x:f>COUNTIFS('Public Facts'!$B$5:$B$86,B18,'Public Facts'!$N$5:$N$86,A18,'Public Facts'!$M$5:$M$86,"APPROVED")</x:f>
        <x:v>0</x:v>
      </x:c>
      <x:c r="F18" s="58" t="n">
        <x:f>COUNTIFS('Public Facts'!$B$5:$B$86,B18,'Public Facts'!$N$5:$N$86,A18,'Public Facts'!$M$5:$M$86,"PENDING_REVIEW")</x:f>
        <x:v>3</x:v>
      </x:c>
      <x:c r="G18" s="58" t="str">
        <x:v>140, 141</x:v>
      </x:c>
      <x:c r="H18" s="58" t="str">
        <x:v>2026-03-31</x:v>
      </x:c>
      <x:c r="I18" s="58" t="str">
        <x:v>2026-06-29</x:v>
      </x:c>
      <x:c r="J18" s="58" t="str">
        <x:v>https://www.prosus.com/~/media/Files/P/prosus-corp-v2/results-reports-and-events-archive/annual-report/2026/fy2026-annual-report.pdf</x:v>
      </x:c>
    </x:row>
    <x:row r="19">
      <x:c r="A19" s="58" t="str">
        <x:v>Naspers Annual Financial Statements 2026</x:v>
      </x:c>
      <x:c r="B19" s="58" t="str">
        <x:v>E15</x:v>
      </x:c>
      <x:c r="C19" s="58" t="str">
        <x:v>Naspers</x:v>
      </x:c>
      <x:c r="D19" s="58" t="n">
        <x:f>COUNTIFS('Public Facts'!$B$5:$B$86,B19,'Public Facts'!$N$5:$N$86,A19)</x:f>
        <x:v>3</x:v>
      </x:c>
      <x:c r="E19" s="58" t="n">
        <x:f>COUNTIFS('Public Facts'!$B$5:$B$86,B19,'Public Facts'!$N$5:$N$86,A19,'Public Facts'!$M$5:$M$86,"APPROVED")</x:f>
        <x:v>0</x:v>
      </x:c>
      <x:c r="F19" s="58" t="n">
        <x:f>COUNTIFS('Public Facts'!$B$5:$B$86,B19,'Public Facts'!$N$5:$N$86,A19,'Public Facts'!$M$5:$M$86,"PENDING_REVIEW")</x:f>
        <x:v>3</x:v>
      </x:c>
      <x:c r="G19" s="58" t="str">
        <x:v>32, 33</x:v>
      </x:c>
      <x:c r="H19" s="58" t="str">
        <x:v>2026-03-31</x:v>
      </x:c>
      <x:c r="I19" s="58" t="str">
        <x:v>2026-06-29</x:v>
      </x:c>
      <x:c r="J19" s="58" t="str">
        <x:v>https://www.naspers.com/~/media/Files/N/Naspers-Corp-V2/results-reports-and-events-archive/latest-results/fy-2026/naspers-annual-financial-statements-2026.pdf</x:v>
      </x:c>
    </x:row>
    <x:row r="20">
      <x:c r="A20" s="58" t="str">
        <x:v>MTN Group Annual Financial Statements 2025</x:v>
      </x:c>
      <x:c r="B20" s="58" t="str">
        <x:v>E16</x:v>
      </x:c>
      <x:c r="C20" s="58" t="str">
        <x:v>MTN Group</x:v>
      </x:c>
      <x:c r="D20" s="58" t="n">
        <x:f>COUNTIFS('Public Facts'!$B$5:$B$86,B20,'Public Facts'!$N$5:$N$86,A20)</x:f>
        <x:v>3</x:v>
      </x:c>
      <x:c r="E20" s="58" t="n">
        <x:f>COUNTIFS('Public Facts'!$B$5:$B$86,B20,'Public Facts'!$N$5:$N$86,A20,'Public Facts'!$M$5:$M$86,"APPROVED")</x:f>
        <x:v>0</x:v>
      </x:c>
      <x:c r="F20" s="58" t="n">
        <x:f>COUNTIFS('Public Facts'!$B$5:$B$86,B20,'Public Facts'!$N$5:$N$86,A20,'Public Facts'!$M$5:$M$86,"PENDING_REVIEW")</x:f>
        <x:v>3</x:v>
      </x:c>
      <x:c r="G20" s="58" t="str">
        <x:v>21, 23</x:v>
      </x:c>
      <x:c r="H20" s="58" t="str">
        <x:v>2025-12-31</x:v>
      </x:c>
      <x:c r="I20" s="58" t="str">
        <x:v>2026-03-16</x:v>
      </x:c>
      <x:c r="J20" s="58" t="str">
        <x:v>https://www.mtn.com/wp-content/uploads/2026/03/MTN-Group-FY-25-Annual-Financial-Statements.pdf</x:v>
      </x:c>
    </x:row>
    <x:row r="21">
      <x:c r="A21" s="58" t="str">
        <x:v>Vodacom Consolidated and Separate Financial Statements 2026</x:v>
      </x:c>
      <x:c r="B21" s="58" t="str">
        <x:v>E17</x:v>
      </x:c>
      <x:c r="C21" s="58" t="str">
        <x:v>Vodacom Group</x:v>
      </x:c>
      <x:c r="D21" s="58" t="n">
        <x:f>COUNTIFS('Public Facts'!$B$5:$B$86,B21,'Public Facts'!$N$5:$N$86,A21)</x:f>
        <x:v>3</x:v>
      </x:c>
      <x:c r="E21" s="58" t="n">
        <x:f>COUNTIFS('Public Facts'!$B$5:$B$86,B21,'Public Facts'!$N$5:$N$86,A21,'Public Facts'!$M$5:$M$86,"APPROVED")</x:f>
        <x:v>0</x:v>
      </x:c>
      <x:c r="F21" s="58" t="n">
        <x:f>COUNTIFS('Public Facts'!$B$5:$B$86,B21,'Public Facts'!$N$5:$N$86,A21,'Public Facts'!$M$5:$M$86,"PENDING_REVIEW")</x:f>
        <x:v>3</x:v>
      </x:c>
      <x:c r="G21" s="58" t="str">
        <x:v>19, 21</x:v>
      </x:c>
      <x:c r="H21" s="58" t="str">
        <x:v>2026-03-31</x:v>
      </x:c>
      <x:c r="I21" s="58" t="str">
        <x:v>2026-06-12</x:v>
      </x:c>
      <x:c r="J21" s="58" t="str">
        <x:v>https://vodacom-reports.co.za/integrated-reports/ir-2026/documents/vodacom-consolidated-and-separate-financial-statements-2026.pdf</x:v>
      </x:c>
    </x:row>
    <x:row r="22">
      <x:c r="A22" s="58" t="str">
        <x:v>Bidvest Integrated Report 2025</x:v>
      </x:c>
      <x:c r="B22" s="58" t="str">
        <x:v>E18</x:v>
      </x:c>
      <x:c r="C22" s="58" t="str">
        <x:v>The Bidvest Group</x:v>
      </x:c>
      <x:c r="D22" s="58" t="n">
        <x:f>COUNTIFS('Public Facts'!$B$5:$B$86,B22,'Public Facts'!$N$5:$N$86,A22)</x:f>
        <x:v>3</x:v>
      </x:c>
      <x:c r="E22" s="58" t="n">
        <x:f>COUNTIFS('Public Facts'!$B$5:$B$86,B22,'Public Facts'!$N$5:$N$86,A22,'Public Facts'!$M$5:$M$86,"APPROVED")</x:f>
        <x:v>0</x:v>
      </x:c>
      <x:c r="F22" s="58" t="n">
        <x:f>COUNTIFS('Public Facts'!$B$5:$B$86,B22,'Public Facts'!$N$5:$N$86,A22,'Public Facts'!$M$5:$M$86,"PENDING_REVIEW")</x:f>
        <x:v>3</x:v>
      </x:c>
      <x:c r="G22" s="58" t="str">
        <x:v>40, 43, 44</x:v>
      </x:c>
      <x:c r="H22" s="58" t="str">
        <x:v>2025-06-30</x:v>
      </x:c>
      <x:c r="I22" s="58" t="str">
        <x:v>2025-10-24</x:v>
      </x:c>
      <x:c r="J22" s="58" t="str">
        <x:v>https://bidvest.co.za/pdf/annual-reports/2025/bidvest-iar-2025.pdf</x:v>
      </x:c>
    </x:row>
    <x:row r="23">
      <x:c r="A23" s="58" t="str">
        <x:v>Aspen Annual Financial Statements 2025</x:v>
      </x:c>
      <x:c r="B23" s="58" t="str">
        <x:v>E19</x:v>
      </x:c>
      <x:c r="C23" s="58" t="str">
        <x:v>Aspen Pharmacare</x:v>
      </x:c>
      <x:c r="D23" s="58" t="n">
        <x:f>COUNTIFS('Public Facts'!$B$5:$B$86,B23,'Public Facts'!$N$5:$N$86,A23)</x:f>
        <x:v>3</x:v>
      </x:c>
      <x:c r="E23" s="58" t="n">
        <x:f>COUNTIFS('Public Facts'!$B$5:$B$86,B23,'Public Facts'!$N$5:$N$86,A23,'Public Facts'!$M$5:$M$86,"APPROVED")</x:f>
        <x:v>0</x:v>
      </x:c>
      <x:c r="F23" s="58" t="n">
        <x:f>COUNTIFS('Public Facts'!$B$5:$B$86,B23,'Public Facts'!$N$5:$N$86,A23,'Public Facts'!$M$5:$M$86,"PENDING_REVIEW")</x:f>
        <x:v>3</x:v>
      </x:c>
      <x:c r="G23" s="58" t="str">
        <x:v>15, 16</x:v>
      </x:c>
      <x:c r="H23" s="58" t="str">
        <x:v>2025-06-30</x:v>
      </x:c>
      <x:c r="I23" s="58" t="str">
        <x:v>2025-10-02</x:v>
      </x:c>
      <x:c r="J23" s="58" t="str">
        <x:v>https://www.aspenpharma.com/download/annual-financial-statements-2/</x:v>
      </x:c>
    </x:row>
    <x:row r="24">
      <x:c r="A24" s="58" t="str">
        <x:v>Shaftesbury Capital Audited Preliminary Results 2025</x:v>
      </x:c>
      <x:c r="B24" s="58" t="str">
        <x:v>E20</x:v>
      </x:c>
      <x:c r="C24" s="58" t="str">
        <x:v>Shaftesbury Capital plc</x:v>
      </x:c>
      <x:c r="D24" s="58" t="n">
        <x:f>COUNTIFS('Public Facts'!$B$5:$B$86,B24,'Public Facts'!$N$5:$N$86,A24)</x:f>
        <x:v>3</x:v>
      </x:c>
      <x:c r="E24" s="58" t="n">
        <x:f>COUNTIFS('Public Facts'!$B$5:$B$86,B24,'Public Facts'!$N$5:$N$86,A24,'Public Facts'!$M$5:$M$86,"APPROVED")</x:f>
        <x:v>0</x:v>
      </x:c>
      <x:c r="F24" s="58" t="n">
        <x:f>COUNTIFS('Public Facts'!$B$5:$B$86,B24,'Public Facts'!$N$5:$N$86,A24,'Public Facts'!$M$5:$M$86,"PENDING_REVIEW")</x:f>
        <x:v>3</x:v>
      </x:c>
      <x:c r="G24" s="58" t="str">
        <x:v>21, 22</x:v>
      </x:c>
      <x:c r="H24" s="58" t="str">
        <x:v>2025-12-31</x:v>
      </x:c>
      <x:c r="I24" s="58" t="str">
        <x:v>2026-02-25</x:v>
      </x:c>
      <x:c r="J24" s="58" t="str">
        <x:v>https://senspdf.jse.co.za/documents/2026/JSE/isse/SHCE/FY25Result.pdf</x:v>
      </x:c>
    </x:row>
  </x:sheetData>
  <x:mergeCells>
    <x:mergeCell ref="A1:J1"/>
    <x:mergeCell ref="A2:J2"/>
  </x:mergeCells>
  <x:pageMargins left="0.7" right="0.7" top="0.75" bottom="0.75" header="0.3" footer="0.3"/>
  <x:legacyDrawing xmlns:r="http://schemas.openxmlformats.org/officeDocument/2006/relationships" r:id="R0c7810c6b47b416f"/>
</x:worksheet>
</file>