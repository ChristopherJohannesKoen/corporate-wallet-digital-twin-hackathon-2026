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82f2afc1be43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5ac3e9ad10e94c46"/>
    <x:sheet xmlns:r="http://schemas.openxmlformats.org/officeDocument/2006/relationships" name="Public Facts" sheetId="2" r:id="Re405443f102a4561"/>
    <x:sheet xmlns:r="http://schemas.openxmlformats.org/officeDocument/2006/relationships" name="Client Coverage" sheetId="3" r:id="R9d2f9c0d3f9d4b07"/>
    <x:sheet xmlns:r="http://schemas.openxmlformats.org/officeDocument/2006/relationships" name="Approved Anchors" sheetId="4" r:id="R40205d2538e34e8b"/>
    <x:sheet xmlns:r="http://schemas.openxmlformats.org/officeDocument/2006/relationships" name="Wallet Decision Impact" sheetId="5" r:id="R0798a282546d40f9"/>
    <x:sheet xmlns:r="http://schemas.openxmlformats.org/officeDocument/2006/relationships" name="Evidence Queue" sheetId="6" r:id="R70493432f9204b35"/>
    <x:sheet xmlns:r="http://schemas.openxmlformats.org/officeDocument/2006/relationships" name="Sensitivity" sheetId="7" r:id="R211da85b2f5441fc"/>
    <x:sheet xmlns:r="http://schemas.openxmlformats.org/officeDocument/2006/relationships" name="Promotion Readiness" sheetId="8" r:id="Rd8f1816cfdfc445d"/>
    <x:sheet xmlns:r="http://schemas.openxmlformats.org/officeDocument/2006/relationships" name="Checks" sheetId="9" r:id="R9e3ddb93ccef4256"/>
    <x:sheet xmlns:r="http://schemas.openxmlformats.org/officeDocument/2006/relationships" name="Sources" sheetId="10" r:id="R6e3252a1afe044be"/>
  </x:sheets>
</x:workbook>
</file>

<file path=xl/comments1.xml><?xml version="1.0" encoding="utf-8"?>
<x:comments xmlns:x="http://schemas.openxmlformats.org/spreadsheetml/2006/main">
  <x:authors>
    <x:author>tc={1D3C2439-FC74-878C-F5CC-58746046E7DD}</x:author>
    <x:author>tc={4F7AA636-1509-2E5C-DE28-B75201399C36}</x:author>
    <x:author>tc={A0CD7F65-E81E-117D-3010-1A3C4FC7E806}</x:author>
    <x:author>tc={2BC4F4CE-3028-E376-38C4-A45C077178D6}</x:author>
    <x:author>tc={76EA9DBC-445A-F6C9-149B-948379B25610}</x:author>
    <x:author>tc={0E403EE3-E209-12D7-8BE8-BE38EA659A20}</x:author>
    <x:author>tc={77871C4C-9F32-FF56-76D1-50A3CE47932D}</x:author>
    <x:author>tc={09EF5B64-315D-CAEF-D3B6-A613340519E8}</x:author>
    <x:author>tc={F3076964-832D-6FBD-D1F9-7564B56EBCE0}</x:author>
    <x:author>tc={18C726D0-AA21-F490-84A5-71DB293A0C81}</x:author>
    <x:author>tc={00894FF3-35F3-A1B1-9AA8-919CE49171F6}</x:author>
    <x:author>tc={B353F4D8-5FFA-1545-40A6-FC8A27BB12AD}</x:author>
    <x:author>tc={0B0729F6-5064-5F9D-2C55-23A49C0C3BDF}</x:author>
    <x:author>tc={561A2902-D66D-F16E-E875-B7F800F6DE67}</x:author>
    <x:author>tc={04513763-CC95-6FB5-A722-817CEE7F4448}</x:author>
    <x:author>tc={5EF56C96-5B69-E27F-A7E1-39D4A3249AF6}</x:author>
    <x:author>tc={7B1AE671-4D9A-C858-A69E-ED2AFA642A73}</x:author>
    <x:author>tc={AC0117BC-E1F4-E1AA-B76E-94A004DD9A2B}</x:author>
    <x:author>tc={7D56B634-D6AE-7A54-E4E4-59751F9EFFA4}</x:author>
    <x:author>tc={3D509607-46DB-7367-3162-1CF1E4AC14E5}</x:author>
    <x:author>tc={7273B247-70AB-04AF-C8F5-2CECE0DB2154}</x:author>
    <x:author>tc={51C26273-DA34-381A-AAA1-1ECF5361C5E3}</x:author>
    <x:author>tc={872C1AB3-1D16-04B8-606E-94AD13555A92}</x:author>
    <x:author>tc={E79D887C-4BBA-0E20-9459-5A62A87E70F1}</x:author>
    <x:author>tc={7046CB68-34C3-4D68-4F2E-C72388D9B45C}</x:author>
    <x:author>tc={17B572EE-F697-8A66-04F7-87A62EA99760}</x:author>
    <x:author>tc={C3E6A717-103F-8456-AC9B-C1175D5A8D47}</x:author>
    <x:author>tc={FAEDA356-D777-0F8D-E232-2190C749AB82}</x:author>
    <x:author>tc={BDAA3432-17AD-9F84-A992-3486F4D0812C}</x:author>
    <x:author>tc={7096F403-3B9B-74B0-DDAC-4627E2727349}</x:author>
    <x:author>tc={88122F83-F833-65D9-2D99-C170BFF1392E}</x:author>
    <x:author>tc={27F15BE4-3771-AFF2-BF41-321B1E49DE21}</x:author>
    <x:author>tc={2E6D83D0-C451-4B7D-2947-32079232326B}</x:author>
    <x:author>tc={DE1C6661-BA06-94A6-774C-502B82A55C16}</x:author>
    <x:author>tc={5382E1A5-60EF-6617-E10A-2C7E2B01057A}</x:author>
    <x:author>tc={AE187217-C536-9ACE-B5BD-4ED40B01AF40}</x:author>
    <x:author>tc={3DCAEE3E-C8CC-9B34-BA33-5ED9926790F1}</x:author>
    <x:author>tc={029C4BF4-C621-DCAF-AA85-04C011CBCBEF}</x:author>
    <x:author>tc={8DCE8E91-9F14-EFA4-2258-38657ACF07D6}</x:author>
    <x:author>tc={244F49B3-5E2A-EFF5-741E-4212B12BEFD8}</x:author>
    <x:author>tc={08875AF0-1E94-BD18-36F2-7FD2B7B8CDC3}</x:author>
    <x:author>tc={454D49F2-E141-4C9B-8888-AF85F24D5231}</x:author>
    <x:author>tc={99D865B6-8236-D481-618A-183EED9AD1C6}</x:author>
    <x:author>tc={32F6D986-C933-3A46-379A-2E7F9DA41503}</x:author>
    <x:author>tc={C36D4AF8-6A63-ECEE-4C92-630427FD9946}</x:author>
    <x:author>tc={A65E46BB-285D-2221-F52B-39DD2024B265}</x:author>
    <x:author>tc={9FDF306B-B63B-0B4A-D97E-4E8BF3989E3C}</x:author>
    <x:author>tc={0DE09241-7611-CE47-83C3-C6E2A7213D83}</x:author>
    <x:author>tc={15FAE1BB-C7E1-0F2E-87B6-517512B3FAE7}</x:author>
    <x:author>tc={16D0131A-22BB-5957-7DBE-4B3D4AC9E90F}</x:author>
    <x:author>tc={AF3C113F-B419-4CAA-8AAC-97EB9E101504}</x:author>
    <x:author>tc={12838B92-4969-AF76-89D2-09087AE8BE65}</x:author>
    <x:author>tc={13D8AF17-1334-372C-540D-57229F735583}</x:author>
    <x:author>tc={6F2114EA-4845-2E1A-D087-9257AA50DFD9}</x:author>
    <x:author>tc={286E08B1-D255-CC53-FE49-22D8F3030644}</x:author>
    <x:author>tc={D14CF8CC-BDEA-A800-CDE3-48664676FEE7}</x:author>
    <x:author>tc={D6BDBFE5-356C-B17F-F44F-DAA01D856D02}</x:author>
    <x:author>tc={24905B2F-F9AE-274F-72BA-8F54DCE7E670}</x:author>
    <x:author>tc={0732FFA9-94E7-87B5-4F7F-4AEAC96F7BD4}</x:author>
    <x:author>tc={D2768598-BCCC-945F-3081-2DDA076AC7B5}</x:author>
    <x:author>tc={D01A5B5D-1357-61AA-D4A2-AD9A45DD0A29}</x:author>
    <x:author>tc={306D1132-835F-2461-847B-25DE4DB9FAEA}</x:author>
    <x:author>tc={33464B4C-C331-D9FA-3DD2-CF201C835D67}</x:author>
    <x:author>tc={D5279CD2-E00F-B95B-4DC2-7BAC89393443}</x:author>
    <x:author>tc={FA50F35F-1B8C-76C5-ABC3-5AE659E19D2A}</x:author>
    <x:author>tc={8CED9D41-7A2D-379A-125F-22DCA8021657}</x:author>
    <x:author>tc={D8B5ED89-4462-4852-E22E-220F763A0477}</x:author>
    <x:author>tc={EC330868-4883-AA27-0953-CD4A48E1ADF3}</x:author>
    <x:author>tc={B12A67A1-C569-A860-97FB-BC8182C6D95E}</x:author>
    <x:author>tc={D35606E1-B3C6-654B-C080-751905F8D3EF}</x:author>
    <x:author>tc={A67054DF-4000-C49A-6A04-26F573EFEE52}</x:author>
    <x:author>tc={09A5EB70-BF1F-34F1-64B2-5817DC85674B}</x:author>
    <x:author>tc={323B98CD-2990-3DDC-6A40-15D2694A87DB}</x:author>
    <x:author>tc={E094BE2E-BB68-693E-C1B2-B5B9891A05F1}</x:author>
    <x:author>tc={17C77E87-BB03-92C5-C663-BF9FF11590A3}</x:author>
    <x:author>tc={9C93F06B-74ED-F293-5E3E-FCB1407B9776}</x:author>
    <x:author>tc={645E15D3-D9E0-480F-F123-03CDE49AABA9}</x:author>
    <x:author>tc={ADF298A1-1553-FA00-3AE9-13140404D18D}</x:author>
    <x:author>tc={145948C2-1781-1C6D-AD20-AD2A4E75E6CA}</x:author>
    <x:author>tc={68C23CBB-2408-CE14-3F39-48E9043543CB}</x:author>
    <x:author>tc={105C36BC-F67F-B935-902B-87430FB850C8}</x:author>
    <x:author>tc={74A4F098-CABD-0354-4F0F-EBA77AA25914}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tc={AB31FEAC-03E5-043B-780A-F44BF9CFCDDC}</x:author>
    <x:author>tc={3C765B3E-DC35-B78B-4560-DAE01F8E8ACF}</x:author>
    <x:author>tc={738792AE-B315-B455-AC29-E0F5DEF15EF3}</x:author>
    <x:author>tc={F9AA18FF-ED7E-EB19-1A17-EDE8BB0A3971}</x:author>
    <x:author>tc={9D8C46A8-2E04-7410-B846-E598134DD49F}</x:author>
    <x:author>tc={04899C4D-F36B-69C9-B05A-3A58E5C22D85}</x:author>
    <x:author>tc={B617AA04-5E42-5027-7162-06FCD4C146B9}</x:author>
    <x:author>tc={3D900691-7755-ED89-AF3D-7A5806073765}</x:author>
    <x:author>tc={F31C6032-2C92-F67E-09D0-3FE50F942BB7}</x:author>
    <x:author>tc={7E3FFAD7-7692-8F3C-2AB1-915769C955C0}</x:author>
    <x:author>tc={8D5E7050-80F6-3EDC-2079-F9038B8A87EF}</x:author>
    <x:author>tc={9D79E362-9CBF-4382-59AB-0315583DE075}</x:author>
    <x:author>tc={455FD18B-489F-850A-7F0C-21B99A925DFA}</x:author>
    <x:author>tc={AC06C054-4207-3DDD-FB06-3F98FF6BE164}</x:author>
    <x:author>tc={2BAEA3A0-B5A7-A503-3B40-8AB4A8357D2A}</x:author>
    <x:author>tc={2697D796-9F9D-599D-00B2-9D7190A65914}</x:author>
    <x:author>tc={D7C6A2D1-718C-3256-F2D5-7BC1FBA3B70A}</x:author>
    <x:author>tc={656BFEF9-7580-14C9-A19D-4F50DA72122B}</x:author>
    <x:author>tc={A0063F0A-EF17-7408-1570-B2A312DA1035}</x:author>
    <x:author>tc={47404D22-6ACB-012B-2A94-989A531B023D}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0B63E5"/>
      </x:font>
      <x:fill>
        <x:patternFill patternType="solid">
          <x:bgColor rgb="FFEEF5FF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5b518eb17b43ff" /><Relationship Type="http://schemas.openxmlformats.org/officeDocument/2006/relationships/theme" Target="/xl/theme/theme1.xml" Id="R7ec8f13c47ce452a" /><Relationship Type="http://schemas.openxmlformats.org/officeDocument/2006/relationships/sharedStrings" Target="/xl/sharedStrings.xml" Id="R69cd069745fc4875" /><Relationship Type="http://schemas.openxmlformats.org/officeDocument/2006/relationships/worksheet" Target="/xl/worksheets/sheet1.xml" Id="R5ac3e9ad10e94c46" /><Relationship Type="http://schemas.openxmlformats.org/officeDocument/2006/relationships/worksheet" Target="/xl/worksheets/sheet2.xml" Id="Re405443f102a4561" /><Relationship Type="http://schemas.openxmlformats.org/officeDocument/2006/relationships/worksheet" Target="/xl/worksheets/sheet3.xml" Id="R9d2f9c0d3f9d4b07" /><Relationship Type="http://schemas.openxmlformats.org/officeDocument/2006/relationships/worksheet" Target="/xl/worksheets/sheet4.xml" Id="R40205d2538e34e8b" /><Relationship Type="http://schemas.openxmlformats.org/officeDocument/2006/relationships/worksheet" Target="/xl/worksheets/sheet5.xml" Id="R0798a282546d40f9" /><Relationship Type="http://schemas.openxmlformats.org/officeDocument/2006/relationships/worksheet" Target="/xl/worksheets/sheet6.xml" Id="R70493432f9204b35" /><Relationship Type="http://schemas.openxmlformats.org/officeDocument/2006/relationships/worksheet" Target="/xl/worksheets/sheet7.xml" Id="R211da85b2f5441fc" /><Relationship Type="http://schemas.openxmlformats.org/officeDocument/2006/relationships/worksheet" Target="/xl/worksheets/sheet8.xml" Id="Rd8f1816cfdfc445d" /><Relationship Type="http://schemas.openxmlformats.org/officeDocument/2006/relationships/worksheet" Target="/xl/worksheets/sheet9.xml" Id="R9e3ddb93ccef4256" /><Relationship Type="http://schemas.openxmlformats.org/officeDocument/2006/relationships/worksheet" Target="/xl/worksheets/sheet10.xml" Id="R6e3252a1afe044be" /><Relationship Type="http://schemas.microsoft.com/office/2017/10/relationships/person" Target="/xl/persons/person.xml" Id="R76102bfcf1e446e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edd2dab42be4a1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dd2dab42be4a13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2.0" id="{B5FB5AAB-58AF-4551-BCC5-E77322CCD9A7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5T14:31:01.523" personId="{B5FB5AAB-58AF-4551-BCC5-E77322CCD9A7}" id="{1D3C2439-FC74-878C-F5CC-58746046E7DD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5T14:31:01.525" personId="{B5FB5AAB-58AF-4551-BCC5-E77322CCD9A7}" id="{4F7AA636-1509-2E5C-DE28-B75201399C36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5T14:31:01.525" personId="{B5FB5AAB-58AF-4551-BCC5-E77322CCD9A7}" id="{A0CD7F65-E81E-117D-3010-1A3C4FC7E806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5T14:31:01.525" personId="{B5FB5AAB-58AF-4551-BCC5-E77322CCD9A7}" id="{2BC4F4CE-3028-E376-38C4-A45C077178D6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5T14:31:01.525" personId="{B5FB5AAB-58AF-4551-BCC5-E77322CCD9A7}" id="{76EA9DBC-445A-F6C9-149B-948379B25610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5T14:31:01.525" personId="{B5FB5AAB-58AF-4551-BCC5-E77322CCD9A7}" id="{0E403EE3-E209-12D7-8BE8-BE38EA659A20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5T14:31:01.525" personId="{B5FB5AAB-58AF-4551-BCC5-E77322CCD9A7}" id="{77871C4C-9F32-FF56-76D1-50A3CE47932D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5T14:31:01.525" personId="{B5FB5AAB-58AF-4551-BCC5-E77322CCD9A7}" id="{09EF5B64-315D-CAEF-D3B6-A613340519E8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5T14:31:01.526" personId="{B5FB5AAB-58AF-4551-BCC5-E77322CCD9A7}" id="{F3076964-832D-6FBD-D1F9-7564B56EBCE0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5T14:31:01.526" personId="{B5FB5AAB-58AF-4551-BCC5-E77322CCD9A7}" id="{18C726D0-AA21-F490-84A5-71DB293A0C81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5T14:31:01.526" personId="{B5FB5AAB-58AF-4551-BCC5-E77322CCD9A7}" id="{00894FF3-35F3-A1B1-9AA8-919CE49171F6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5T14:31:01.527" personId="{B5FB5AAB-58AF-4551-BCC5-E77322CCD9A7}" id="{B353F4D8-5FFA-1545-40A6-FC8A27BB12AD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5T14:31:01.527" personId="{B5FB5AAB-58AF-4551-BCC5-E77322CCD9A7}" id="{0B0729F6-5064-5F9D-2C55-23A49C0C3BDF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5T14:31:01.527" personId="{B5FB5AAB-58AF-4551-BCC5-E77322CCD9A7}" id="{561A2902-D66D-F16E-E875-B7F800F6DE67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5T14:31:01.527" personId="{B5FB5AAB-58AF-4551-BCC5-E77322CCD9A7}" id="{04513763-CC95-6FB5-A722-817CEE7F4448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5T14:31:01.527" personId="{B5FB5AAB-58AF-4551-BCC5-E77322CCD9A7}" id="{5EF56C96-5B69-E27F-A7E1-39D4A3249AF6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5T14:31:01.527" personId="{B5FB5AAB-58AF-4551-BCC5-E77322CCD9A7}" id="{7B1AE671-4D9A-C858-A69E-ED2AFA642A73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5T14:31:01.527" personId="{B5FB5AAB-58AF-4551-BCC5-E77322CCD9A7}" id="{AC0117BC-E1F4-E1AA-B76E-94A004DD9A2B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5T14:31:01.527" personId="{B5FB5AAB-58AF-4551-BCC5-E77322CCD9A7}" id="{7D56B634-D6AE-7A54-E4E4-59751F9EFFA4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5T14:31:01.527" personId="{B5FB5AAB-58AF-4551-BCC5-E77322CCD9A7}" id="{3D509607-46DB-7367-3162-1CF1E4AC14E5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5T14:31:01.527" personId="{B5FB5AAB-58AF-4551-BCC5-E77322CCD9A7}" id="{7273B247-70AB-04AF-C8F5-2CECE0DB2154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5T14:31:01.527" personId="{B5FB5AAB-58AF-4551-BCC5-E77322CCD9A7}" id="{51C26273-DA34-381A-AAA1-1ECF5361C5E3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5T14:31:01.527" personId="{B5FB5AAB-58AF-4551-BCC5-E77322CCD9A7}" id="{872C1AB3-1D16-04B8-606E-94AD13555A92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5T14:31:01.527" personId="{B5FB5AAB-58AF-4551-BCC5-E77322CCD9A7}" id="{E79D887C-4BBA-0E20-9459-5A62A87E70F1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5T14:31:01.527" personId="{B5FB5AAB-58AF-4551-BCC5-E77322CCD9A7}" id="{7046CB68-34C3-4D68-4F2E-C72388D9B45C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5T14:31:01.527" personId="{B5FB5AAB-58AF-4551-BCC5-E77322CCD9A7}" id="{17B572EE-F697-8A66-04F7-87A62EA99760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5T14:31:01.527" personId="{B5FB5AAB-58AF-4551-BCC5-E77322CCD9A7}" id="{C3E6A717-103F-8456-AC9B-C1175D5A8D47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5T14:31:01.527" personId="{B5FB5AAB-58AF-4551-BCC5-E77322CCD9A7}" id="{FAEDA356-D777-0F8D-E232-2190C749AB82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5T14:31:01.527" personId="{B5FB5AAB-58AF-4551-BCC5-E77322CCD9A7}" id="{BDAA3432-17AD-9F84-A992-3486F4D0812C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5T14:31:01.527" personId="{B5FB5AAB-58AF-4551-BCC5-E77322CCD9A7}" id="{7096F403-3B9B-74B0-DDAC-4627E2727349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5T14:31:01.527" personId="{B5FB5AAB-58AF-4551-BCC5-E77322CCD9A7}" id="{88122F83-F833-65D9-2D99-C170BFF1392E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5T14:31:01.527" personId="{B5FB5AAB-58AF-4551-BCC5-E77322CCD9A7}" id="{27F15BE4-3771-AFF2-BF41-321B1E49DE21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5T14:31:01.527" personId="{B5FB5AAB-58AF-4551-BCC5-E77322CCD9A7}" id="{2E6D83D0-C451-4B7D-2947-32079232326B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5T14:31:01.528" personId="{B5FB5AAB-58AF-4551-BCC5-E77322CCD9A7}" id="{DE1C6661-BA06-94A6-774C-502B82A55C16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5T14:31:01.528" personId="{B5FB5AAB-58AF-4551-BCC5-E77322CCD9A7}" id="{5382E1A5-60EF-6617-E10A-2C7E2B01057A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5T14:31:01.528" personId="{B5FB5AAB-58AF-4551-BCC5-E77322CCD9A7}" id="{AE187217-C536-9ACE-B5BD-4ED40B01AF40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5T14:31:01.528" personId="{B5FB5AAB-58AF-4551-BCC5-E77322CCD9A7}" id="{3DCAEE3E-C8CC-9B34-BA33-5ED9926790F1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5T14:31:01.528" personId="{B5FB5AAB-58AF-4551-BCC5-E77322CCD9A7}" id="{029C4BF4-C621-DCAF-AA85-04C011CBCBEF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5T14:31:01.528" personId="{B5FB5AAB-58AF-4551-BCC5-E77322CCD9A7}" id="{8DCE8E91-9F14-EFA4-2258-38657ACF07D6}">
    <xltc:text>Source: https://www.shopriteholdings.co.za/docs/shp-afs-2025.pdf
Page: 18
Available: 2025-10-13
SHA-256: seed-register-hash:SHP-2025-AP-CLOSE</xltc:text>
  </xltc:threadedComment>
  <xltc:threadedComment ref="P44" dT="2026-08-15T14:31:01.528" personId="{B5FB5AAB-58AF-4551-BCC5-E77322CCD9A7}" id="{244F49B3-5E2A-EFF5-741E-4212B12BEFD8}">
    <xltc:text>Source: https://www.shopriteholdings.co.za/docs/shp-afs-2025.pdf
Page: 18
Available: 2025-10-13
SHA-256: seed-register-hash:SHP-2025-AP-OPEN</xltc:text>
  </xltc:threadedComment>
  <xltc:threadedComment ref="P45" dT="2026-08-15T14:31:01.528" personId="{B5FB5AAB-58AF-4551-BCC5-E77322CCD9A7}" id="{08875AF0-1E94-BD18-36F2-7FD2B7B8CDC3}">
    <xltc:text>Source: https://www.shopriteholdings.co.za/docs/shp-afs-2025.pdf
Page: 18
Available: 2025-10-13
SHA-256: seed-register-hash:SHP-2025-AR-CLOSE</xltc:text>
  </xltc:threadedComment>
  <xltc:threadedComment ref="P46" dT="2026-08-15T14:31:01.528" personId="{B5FB5AAB-58AF-4551-BCC5-E77322CCD9A7}" id="{454D49F2-E141-4C9B-8888-AF85F24D5231}">
    <xltc:text>Source: https://www.shopriteholdings.co.za/docs/shp-afs-2025.pdf
Page: 18
Available: 2025-10-13
SHA-256: seed-register-hash:SHP-2025-AR-OPEN</xltc:text>
  </xltc:threadedComment>
  <xltc:threadedComment ref="P47" dT="2026-08-15T14:31:01.528" personId="{B5FB5AAB-58AF-4551-BCC5-E77322CCD9A7}" id="{99D865B6-8236-D481-618A-183EED9AD1C6}">
    <xltc:text>Source: https://www.shopriteholdings.co.za/docs/shp-afs-2025.pdf
Page: 19
Available: 2025-10-13
SHA-256: seed-register-hash:SHP-2025-COST</xltc:text>
  </xltc:threadedComment>
  <xltc:threadedComment ref="P48" dT="2026-08-15T14:31:01.528" personId="{B5FB5AAB-58AF-4551-BCC5-E77322CCD9A7}" id="{32F6D986-C933-3A46-379A-2E7F9DA41503}">
    <xltc:text>Source: https://www.shopriteholdings.co.za/docs/shp-afs-2025.pdf
Page: 18
Available: 2025-10-13
SHA-256: seed-register-hash:SHP-2025-DEBT</xltc:text>
  </xltc:threadedComment>
  <xltc:threadedComment ref="P49" dT="2026-08-15T14:31:01.528" personId="{B5FB5AAB-58AF-4551-BCC5-E77322CCD9A7}" id="{C36D4AF8-6A63-ECEE-4C92-630427FD9946}">
    <xltc:text>Source: https://www.shopriteholdings.co.za/docs/shp-afs-2025.pdf
Page: 118
Available: 2025-10-13
SHA-256: seed-register-hash:SHP-2025-FX</xltc:text>
  </xltc:threadedComment>
  <xltc:threadedComment ref="P50" dT="2026-08-15T14:31:01.528" personId="{B5FB5AAB-58AF-4551-BCC5-E77322CCD9A7}" id="{A65E46BB-285D-2221-F52B-39DD2024B265}">
    <xltc:text>Source: https://www.shopriteholdings.co.za/docs/shp-afs-2025.pdf
Page: 18
Available: 2025-10-13
SHA-256: seed-register-hash:SHP-2025-INV-CLOSE</xltc:text>
  </xltc:threadedComment>
  <xltc:threadedComment ref="P51" dT="2026-08-15T14:31:01.528" personId="{B5FB5AAB-58AF-4551-BCC5-E77322CCD9A7}" id="{9FDF306B-B63B-0B4A-D97E-4E8BF3989E3C}">
    <xltc:text>Source: https://www.shopriteholdings.co.za/docs/shp-afs-2025.pdf
Page: 18
Available: 2025-10-13
SHA-256: seed-register-hash:SHP-2025-INV-OPEN</xltc:text>
  </xltc:threadedComment>
  <xltc:threadedComment ref="P52" dT="2026-08-15T14:31:01.528" personId="{B5FB5AAB-58AF-4551-BCC5-E77322CCD9A7}" id="{0DE09241-7611-CE47-83C3-C6E2A7213D83}">
    <xltc:text>Source: https://www.shopriteholdings.co.za/docs/shp-afs-2025.pdf
Page: 19
Available: 2025-10-13
SHA-256: seed-register-hash:SHP-2025-REV</xltc:text>
  </xltc:threadedComment>
  <xltc:threadedComment ref="P53" dT="2026-08-15T14:31:01.528" personId="{B5FB5AAB-58AF-4551-BCC5-E77322CCD9A7}" id="{15FAE1BB-C7E1-0F2E-87B6-517512B3FAE7}">
    <xltc:text>Source: https://www.shopriteholdings.co.za/docs/shp-afs-2025.pdf
Page: 18
Available: 2025-10-13
SHA-256: seed-register-hash:SHP-2025-STF</xltc:text>
  </xltc:threadedComment>
  <xltc:threadedComment ref="P54" dT="2026-08-15T14:31:01.528" personId="{B5FB5AAB-58AF-4551-BCC5-E77322CCD9A7}" id="{16D0131A-22BB-5957-7DBE-4B3D4AC9E90F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5T14:31:01.528" personId="{B5FB5AAB-58AF-4551-BCC5-E77322CCD9A7}" id="{AF3C113F-B419-4CAA-8AAC-97EB9E101504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5T14:31:01.528" personId="{B5FB5AAB-58AF-4551-BCC5-E77322CCD9A7}" id="{12838B92-4969-AF76-89D2-09087AE8BE65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5T14:31:01.528" personId="{B5FB5AAB-58AF-4551-BCC5-E77322CCD9A7}" id="{13D8AF17-1334-372C-540D-57229F735583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5T14:31:01.528" personId="{B5FB5AAB-58AF-4551-BCC5-E77322CCD9A7}" id="{6F2114EA-4845-2E1A-D087-9257AA50DFD9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5T14:31:01.528" personId="{B5FB5AAB-58AF-4551-BCC5-E77322CCD9A7}" id="{286E08B1-D255-CC53-FE49-22D8F3030644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5T14:31:01.528" personId="{B5FB5AAB-58AF-4551-BCC5-E77322CCD9A7}" id="{D14CF8CC-BDEA-A800-CDE3-48664676FEE7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5T14:31:01.528" personId="{B5FB5AAB-58AF-4551-BCC5-E77322CCD9A7}" id="{D6BDBFE5-356C-B17F-F44F-DAA01D856D02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5T14:31:01.528" personId="{B5FB5AAB-58AF-4551-BCC5-E77322CCD9A7}" id="{24905B2F-F9AE-274F-72BA-8F54DCE7E670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5T14:31:01.528" personId="{B5FB5AAB-58AF-4551-BCC5-E77322CCD9A7}" id="{0732FFA9-94E7-87B5-4F7F-4AEAC96F7BD4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5T14:31:01.528" personId="{B5FB5AAB-58AF-4551-BCC5-E77322CCD9A7}" id="{D2768598-BCCC-945F-3081-2DDA076AC7B5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5T14:31:01.528" personId="{B5FB5AAB-58AF-4551-BCC5-E77322CCD9A7}" id="{D01A5B5D-1357-61AA-D4A2-AD9A45DD0A29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5T14:31:01.528" personId="{B5FB5AAB-58AF-4551-BCC5-E77322CCD9A7}" id="{306D1132-835F-2461-847B-25DE4DB9FAEA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5T14:31:01.528" personId="{B5FB5AAB-58AF-4551-BCC5-E77322CCD9A7}" id="{33464B4C-C331-D9FA-3DD2-CF201C835D67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5T14:31:01.528" personId="{B5FB5AAB-58AF-4551-BCC5-E77322CCD9A7}" id="{D5279CD2-E00F-B95B-4DC2-7BAC89393443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5T14:31:01.528" personId="{B5FB5AAB-58AF-4551-BCC5-E77322CCD9A7}" id="{FA50F35F-1B8C-76C5-ABC3-5AE659E19D2A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5T14:31:01.528" personId="{B5FB5AAB-58AF-4551-BCC5-E77322CCD9A7}" id="{8CED9D41-7A2D-379A-125F-22DCA8021657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5T14:31:01.528" personId="{B5FB5AAB-58AF-4551-BCC5-E77322CCD9A7}" id="{D8B5ED89-4462-4852-E22E-220F763A0477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5T14:31:01.528" personId="{B5FB5AAB-58AF-4551-BCC5-E77322CCD9A7}" id="{EC330868-4883-AA27-0953-CD4A48E1ADF3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5T14:31:01.528" personId="{B5FB5AAB-58AF-4551-BCC5-E77322CCD9A7}" id="{B12A67A1-C569-A860-97FB-BC8182C6D95E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5T14:31:01.528" personId="{B5FB5AAB-58AF-4551-BCC5-E77322CCD9A7}" id="{D35606E1-B3C6-654B-C080-751905F8D3EF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5T14:31:01.528" personId="{B5FB5AAB-58AF-4551-BCC5-E77322CCD9A7}" id="{A67054DF-4000-C49A-6A04-26F573EFEE52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5T14:31:01.528" personId="{B5FB5AAB-58AF-4551-BCC5-E77322CCD9A7}" id="{09A5EB70-BF1F-34F1-64B2-5817DC85674B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5T14:31:01.528" personId="{B5FB5AAB-58AF-4551-BCC5-E77322CCD9A7}" id="{323B98CD-2990-3DDC-6A40-15D2694A87DB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5T14:31:01.529" personId="{B5FB5AAB-58AF-4551-BCC5-E77322CCD9A7}" id="{E094BE2E-BB68-693E-C1B2-B5B9891A05F1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5T14:31:01.529" personId="{B5FB5AAB-58AF-4551-BCC5-E77322CCD9A7}" id="{17C77E87-BB03-92C5-C663-BF9FF11590A3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5T14:31:01.529" personId="{B5FB5AAB-58AF-4551-BCC5-E77322CCD9A7}" id="{9C93F06B-74ED-F293-5E3E-FCB1407B9776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5T14:31:01.529" personId="{B5FB5AAB-58AF-4551-BCC5-E77322CCD9A7}" id="{645E15D3-D9E0-480F-F123-03CDE49AABA9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5T14:31:01.529" personId="{B5FB5AAB-58AF-4551-BCC5-E77322CCD9A7}" id="{ADF298A1-1553-FA00-3AE9-13140404D18D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5T14:31:01.529" personId="{B5FB5AAB-58AF-4551-BCC5-E77322CCD9A7}" id="{145948C2-1781-1C6D-AD20-AD2A4E75E6CA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5T14:31:01.529" personId="{B5FB5AAB-58AF-4551-BCC5-E77322CCD9A7}" id="{68C23CBB-2408-CE14-3F39-48E9043543CB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5T14:31:01.529" personId="{B5FB5AAB-58AF-4551-BCC5-E77322CCD9A7}" id="{105C36BC-F67F-B935-902B-87430FB850C8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5T14:31:01.529" personId="{B5FB5AAB-58AF-4551-BCC5-E77322CCD9A7}" id="{74A4F098-CABD-0354-4F0F-EBA77AA25914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5T14:31:01.789" personId="{B5FB5AAB-58AF-4551-BCC5-E77322CCD9A7}" id="{AB31FEAC-03E5-043B-780A-F44BF9CFCDDC}">
    <xltc:text>Official source: https://www.bhp.com/-/media/documents/investors/annual-reports/2025/250819_bhpannualreport2025.pdf</xltc:text>
  </xltc:threadedComment>
  <xltc:threadedComment ref="J6" dT="2026-08-15T14:31:01.791" personId="{B5FB5AAB-58AF-4551-BCC5-E77322CCD9A7}" id="{3C765B3E-DC35-B78B-4560-DAE01F8E8ACF}">
    <xltc:text>Official source: https://www.glencore.com/.rest/api/v1/documents/static/9b103e11-72e7-40bf-ae7c-eabe57361522/GLEN-2025-Annual-Report.pdf</xltc:text>
  </xltc:threadedComment>
  <xltc:threadedComment ref="J7" dT="2026-08-15T14:31:01.793" personId="{B5FB5AAB-58AF-4551-BCC5-E77322CCD9A7}" id="{738792AE-B315-B455-AC29-E0F5DEF15EF3}">
    <xltc:text>Official source: https://www.angloamerican.com/~/media/Files/A/Anglo-American-Group-v9/PLC/investors/annual-reporting/2025/aa-annual-report-full-2025.pdf</xltc:text>
  </xltc:threadedComment>
  <xltc:threadedComment ref="J8" dT="2026-08-15T14:31:01.795" personId="{B5FB5AAB-58AF-4551-BCC5-E77322CCD9A7}" id="{F9AA18FF-ED7E-EB19-1A17-EDE8BB0A3971}">
    <xltc:text>Official source: https://reports.anglogoldashanti.com/25/download/AGA-AR25.pdf</xltc:text>
  </xltc:threadedComment>
  <xltc:threadedComment ref="J9" dT="2026-08-15T14:31:01.797" personId="{B5FB5AAB-58AF-4551-BCC5-E77322CCD9A7}" id="{9D8C46A8-2E04-7410-B846-E598134DD49F}">
    <xltc:text>Official source: https://www.goldfields.com/pdf/investors/integrated-annual-reports/2025/afs-2025.pdf</xltc:text>
  </xltc:threadedComment>
  <xltc:threadedComment ref="J10" dT="2026-08-15T14:31:01.798" personId="{B5FB5AAB-58AF-4551-BCC5-E77322CCD9A7}" id="{04899C4D-F36B-69C9-B05A-3A58E5C22D85}">
    <xltc:text>Official source: https://www.valterraplatinum.com/wp-content/uploads/2026/05/annual-financial-statements-2025.pdf</xltc:text>
  </xltc:threadedComment>
  <xltc:threadedComment ref="J11" dT="2026-08-15T14:31:01.8" personId="{B5FB5AAB-58AF-4551-BCC5-E77322CCD9A7}" id="{B617AA04-5E42-5027-7162-06FCD4C146B9}">
    <xltc:text>Official source: https://group.outsurance.co.za/globalassets/documents/investor-relations/reports-and-results/2025/ogl-annual-financial-statements-2025.pdf</xltc:text>
  </xltc:threadedComment>
  <xltc:threadedComment ref="J12" dT="2026-08-15T14:31:01.801" personId="{B5FB5AAB-58AF-4551-BCC5-E77322CCD9A7}" id="{3D900691-7755-ED89-AF3D-7A5806073765}">
    <xltc:text>Official source: https://www.sanlam.com/downloads/integrated-report-and-annual-financial-statements/2024/Sanlam-AFS-2024-spreads.pdf</xltc:text>
  </xltc:threadedComment>
  <xltc:threadedComment ref="J13" dT="2026-08-15T14:31:01.802" personId="{B5FB5AAB-58AF-4551-BCC5-E77322CCD9A7}" id="{F31C6032-2C92-F67E-09D0-3FE50F942BB7}">
    <xltc:text>Official source: https://www.shopriteholdings.co.za/docs/shp-afs-2025.pdf</xltc:text>
  </xltc:threadedComment>
  <xltc:threadedComment ref="J14" dT="2026-08-15T14:31:01.804" personId="{B5FB5AAB-58AF-4551-BCC5-E77322CCD9A7}" id="{7E3FFAD7-7692-8F3C-2AB1-915769C955C0}">
    <xltc:text>Official source: https://www.bidcorpgroup.com/pdf/reports/2025/Bidcorp-2025-AIR.pdf</xltc:text>
  </xltc:threadedComment>
  <xltc:threadedComment ref="J15" dT="2026-08-15T14:31:01.805" personId="{B5FB5AAB-58AF-4551-BCC5-E77322CCD9A7}" id="{8D5E7050-80F6-3EDC-2079-F9038B8A87EF}">
    <xltc:text>Official source: https://pepkor.co.za/wp-content/uploads/Pepkor-annual-financial-statements-2025.pdf</xltc:text>
  </xltc:threadedComment>
  <xltc:threadedComment ref="J16" dT="2026-08-15T14:31:01.807" personId="{B5FB5AAB-58AF-4551-BCC5-E77322CCD9A7}" id="{9D79E362-9CBF-4382-59AB-0315583DE075}">
    <xltc:text>Official source: https://clicksgroup.co.za/iar2025/wp-content/uploads/CGL-YE25-Annual-financial-statements.pdf</xltc:text>
  </xltc:threadedComment>
  <xltc:threadedComment ref="J17" dT="2026-08-15T14:31:01.81" personId="{B5FB5AAB-58AF-4551-BCC5-E77322CCD9A7}" id="{455FD18B-489F-850A-7F0C-21B99A925DFA}">
    <xltc:text>Official source: https://nepirockcastle.com/wp-content/uploads/2026/03/NEPI_Rockcastle_Annual_Report_2025.pdf</xltc:text>
  </xltc:threadedComment>
  <xltc:threadedComment ref="J18" dT="2026-08-15T14:31:01.813" personId="{B5FB5AAB-58AF-4551-BCC5-E77322CCD9A7}" id="{AC06C054-4207-3DDD-FB06-3F98FF6BE164}">
    <xltc:text>Official source: https://www.prosus.com/~/media/Files/P/prosus-corp-v2/results-reports-and-events-archive/annual-report/2026/fy2026-annual-report.pdf</xltc:text>
  </xltc:threadedComment>
  <xltc:threadedComment ref="J19" dT="2026-08-15T14:31:01.814" personId="{B5FB5AAB-58AF-4551-BCC5-E77322CCD9A7}" id="{2BAEA3A0-B5A7-A503-3B40-8AB4A8357D2A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5T14:31:01.816" personId="{B5FB5AAB-58AF-4551-BCC5-E77322CCD9A7}" id="{2697D796-9F9D-599D-00B2-9D7190A65914}">
    <xltc:text>Official source: https://www.mtn.com/wp-content/uploads/2026/03/MTN-Group-FY-25-Annual-Financial-Statements.pdf</xltc:text>
  </xltc:threadedComment>
  <xltc:threadedComment ref="J21" dT="2026-08-15T14:31:01.817" personId="{B5FB5AAB-58AF-4551-BCC5-E77322CCD9A7}" id="{D7C6A2D1-718C-3256-F2D5-7BC1FBA3B70A}">
    <xltc:text>Official source: https://vodacom-reports.co.za/integrated-reports/ir-2026/documents/vodacom-consolidated-and-separate-financial-statements-2026.pdf</xltc:text>
  </xltc:threadedComment>
  <xltc:threadedComment ref="J22" dT="2026-08-15T14:31:01.818" personId="{B5FB5AAB-58AF-4551-BCC5-E77322CCD9A7}" id="{656BFEF9-7580-14C9-A19D-4F50DA72122B}">
    <xltc:text>Official source: https://bidvest.co.za/pdf/annual-reports/2025/bidvest-iar-2025.pdf</xltc:text>
  </xltc:threadedComment>
  <xltc:threadedComment ref="J23" dT="2026-08-15T14:31:01.82" personId="{B5FB5AAB-58AF-4551-BCC5-E77322CCD9A7}" id="{A0063F0A-EF17-7408-1570-B2A312DA1035}">
    <xltc:text>Official source: https://www.aspenpharma.com/download/annual-financial-statements-2/</xltc:text>
  </xltc:threadedComment>
  <xltc:threadedComment ref="J24" dT="2026-08-15T14:31:01.821" personId="{B5FB5AAB-58AF-4551-BCC5-E77322CCD9A7}" id="{47404D22-6ACB-012B-2A94-989A531B023D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80aaa97dd18e498e" /><Relationship Type="http://schemas.openxmlformats.org/officeDocument/2006/relationships/vmlDrawing" Target="/xl/drawings/vmldrawing.vml" Id="R103f07e236234cab" /><Relationship Type="http://schemas.microsoft.com/office/2017/10/relationships/threadedComment" Target="/xl/threadedcomments/threadedcomment.xml" Id="R0a069c80a46b445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ef1935d300ad4ec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c368678a8fc54c5f" /><Relationship Type="http://schemas.openxmlformats.org/officeDocument/2006/relationships/vmlDrawing" Target="/xl/drawings/vmldrawing2.vml" Id="R07c4c9558b554740" /><Relationship Type="http://schemas.microsoft.com/office/2017/10/relationships/threadedComment" Target="/xl/threadedcomments/threadedcomment2.xml" Id="R25d541486cff4e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V3.2.0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Evidence, wallet impact and Promotion Readiness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V3.2.0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103f07e236234cab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ef1935d300ad4ec0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V3.2.0 preserves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V3.2.0 preserves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V3.2.0 preserves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V3.2.0 preserves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V3.2.0 preserves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V3.2.0 preserves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V3.2.0 preserves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V3.2.0 preserves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V3.2.0 preserves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V3.2.0 preserves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V3.2.0 preserves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V3.2.0 preserves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V3.2.0 preserves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V3.2.0 preserves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V3.2.0 preserves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V3.2.0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58" hidden="0" customWidth="1"/>
  </x:cols>
  <x:sheetData>
    <x:row r="1" ht="35" customHeight="1">
      <x:c r="A1" s="3" t="str">
        <x:v>Promotion Readiness Twin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6" customHeight="1">
      <x:c r="A2" s="7" t="str">
        <x:v>Blue is rehearsal evidence; green would require real bank evidence. Simulation can never authorize bank use.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0" customHeight="1">
      <x:c r="A4" s="71" t="str">
        <x:v>Real state</x:v>
      </x:c>
      <x:c r="B4" s="71" t="str">
        <x:v>Rehearsed state</x:v>
      </x:c>
      <x:c r="C4" s="71" t="str">
        <x:v>Bank shadow authorized</x:v>
      </x:c>
      <x:c r="D4" s="71" t="str">
        <x:v>PMR</x:v>
      </x:c>
      <x:c r="E4" s="71" t="str">
        <x:v>BER</x:v>
      </x:c>
      <x:c r="F4" s="71" t="str">
        <x:v>Rehearsal clean days</x:v>
      </x:c>
      <x:c r="G4" s="71" t="str">
        <x:v>Elapsed bank days</x:v>
      </x:c>
      <x:c r="H4" s="71" t="str">
        <x:v>Package status</x:v>
      </x:c>
      <x:c r="I4" s="71" t="str">
        <x:v>Bank status</x:v>
      </x:c>
      <x:c r="J4" s="71" t="str">
        <x:v>Real signer available</x:v>
      </x:c>
      <x:c r="K4" s="71" t="str">
        <x:v>Gate count</x:v>
      </x:c>
    </x:row>
    <x:row r="5">
      <x:c r="A5" s="58" t="str">
        <x:v>OFFLINE_CANDIDATE</x:v>
      </x:c>
      <x:c r="B5" s="58" t="str">
        <x:v>SHADOW_READY</x:v>
      </x:c>
      <x:c r="C5" s="58" t="str">
        <x:v>FALSE</x:v>
      </x:c>
      <x:c r="D5" s="60" t="n">
        <x:v>1</x:v>
      </x:c>
      <x:c r="E5" s="60" t="n">
        <x:v>0</x:v>
      </x:c>
      <x:c r="F5" s="58" t="n">
        <x:v>30</x:v>
      </x:c>
      <x:c r="G5" s="58" t="n">
        <x:v>0</x:v>
      </x:c>
      <x:c r="H5" s="58" t="str">
        <x:v>SHADOW_DEPLOYMENT_PACKAGE_READY</x:v>
      </x:c>
      <x:c r="I5" s="58" t="str">
        <x:v>NOT_PROMOTABLE</x:v>
      </x:c>
      <x:c r="J5" s="58" t="str">
        <x:v>FALSE</x:v>
      </x:c>
      <x:c r="K5" s="58" t="n">
        <x:v>30</x:v>
      </x:c>
    </x:row>
    <x:row r="8" ht="30" customHeight="1">
      <x:c r="A8" s="77" t="str">
        <x:v>Transition</x:v>
      </x:c>
      <x:c r="B8" s="77" t="str">
        <x:v>Gate ID</x:v>
      </x:c>
      <x:c r="C8" s="77" t="str">
        <x:v>Requirement</x:v>
      </x:c>
      <x:c r="D8" s="77" t="str">
        <x:v>Severity</x:v>
      </x:c>
      <x:c r="E8" s="77" t="str">
        <x:v>Blocking</x:v>
      </x:c>
      <x:c r="F8" s="77" t="str">
        <x:v>Real status</x:v>
      </x:c>
      <x:c r="G8" s="77" t="str">
        <x:v>Rehearsal status</x:v>
      </x:c>
      <x:c r="H8" s="77" t="str">
        <x:v>Evidence mode</x:v>
      </x:c>
      <x:c r="I8" s="77" t="str">
        <x:v>Signature</x:v>
      </x:c>
      <x:c r="J8" s="77" t="str">
        <x:v>Owner</x:v>
      </x:c>
      <x:c r="K8" s="77" t="str">
        <x:v>Approver</x:v>
      </x:c>
      <x:c r="L8" s="77" t="str">
        <x:v>What makes real pass</x:v>
      </x:c>
    </x:row>
    <x:row r="9">
      <x:c r="A9" s="58" t="str">
        <x:v>OFFLINE_CANDIDATE__TO__SHADOW_READY</x:v>
      </x:c>
      <x:c r="B9" s="58" t="str">
        <x:v>independent-reproduction</x:v>
      </x:c>
      <x:c r="C9" s="58" t="str">
        <x:v>A second party rebuilds every gated artifact byte-identically from the named commit.</x:v>
      </x:c>
      <x:c r="D9" s="58" t="str">
        <x:v>CRITICAL</x:v>
      </x:c>
      <x:c r="E9" s="58" t="str">
        <x:v>YES</x:v>
      </x:c>
      <x:c r="F9" s="58" t="str">
        <x:v>NOT_EVALUATED</x:v>
      </x:c>
      <x:c r="G9" s="58" t="str">
        <x:v>PASS</x:v>
      </x:c>
      <x:c r="H9" s="58" t="str">
        <x:v>SYNTHETIC_REHEARSAL</x:v>
      </x:c>
      <x:c r="I9" s="58" t="str">
        <x:v>SIGNED_REHEARSAL</x:v>
      </x:c>
      <x:c r="J9" s="58" t="str">
        <x:v>ENGINEERING</x:v>
      </x:c>
      <x:c r="K9" s="58" t="str">
        <x:v>MODEL_RISK</x:v>
      </x:c>
      <x:c r="L9" s="58" t="str">
        <x:v>A reviewer outside the build machine runs scripts/build_submission.py at the tagged commit and reports matching digests for all 74 gated artifacts.</x:v>
      </x:c>
    </x:row>
    <x:row r="10">
      <x:c r="A10" s="58" t="str">
        <x:v>OFFLINE_CANDIDATE__TO__SHADOW_READY</x:v>
      </x:c>
      <x:c r="B10" s="58" t="str">
        <x:v>point-in-time-zero-leakage</x:v>
      </x:c>
      <x:c r="C10" s="58" t="str">
        <x:v>No input dated after a record's as_of informs that record.</x:v>
      </x:c>
      <x:c r="D10" s="58" t="str">
        <x:v>CRITICAL</x:v>
      </x:c>
      <x:c r="E10" s="58" t="str">
        <x:v>YES</x:v>
      </x:c>
      <x:c r="F10" s="58" t="str">
        <x:v>NOT_EVALUATED</x:v>
      </x:c>
      <x:c r="G10" s="58" t="str">
        <x:v>PASS</x:v>
      </x:c>
      <x:c r="H10" s="58" t="str">
        <x:v>SYNTHETIC_REHEARSAL</x:v>
      </x:c>
      <x:c r="I10" s="58" t="str">
        <x:v>SIGNED_REHEARSAL</x:v>
      </x:c>
      <x:c r="J10" s="58" t="str">
        <x:v>DATA_ENGINEERING</x:v>
      </x:c>
      <x:c r="K10" s="58" t="str">
        <x:v>MODEL_RISK</x:v>
      </x:c>
      <x:c r="L10" s="58" t="str">
        <x:v>The V3 validation report shows point_in_time_violations = 0 on bank data rather than on the public fixture.</x:v>
      </x:c>
    </x:row>
    <x:row r="11">
      <x:c r="A11" s="58" t="str">
        <x:v>OFFLINE_CANDIDATE__TO__SHADOW_READY</x:v>
      </x:c>
      <x:c r="B11" s="58" t="str">
        <x:v>reconciliation-exact</x:v>
      </x:c>
      <x:c r="C11" s="58" t="str">
        <x:v>Shadow wallet mass balance reconciles exactly, with no tolerance.</x:v>
      </x:c>
      <x:c r="D11" s="58" t="str">
        <x:v>CRITICAL</x:v>
      </x:c>
      <x:c r="E11" s="58" t="str">
        <x:v>YES</x:v>
      </x:c>
      <x:c r="F11" s="58" t="str">
        <x:v>NOT_EVALUATED</x:v>
      </x:c>
      <x:c r="G11" s="58" t="str">
        <x:v>PASS</x:v>
      </x:c>
      <x:c r="H11" s="58" t="str">
        <x:v>SYNTHETIC_REHEARSAL</x:v>
      </x:c>
      <x:c r="I11" s="58" t="str">
        <x:v>SIGNED_REHEARSAL</x:v>
      </x:c>
      <x:c r="J11" s="58" t="str">
        <x:v>FINANCE_OPERATIONS</x:v>
      </x:c>
      <x:c r="K11" s="58" t="str">
        <x:v>FINANCE_CONTROLLER</x:v>
      </x:c>
      <x:c r="L11" s="58" t="str">
        <x:v>Reconciliation runs against real bank balances for a full cycle and reports a rate of exactly 1.0.</x:v>
      </x:c>
    </x:row>
    <x:row r="12">
      <x:c r="A12" s="58" t="str">
        <x:v>OFFLINE_CANDIDATE__TO__SHADOW_READY</x:v>
      </x:c>
      <x:c r="B12" s="58" t="str">
        <x:v>interval-coverage-90</x:v>
      </x:c>
      <x:c r="C12" s="58" t="str">
        <x:v>Empirical coverage of the nominal 90% interval falls within 0.85–0.95.</x:v>
      </x:c>
      <x:c r="D12" s="58" t="str">
        <x:v>HIGH</x:v>
      </x:c>
      <x:c r="E12" s="58" t="str">
        <x:v>YES</x:v>
      </x:c>
      <x:c r="F12" s="58" t="str">
        <x:v>NOT_EVALUATED</x:v>
      </x:c>
      <x:c r="G12" s="58" t="str">
        <x:v>PASS</x:v>
      </x:c>
      <x:c r="H12" s="58" t="str">
        <x:v>SYNTHETIC_REHEARSAL</x:v>
      </x:c>
      <x:c r="I12" s="58" t="str">
        <x:v>SIGNED_REHEARSAL</x:v>
      </x:c>
      <x:c r="J12" s="58" t="str">
        <x:v>DATA_SCIENCE</x:v>
      </x:c>
      <x:c r="K12" s="58" t="str">
        <x:v>MODEL_RISK</x:v>
      </x:c>
      <x:c r="L12" s="58" t="str">
        <x:v>Coverage is measured on held-out real bank outcomes, not on the synthetic calibration lab.</x:v>
      </x:c>
    </x:row>
    <x:row r="13">
      <x:c r="A13" s="58" t="str">
        <x:v>OFFLINE_CANDIDATE__TO__SHADOW_READY</x:v>
      </x:c>
      <x:c r="B13" s="58" t="str">
        <x:v>crps-improvement</x:v>
      </x:c>
      <x:c r="C13" s="58" t="str">
        <x:v>Continuous ranked probability score improves ≥10% against the registered baseline.</x:v>
      </x:c>
      <x:c r="D13" s="58" t="str">
        <x:v>HIGH</x:v>
      </x:c>
      <x:c r="E13" s="58" t="str">
        <x:v>YES</x:v>
      </x:c>
      <x:c r="F13" s="58" t="str">
        <x:v>NOT_EVALUATED</x:v>
      </x:c>
      <x:c r="G13" s="58" t="str">
        <x:v>PASS</x:v>
      </x:c>
      <x:c r="H13" s="58" t="str">
        <x:v>SYNTHETIC_REHEARSAL</x:v>
      </x:c>
      <x:c r="I13" s="58" t="str">
        <x:v>SIGNED_REHEARSAL</x:v>
      </x:c>
      <x:c r="J13" s="58" t="str">
        <x:v>DATA_SCIENCE</x:v>
      </x:c>
      <x:c r="K13" s="58" t="str">
        <x:v>MODEL_RISK</x:v>
      </x:c>
      <x:c r="L13" s="58" t="str">
        <x:v>The comparison is run on real bank outcomes with the baseline frozen before the comparison.</x:v>
      </x:c>
    </x:row>
    <x:row r="14">
      <x:c r="A14" s="58" t="str">
        <x:v>OFFLINE_CANDIDATE__TO__SHADOW_READY</x:v>
      </x:c>
      <x:c r="B14" s="58" t="str">
        <x:v>genai-schema-and-fidelity</x:v>
      </x:c>
      <x:c r="C14" s="58" t="str">
        <x:v>First-attempt schema compliance with no repair or retry; every critical fact traceable; no unsupported critical claim; numerics preserved.</x:v>
      </x:c>
      <x:c r="D14" s="58" t="str">
        <x:v>HIGH</x:v>
      </x:c>
      <x:c r="E14" s="58" t="str">
        <x:v>YES</x:v>
      </x:c>
      <x:c r="F14" s="58" t="str">
        <x:v>NOT_EVALUATED</x:v>
      </x:c>
      <x:c r="G14" s="58" t="str">
        <x:v>PASS</x:v>
      </x:c>
      <x:c r="H14" s="58" t="str">
        <x:v>SYNTHETIC_REHEARSAL</x:v>
      </x:c>
      <x:c r="I14" s="58" t="str">
        <x:v>SIGNED_REHEARSAL</x:v>
      </x:c>
      <x:c r="J14" s="58" t="str">
        <x:v>ENGINEERING</x:v>
      </x:c>
      <x:c r="K14" s="58" t="str">
        <x:v>MODEL_RISK</x:v>
      </x:c>
      <x:c r="L14" s="58" t="str">
        <x:v>At least three accepted live-provider briefs across providers, produced with rotated credentials injected at runtime.</x:v>
      </x:c>
    </x:row>
    <x:row r="15">
      <x:c r="A15" s="58" t="str">
        <x:v>OFFLINE_CANDIDATE__TO__SHADOW_READY</x:v>
      </x:c>
      <x:c r="B15" s="58" t="str">
        <x:v>prompt-injection-resistance</x:v>
      </x:c>
      <x:c r="C15" s="58" t="str">
        <x:v>No injection attempt in the registered corpus causes the model to exceed its closed fact pack.</x:v>
      </x:c>
      <x:c r="D15" s="58" t="str">
        <x:v>CRITICAL</x:v>
      </x:c>
      <x:c r="E15" s="58" t="str">
        <x:v>YES</x:v>
      </x:c>
      <x:c r="F15" s="58" t="str">
        <x:v>NOT_EVALUATED</x:v>
      </x:c>
      <x:c r="G15" s="58" t="str">
        <x:v>PASS</x:v>
      </x:c>
      <x:c r="H15" s="58" t="str">
        <x:v>SYNTHETIC_REHEARSAL</x:v>
      </x:c>
      <x:c r="I15" s="58" t="str">
        <x:v>SIGNED_REHEARSAL</x:v>
      </x:c>
      <x:c r="J15" s="58" t="str">
        <x:v>SECURITY</x:v>
      </x:c>
      <x:c r="K15" s="58" t="str">
        <x:v>SECURITY_OFFICER</x:v>
      </x:c>
      <x:c r="L15" s="58" t="str">
        <x:v>The injection corpus is run against the live provider path rather than the offline stub.</x:v>
      </x:c>
    </x:row>
    <x:row r="16">
      <x:c r="A16" s="58" t="str">
        <x:v>OFFLINE_CANDIDATE__TO__SHADOW_READY</x:v>
      </x:c>
      <x:c r="B16" s="58" t="str">
        <x:v>entitlement-negative-tests</x:v>
      </x:c>
      <x:c r="C16" s="58" t="str">
        <x:v>Every cross-client, cross-region and wrong-role request is denied.</x:v>
      </x:c>
      <x:c r="D16" s="58" t="str">
        <x:v>CRITICAL</x:v>
      </x:c>
      <x:c r="E16" s="58" t="str">
        <x:v>YES</x:v>
      </x:c>
      <x:c r="F16" s="58" t="str">
        <x:v>NOT_EVALUATED</x:v>
      </x:c>
      <x:c r="G16" s="58" t="str">
        <x:v>PASS</x:v>
      </x:c>
      <x:c r="H16" s="58" t="str">
        <x:v>SYNTHETIC_REHEARSAL</x:v>
      </x:c>
      <x:c r="I16" s="58" t="str">
        <x:v>SIGNED_REHEARSAL</x:v>
      </x:c>
      <x:c r="J16" s="58" t="str">
        <x:v>SECURITY</x:v>
      </x:c>
      <x:c r="K16" s="58" t="str">
        <x:v>SECURITY_OFFICER</x:v>
      </x:c>
      <x:c r="L16" s="58" t="str">
        <x:v>Denials are proven against the request path with OPA enforcing, not against in-process entitlement computation.</x:v>
      </x:c>
    </x:row>
    <x:row r="17">
      <x:c r="A17" s="58" t="str">
        <x:v>OFFLINE_CANDIDATE__TO__SHADOW_READY</x:v>
      </x:c>
      <x:c r="B17" s="58" t="str">
        <x:v>supply-chain-clean</x:v>
      </x:c>
      <x:c r="C17" s="58" t="str">
        <x:v>Container image signed, SBOM published, zero unresolved CRITICAL/HIGH findings.</x:v>
      </x:c>
      <x:c r="D17" s="58" t="str">
        <x:v>HIGH</x:v>
      </x:c>
      <x:c r="E17" s="58" t="str">
        <x:v>YES</x:v>
      </x:c>
      <x:c r="F17" s="58" t="str">
        <x:v>NOT_EVALUATED</x:v>
      </x:c>
      <x:c r="G17" s="58" t="str">
        <x:v>PASS</x:v>
      </x:c>
      <x:c r="H17" s="58" t="str">
        <x:v>SYNTHETIC_REHEARSAL</x:v>
      </x:c>
      <x:c r="I17" s="58" t="str">
        <x:v>SIGNED_REHEARSAL</x:v>
      </x:c>
      <x:c r="J17" s="58" t="str">
        <x:v>PLATFORM_ENGINEERING</x:v>
      </x:c>
      <x:c r="K17" s="58" t="str">
        <x:v>SECURITY_OFFICER</x:v>
      </x:c>
      <x:c r="L17" s="58" t="str">
        <x:v>CI publishes a cosign signature and SBOM for the released digest and Trivy reports zero unresolved CRITICAL/HIGH.</x:v>
      </x:c>
    </x:row>
    <x:row r="18">
      <x:c r="A18" s="58" t="str">
        <x:v>OFFLINE_CANDIDATE__TO__SHADOW_READY</x:v>
      </x:c>
      <x:c r="B18" s="58" t="str">
        <x:v>feasibility-gates-block-selection</x:v>
      </x:c>
      <x:c r="C18" s="58" t="str">
        <x:v>A failed material feasibility gate removes a solution from selection; an unknown one downgrades it to discovery.</x:v>
      </x:c>
      <x:c r="D18" s="58" t="str">
        <x:v>STANDARD</x:v>
      </x:c>
      <x:c r="E18" s="58" t="str">
        <x:v>YES</x:v>
      </x:c>
      <x:c r="F18" s="58" t="str">
        <x:v>NOT_EVALUATED</x:v>
      </x:c>
      <x:c r="G18" s="58" t="str">
        <x:v>PASS</x:v>
      </x:c>
      <x:c r="H18" s="58" t="str">
        <x:v>SYNTHETIC_REHEARSAL</x:v>
      </x:c>
      <x:c r="I18" s="58" t="str">
        <x:v>SIGNED_REHEARSAL</x:v>
      </x:c>
      <x:c r="J18" s="58" t="str">
        <x:v>DATA_SCIENCE</x:v>
      </x:c>
      <x:c r="K18" s="58" t="str">
        <x:v>PRODUCT_OWNER</x:v>
      </x:c>
      <x:c r="L18" s="58" t="str">
        <x:v>The rule is exercised against real client feasibility data rather than the fixture.</x:v>
      </x:c>
    </x:row>
    <x:row r="19">
      <x:c r="A19" s="58" t="str">
        <x:v>SHADOW_READY__TO__PILOT_READY</x:v>
      </x:c>
      <x:c r="B19" s="58" t="str">
        <x:v>elapsed-clean-shadow-days</x:v>
      </x:c>
      <x:c r="C19" s="58" t="str">
        <x:v>Thirty consecutive calendar days of shadow operation with no critical incident, measured in elapsed bank time.</x:v>
      </x:c>
      <x:c r="D19" s="58" t="str">
        <x:v>CRITICAL</x:v>
      </x:c>
      <x:c r="E19" s="58" t="str">
        <x:v>YES</x:v>
      </x:c>
      <x:c r="F19" s="58" t="str">
        <x:v>NOT_EVALUATED</x:v>
      </x:c>
      <x:c r="G19" s="58" t="str">
        <x:v>PASS</x:v>
      </x:c>
      <x:c r="H19" s="58" t="str">
        <x:v>SYNTHETIC_REHEARSAL</x:v>
      </x:c>
      <x:c r="I19" s="58" t="str">
        <x:v>SIGNED_REHEARSAL</x:v>
      </x:c>
      <x:c r="J19" s="58" t="str">
        <x:v>PRODUCTION_OPERATIONS</x:v>
      </x:c>
      <x:c r="K19" s="58" t="str">
        <x:v>HEAD_OF_OPERATIONS</x:v>
      </x:c>
      <x:c r="L19" s="58" t="str">
        <x:v>The bank runs the system in shadow for thirty consecutive clean calendar days. No rehearsal can substitute; this gate is why elapsed_bank_shadow_days is published beside every rehearsal count.</x:v>
      </x:c>
    </x:row>
    <x:row r="20">
      <x:c r="A20" s="58" t="str">
        <x:v>SHADOW_READY__TO__PILOT_READY</x:v>
      </x:c>
      <x:c r="B20" s="58" t="str">
        <x:v>service-availability</x:v>
      </x:c>
      <x:c r="C20" s="58" t="str">
        <x:v>Measured availability ≥ 0.999 over the shadow period.</x:v>
      </x:c>
      <x:c r="D20" s="58" t="str">
        <x:v>HIGH</x:v>
      </x:c>
      <x:c r="E20" s="58" t="str">
        <x:v>YES</x:v>
      </x:c>
      <x:c r="F20" s="58" t="str">
        <x:v>NOT_EVALUATED</x:v>
      </x:c>
      <x:c r="G20" s="58" t="str">
        <x:v>PASS</x:v>
      </x:c>
      <x:c r="H20" s="58" t="str">
        <x:v>SYNTHETIC_REHEARSAL</x:v>
      </x:c>
      <x:c r="I20" s="58" t="str">
        <x:v>SIGNED_REHEARSAL</x:v>
      </x:c>
      <x:c r="J20" s="58" t="str">
        <x:v>PRODUCTION_OPERATIONS</x:v>
      </x:c>
      <x:c r="K20" s="58" t="str">
        <x:v>HEAD_OF_OPERATIONS</x:v>
      </x:c>
      <x:c r="L20" s="58" t="str">
        <x:v>Availability is measured from bank monitoring over the elapsed shadow window.</x:v>
      </x:c>
    </x:row>
    <x:row r="21">
      <x:c r="A21" s="58" t="str">
        <x:v>SHADOW_READY__TO__PILOT_READY</x:v>
      </x:c>
      <x:c r="B21" s="58" t="str">
        <x:v>read-latency-p95</x:v>
      </x:c>
      <x:c r="C21" s="58" t="str">
        <x:v>p95 read latency &lt; 750 ms under bank load.</x:v>
      </x:c>
      <x:c r="D21" s="58" t="str">
        <x:v>STANDARD</x:v>
      </x:c>
      <x:c r="E21" s="58" t="str">
        <x:v>YES</x:v>
      </x:c>
      <x:c r="F21" s="58" t="str">
        <x:v>NOT_EVALUATED</x:v>
      </x:c>
      <x:c r="G21" s="58" t="str">
        <x:v>PASS</x:v>
      </x:c>
      <x:c r="H21" s="58" t="str">
        <x:v>SYNTHETIC_REHEARSAL</x:v>
      </x:c>
      <x:c r="I21" s="58" t="str">
        <x:v>SIGNED_REHEARSAL</x:v>
      </x:c>
      <x:c r="J21" s="58" t="str">
        <x:v>PLATFORM_ENGINEERING</x:v>
      </x:c>
      <x:c r="K21" s="58" t="str">
        <x:v>HEAD_OF_OPERATIONS</x:v>
      </x:c>
      <x:c r="L21" s="58" t="str">
        <x:v>p95 is measured on bank infrastructure under production-shaped load, not on the build machine.</x:v>
      </x:c>
    </x:row>
    <x:row r="22">
      <x:c r="A22" s="58" t="str">
        <x:v>SHADOW_READY__TO__PILOT_READY</x:v>
      </x:c>
      <x:c r="B22" s="58" t="str">
        <x:v>event-latency</x:v>
      </x:c>
      <x:c r="C22" s="58" t="str">
        <x:v>Domain events reach consumers in under 300 seconds.</x:v>
      </x:c>
      <x:c r="D22" s="58" t="str">
        <x:v>STANDARD</x:v>
      </x:c>
      <x:c r="E22" s="58" t="str">
        <x:v>YES</x:v>
      </x:c>
      <x:c r="F22" s="58" t="str">
        <x:v>NOT_EVALUATED</x:v>
      </x:c>
      <x:c r="G22" s="58" t="str">
        <x:v>PASS</x:v>
      </x:c>
      <x:c r="H22" s="58" t="str">
        <x:v>SYNTHETIC_REHEARSAL</x:v>
      </x:c>
      <x:c r="I22" s="58" t="str">
        <x:v>SIGNED_REHEARSAL</x:v>
      </x:c>
      <x:c r="J22" s="58" t="str">
        <x:v>PLATFORM_ENGINEERING</x:v>
      </x:c>
      <x:c r="K22" s="58" t="str">
        <x:v>HEAD_OF_OPERATIONS</x:v>
      </x:c>
      <x:c r="L22" s="58" t="str">
        <x:v>Latency is measured across the bank's actual broker.</x:v>
      </x:c>
    </x:row>
    <x:row r="23">
      <x:c r="A23" s="58" t="str">
        <x:v>SHADOW_READY__TO__PILOT_READY</x:v>
      </x:c>
      <x:c r="B23" s="58" t="str">
        <x:v>refresh-by-0600-sast</x:v>
      </x:c>
      <x:c r="C23" s="58" t="str">
        <x:v>The overnight refresh completes before 06:00 SAST.</x:v>
      </x:c>
      <x:c r="D23" s="58" t="str">
        <x:v>STANDARD</x:v>
      </x:c>
      <x:c r="E23" s="58" t="str">
        <x:v>YES</x:v>
      </x:c>
      <x:c r="F23" s="58" t="str">
        <x:v>NOT_EVALUATED</x:v>
      </x:c>
      <x:c r="G23" s="58" t="str">
        <x:v>PASS</x:v>
      </x:c>
      <x:c r="H23" s="58" t="str">
        <x:v>SYNTHETIC_REHEARSAL</x:v>
      </x:c>
      <x:c r="I23" s="58" t="str">
        <x:v>SIGNED_REHEARSAL</x:v>
      </x:c>
      <x:c r="J23" s="58" t="str">
        <x:v>PRODUCTION_OPERATIONS</x:v>
      </x:c>
      <x:c r="K23" s="58" t="str">
        <x:v>HEAD_OF_OPERATIONS</x:v>
      </x:c>
      <x:c r="L23" s="58" t="str">
        <x:v>Completion time is observed over the elapsed shadow window.</x:v>
      </x:c>
    </x:row>
    <x:row r="24">
      <x:c r="A24" s="58" t="str">
        <x:v>SHADOW_READY__TO__PILOT_READY</x:v>
      </x:c>
      <x:c r="B24" s="58" t="str">
        <x:v>no-unresolved-sev1-sev2</x:v>
      </x:c>
      <x:c r="C24" s="58" t="str">
        <x:v>Zero unresolved Sev-1/Sev-2 at the promotion decision point.</x:v>
      </x:c>
      <x:c r="D24" s="58" t="str">
        <x:v>CRITICAL</x:v>
      </x:c>
      <x:c r="E24" s="58" t="str">
        <x:v>YES</x:v>
      </x:c>
      <x:c r="F24" s="58" t="str">
        <x:v>NOT_EVALUATED</x:v>
      </x:c>
      <x:c r="G24" s="58" t="str">
        <x:v>PASS</x:v>
      </x:c>
      <x:c r="H24" s="58" t="str">
        <x:v>SYNTHETIC_REHEARSAL</x:v>
      </x:c>
      <x:c r="I24" s="58" t="str">
        <x:v>SIGNED_REHEARSAL</x:v>
      </x:c>
      <x:c r="J24" s="58" t="str">
        <x:v>PRODUCTION_OPERATIONS</x:v>
      </x:c>
      <x:c r="K24" s="58" t="str">
        <x:v>HEAD_OF_OPERATIONS</x:v>
      </x:c>
      <x:c r="L24" s="58" t="str">
        <x:v>The bank incident register shows none open against this system.</x:v>
      </x:c>
    </x:row>
    <x:row r="25">
      <x:c r="A25" s="58" t="str">
        <x:v>SHADOW_READY__TO__PILOT_READY</x:v>
      </x:c>
      <x:c r="B25" s="58" t="str">
        <x:v>model-risk-approval</x:v>
      </x:c>
      <x:c r="C25" s="58" t="str">
        <x:v>Model risk management approves the model card, limitations and monitoring plan.</x:v>
      </x:c>
      <x:c r="D25" s="58" t="str">
        <x:v>CRITICAL</x:v>
      </x:c>
      <x:c r="E25" s="58" t="str">
        <x:v>YES</x:v>
      </x:c>
      <x:c r="F25" s="58" t="str">
        <x:v>NOT_EVALUATED</x:v>
      </x:c>
      <x:c r="G25" s="58" t="str">
        <x:v>PASS</x:v>
      </x:c>
      <x:c r="H25" s="58" t="str">
        <x:v>SYNTHETIC_REHEARSAL</x:v>
      </x:c>
      <x:c r="I25" s="58" t="str">
        <x:v>SIGNED_REHEARSAL</x:v>
      </x:c>
      <x:c r="J25" s="58" t="str">
        <x:v>MODEL_RISK</x:v>
      </x:c>
      <x:c r="K25" s="58" t="str">
        <x:v>CHIEF_RISK_OFFICER</x:v>
      </x:c>
      <x:c r="L25" s="58" t="str">
        <x:v>Model risk reviews the V3.2 model card and records an approval with a named accountable owner.</x:v>
      </x:c>
    </x:row>
    <x:row r="26">
      <x:c r="A26" s="58" t="str">
        <x:v>SHADOW_READY__TO__PILOT_READY</x:v>
      </x:c>
      <x:c r="B26" s="58" t="str">
        <x:v>selected-critical-path-evidence-complete</x:v>
      </x:c>
      <x:c r="C26" s="58" t="str">
        <x:v>Every selected opportunity has approved support for every fact on the path from signal to proposed action.</x:v>
      </x:c>
      <x:c r="D26" s="58" t="str">
        <x:v>CRITICAL</x:v>
      </x:c>
      <x:c r="E26" s="58" t="str">
        <x:v>YES</x:v>
      </x:c>
      <x:c r="F26" s="58" t="str">
        <x:v>NOT_EVALUATED</x:v>
      </x:c>
      <x:c r="G26" s="58" t="str">
        <x:v>PASS</x:v>
      </x:c>
      <x:c r="H26" s="58" t="str">
        <x:v>SYNTHETIC_REHEARSAL</x:v>
      </x:c>
      <x:c r="I26" s="58" t="str">
        <x:v>SIGNED_REHEARSAL</x:v>
      </x:c>
      <x:c r="J26" s="58" t="str">
        <x:v>EVIDENCE_GOVERNANCE</x:v>
      </x:c>
      <x:c r="K26" s="58" t="str">
        <x:v>FINANCE_CONTROLLER</x:v>
      </x:c>
      <x:c r="L26" s="58" t="str">
        <x:v>The selected plan reports 100% critical-path coverage after independent review; fact counts alone do not satisfy this gate.</x:v>
      </x:c>
    </x:row>
    <x:row r="27">
      <x:c r="A27" s="58" t="str">
        <x:v>SHADOW_READY__TO__PILOT_READY</x:v>
      </x:c>
      <x:c r="B27" s="58" t="str">
        <x:v>selected-value-e2-coverage</x:v>
      </x:c>
      <x:c r="C27" s="58" t="str">
        <x:v>The value-weighted evidence coverage of the selected portfolio is at least 0.80 using approved E2, E3 or E4 evidence.</x:v>
      </x:c>
      <x:c r="D27" s="58" t="str">
        <x:v>HIGH</x:v>
      </x:c>
      <x:c r="E27" s="58" t="str">
        <x:v>YES</x:v>
      </x:c>
      <x:c r="F27" s="58" t="str">
        <x:v>NOT_EVALUATED</x:v>
      </x:c>
      <x:c r="G27" s="58" t="str">
        <x:v>PASS</x:v>
      </x:c>
      <x:c r="H27" s="58" t="str">
        <x:v>SYNTHETIC_REHEARSAL</x:v>
      </x:c>
      <x:c r="I27" s="58" t="str">
        <x:v>SIGNED_REHEARSAL</x:v>
      </x:c>
      <x:c r="J27" s="58" t="str">
        <x:v>EVIDENCE_GOVERNANCE</x:v>
      </x:c>
      <x:c r="K27" s="58" t="str">
        <x:v>MODEL_RISK</x:v>
      </x:c>
      <x:c r="L27" s="58" t="str">
        <x:v>The point-in-time selected portfolio is recomputed and its E2-or-better supported value share is independently attested at or above 80%.</x:v>
      </x:c>
    </x:row>
    <x:row r="28">
      <x:c r="A28" s="58" t="str">
        <x:v>SHADOW_READY__TO__PILOT_READY</x:v>
      </x:c>
      <x:c r="B28" s="58" t="str">
        <x:v>genai-bank-approved</x:v>
      </x:c>
      <x:c r="C28" s="58" t="str">
        <x:v>Provider, model, endpoint, residency, retention, contract, credential boundary and sealed evaluation are approved.</x:v>
      </x:c>
      <x:c r="D28" s="58" t="str">
        <x:v>HIGH</x:v>
      </x:c>
      <x:c r="E28" s="58" t="str">
        <x:v>NO</x:v>
      </x:c>
      <x:c r="F28" s="58" t="str">
        <x:v>NOT_EVALUATED</x:v>
      </x:c>
      <x:c r="G28" s="58" t="str">
        <x:v>PASS</x:v>
      </x:c>
      <x:c r="H28" s="58" t="str">
        <x:v>SYNTHETIC_REHEARSAL</x:v>
      </x:c>
      <x:c r="I28" s="58" t="str">
        <x:v>SIGNED_REHEARSAL</x:v>
      </x:c>
      <x:c r="J28" s="58" t="str">
        <x:v>THIRD_PARTY_RISK</x:v>
      </x:c>
      <x:c r="K28" s="58" t="str">
        <x:v>CHIEF_RISK_OFFICER</x:v>
      </x:c>
      <x:c r="L28" s="58" t="str">
        <x:v>The bank records provider, privacy, residency, retention and model-version approval. If absent, deterministic narration remains the only permitted path.</x:v>
      </x:c>
    </x:row>
    <x:row r="29">
      <x:c r="A29" s="58" t="str">
        <x:v>SHADOW_READY__TO__PILOT_READY</x:v>
      </x:c>
      <x:c r="B29" s="58" t="str">
        <x:v>rm-pilot-protocol-approved</x:v>
      </x:c>
      <x:c r="C29" s="58" t="str">
        <x:v>A named cohort, consent basis, training, support, exclusions and incident protocol are approved before exposure.</x:v>
      </x:c>
      <x:c r="D29" s="58" t="str">
        <x:v>CRITICAL</x:v>
      </x:c>
      <x:c r="E29" s="58" t="str">
        <x:v>YES</x:v>
      </x:c>
      <x:c r="F29" s="58" t="str">
        <x:v>NOT_EVALUATED</x:v>
      </x:c>
      <x:c r="G29" s="58" t="str">
        <x:v>PASS</x:v>
      </x:c>
      <x:c r="H29" s="58" t="str">
        <x:v>SYNTHETIC_REHEARSAL</x:v>
      </x:c>
      <x:c r="I29" s="58" t="str">
        <x:v>SIGNED_REHEARSAL</x:v>
      </x:c>
      <x:c r="J29" s="58" t="str">
        <x:v>COMMERCIAL_BANKING</x:v>
      </x:c>
      <x:c r="K29" s="58" t="str">
        <x:v>HEAD_OF_COVERAGE</x:v>
      </x:c>
      <x:c r="L29" s="58" t="str">
        <x:v>Business, Risk and Operations approve the cohort and protocol, with no automated client contact, pricing, credit or booking.</x:v>
      </x:c>
    </x:row>
    <x:row r="30">
      <x:c r="A30" s="58" t="str">
        <x:v>PILOT_READY__TO__SCALE_READY</x:v>
      </x:c>
      <x:c r="B30" s="58" t="str">
        <x:v>supervised-pilot-completed</x:v>
      </x:c>
      <x:c r="C30" s="58" t="str">
        <x:v>A named RM cohort completes at least five real supervised sessions each, with recorded outcomes.</x:v>
      </x:c>
      <x:c r="D30" s="58" t="str">
        <x:v>CRITICAL</x:v>
      </x:c>
      <x:c r="E30" s="58" t="str">
        <x:v>YES</x:v>
      </x:c>
      <x:c r="F30" s="58" t="str">
        <x:v>NOT_EVALUATED</x:v>
      </x:c>
      <x:c r="G30" s="58" t="str">
        <x:v>PASS</x:v>
      </x:c>
      <x:c r="H30" s="58" t="str">
        <x:v>SYNTHETIC_REHEARSAL</x:v>
      </x:c>
      <x:c r="I30" s="58" t="str">
        <x:v>SIGNED_REHEARSAL</x:v>
      </x:c>
      <x:c r="J30" s="58" t="str">
        <x:v>COMMERCIAL_BANKING</x:v>
      </x:c>
      <x:c r="K30" s="58" t="str">
        <x:v>HEAD_OF_COVERAGE</x:v>
      </x:c>
      <x:c r="L30" s="58" t="str">
        <x:v>Real RMs run real client sessions. Fixture persona sessions carry real_participant=False by construction and can never satisfy this.</x:v>
      </x:c>
    </x:row>
    <x:row r="31">
      <x:c r="A31" s="58" t="str">
        <x:v>PILOT_READY__TO__SCALE_READY</x:v>
      </x:c>
      <x:c r="B31" s="58" t="str">
        <x:v>bank-approved-economics-registered</x:v>
      </x:c>
      <x:c r="C31" s="58" t="str">
        <x:v>Every monetised value traces to a bank-approved, in-date rate card.</x:v>
      </x:c>
      <x:c r="D31" s="58" t="str">
        <x:v>CRITICAL</x:v>
      </x:c>
      <x:c r="E31" s="58" t="str">
        <x:v>YES</x:v>
      </x:c>
      <x:c r="F31" s="58" t="str">
        <x:v>NOT_EVALUATED</x:v>
      </x:c>
      <x:c r="G31" s="58" t="str">
        <x:v>PASS</x:v>
      </x:c>
      <x:c r="H31" s="58" t="str">
        <x:v>SYNTHETIC_REHEARSAL</x:v>
      </x:c>
      <x:c r="I31" s="58" t="str">
        <x:v>SIGNED_REHEARSAL</x:v>
      </x:c>
      <x:c r="J31" s="58" t="str">
        <x:v>PRODUCT_FINANCE</x:v>
      </x:c>
      <x:c r="K31" s="58" t="str">
        <x:v>FINANCE_CONTROLLER</x:v>
      </x:c>
      <x:c r="L31" s="58" t="str">
        <x:v>Product finance approves rate cards covering every product in the grid and registers them with expiry dates.</x:v>
      </x:c>
    </x:row>
    <x:row r="32">
      <x:c r="A32" s="58" t="str">
        <x:v>PILOT_READY__TO__SCALE_READY</x:v>
      </x:c>
      <x:c r="B32" s="58" t="str">
        <x:v>rollback-restores-prior-state</x:v>
      </x:c>
      <x:c r="C32" s="58" t="str">
        <x:v>A rehearsed rollback restores the previous model alias and its outputs exactly.</x:v>
      </x:c>
      <x:c r="D32" s="58" t="str">
        <x:v>HIGH</x:v>
      </x:c>
      <x:c r="E32" s="58" t="str">
        <x:v>YES</x:v>
      </x:c>
      <x:c r="F32" s="58" t="str">
        <x:v>NOT_EVALUATED</x:v>
      </x:c>
      <x:c r="G32" s="58" t="str">
        <x:v>PASS</x:v>
      </x:c>
      <x:c r="H32" s="58" t="str">
        <x:v>SYNTHETIC_REHEARSAL</x:v>
      </x:c>
      <x:c r="I32" s="58" t="str">
        <x:v>SIGNED_REHEARSAL</x:v>
      </x:c>
      <x:c r="J32" s="58" t="str">
        <x:v>PLATFORM_ENGINEERING</x:v>
      </x:c>
      <x:c r="K32" s="58" t="str">
        <x:v>HEAD_OF_OPERATIONS</x:v>
      </x:c>
      <x:c r="L32" s="58" t="str">
        <x:v>A rollback is exercised in the bank environment and the restored outputs are compared digest-for-digest.</x:v>
      </x:c>
    </x:row>
    <x:row r="33">
      <x:c r="A33" s="58" t="str">
        <x:v>PILOT_READY__TO__SCALE_READY</x:v>
      </x:c>
      <x:c r="B33" s="58" t="str">
        <x:v>e3-multibank-observation-approved</x:v>
      </x:c>
      <x:c r="C33" s="58" t="str">
        <x:v>An approved panel provides multibank observation sufficient to identify competitor share.</x:v>
      </x:c>
      <x:c r="D33" s="58" t="str">
        <x:v>HIGH</x:v>
      </x:c>
      <x:c r="E33" s="58" t="str">
        <x:v>NO</x:v>
      </x:c>
      <x:c r="F33" s="58" t="str">
        <x:v>NOT_EVALUATED</x:v>
      </x:c>
      <x:c r="G33" s="58" t="str">
        <x:v>PASS</x:v>
      </x:c>
      <x:c r="H33" s="58" t="str">
        <x:v>SYNTHETIC_REHEARSAL</x:v>
      </x:c>
      <x:c r="I33" s="58" t="str">
        <x:v>SIGNED_REHEARSAL</x:v>
      </x:c>
      <x:c r="J33" s="58" t="str">
        <x:v>DATA_STRATEGY</x:v>
      </x:c>
      <x:c r="K33" s="58" t="str">
        <x:v>CHIEF_DATA_OFFICER</x:v>
      </x:c>
      <x:c r="L33" s="58" t="str">
        <x:v>A multibank data source is contracted, approved and calibrated. Until then MEASURED_SHARE_REPORTING stays refused — this gate does not block hidden shadow scoring, which needs no share measurement.</x:v>
      </x:c>
    </x:row>
    <x:row r="34">
      <x:c r="A34" s="58" t="str">
        <x:v>PILOT_READY__TO__SCALE_READY</x:v>
      </x:c>
      <x:c r="B34" s="58" t="str">
        <x:v>pilot-findings-remediated</x:v>
      </x:c>
      <x:c r="C34" s="58" t="str">
        <x:v>Every critical or high pilot finding is closed or carries an accountable, time-bound accepted risk decision.</x:v>
      </x:c>
      <x:c r="D34" s="58" t="str">
        <x:v>CRITICAL</x:v>
      </x:c>
      <x:c r="E34" s="58" t="str">
        <x:v>YES</x:v>
      </x:c>
      <x:c r="F34" s="58" t="str">
        <x:v>NOT_EVALUATED</x:v>
      </x:c>
      <x:c r="G34" s="58" t="str">
        <x:v>PASS</x:v>
      </x:c>
      <x:c r="H34" s="58" t="str">
        <x:v>SYNTHETIC_REHEARSAL</x:v>
      </x:c>
      <x:c r="I34" s="58" t="str">
        <x:v>SIGNED_REHEARSAL</x:v>
      </x:c>
      <x:c r="J34" s="58" t="str">
        <x:v>PRODUCT_OWNER</x:v>
      </x:c>
      <x:c r="K34" s="58" t="str">
        <x:v>MODEL_RISK</x:v>
      </x:c>
      <x:c r="L34" s="58" t="str">
        <x:v>The pilot issue register is reconciled to zero unresolved critical/high findings and the closure is independently checked.</x:v>
      </x:c>
    </x:row>
    <x:row r="35">
      <x:c r="A35" s="58" t="str">
        <x:v>PILOT_READY__TO__SCALE_READY</x:v>
      </x:c>
      <x:c r="B35" s="58" t="str">
        <x:v>scale-operating-model-approved</x:v>
      </x:c>
      <x:c r="C35" s="58" t="str">
        <x:v>On-call ownership, change controls, incident response, capacity, disaster recovery and rollback are approved for controlled scale.</x:v>
      </x:c>
      <x:c r="D35" s="58" t="str">
        <x:v>CRITICAL</x:v>
      </x:c>
      <x:c r="E35" s="58" t="str">
        <x:v>YES</x:v>
      </x:c>
      <x:c r="F35" s="58" t="str">
        <x:v>NOT_EVALUATED</x:v>
      </x:c>
      <x:c r="G35" s="58" t="str">
        <x:v>PASS</x:v>
      </x:c>
      <x:c r="H35" s="58" t="str">
        <x:v>SYNTHETIC_REHEARSAL</x:v>
      </x:c>
      <x:c r="I35" s="58" t="str">
        <x:v>SIGNED_REHEARSAL</x:v>
      </x:c>
      <x:c r="J35" s="58" t="str">
        <x:v>PRODUCTION_OPERATIONS</x:v>
      </x:c>
      <x:c r="K35" s="58" t="str">
        <x:v>HEAD_OF_OPERATIONS</x:v>
      </x:c>
      <x:c r="L35" s="58" t="str">
        <x:v>Operations, Security and Business approve the runbook and independently observe a production-shaped restore, failover and rollback test.</x:v>
      </x:c>
    </x:row>
    <x:row r="36">
      <x:c r="A36" s="58" t="str">
        <x:v>SCALE_READY__TO__CAUSAL_CHAMPION</x:v>
      </x:c>
      <x:c r="B36" s="58" t="str">
        <x:v>randomised-trial-validated</x:v>
      </x:c>
      <x:c r="C36" s="58" t="str">
        <x:v>A pre-registered cluster-randomised trial reports an ITT effect with cluster-robust inference and randomization-inference confirmation.</x:v>
      </x:c>
      <x:c r="D36" s="58" t="str">
        <x:v>CRITICAL</x:v>
      </x:c>
      <x:c r="E36" s="58" t="str">
        <x:v>YES</x:v>
      </x:c>
      <x:c r="F36" s="58" t="str">
        <x:v>NOT_EVALUATED</x:v>
      </x:c>
      <x:c r="G36" s="58" t="str">
        <x:v>PASS</x:v>
      </x:c>
      <x:c r="H36" s="58" t="str">
        <x:v>SYNTHETIC_REHEARSAL</x:v>
      </x:c>
      <x:c r="I36" s="58" t="str">
        <x:v>SIGNED_REHEARSAL</x:v>
      </x:c>
      <x:c r="J36" s="58" t="str">
        <x:v>DATA_SCIENCE</x:v>
      </x:c>
      <x:c r="K36" s="58" t="str">
        <x:v>CHIEF_RISK_OFFICER</x:v>
      </x:c>
      <x:c r="L36" s="58" t="str">
        <x:v>The bank runs a pre-registered cluster-randomised trial to its planned sample size and the analysis is independently reviewed.</x:v>
      </x:c>
    </x:row>
    <x:row r="37">
      <x:c r="A37" s="58" t="str">
        <x:v>SCALE_READY__TO__CAUSAL_CHAMPION</x:v>
      </x:c>
      <x:c r="B37" s="58" t="str">
        <x:v>trial-first-stage-strength-adequate</x:v>
      </x:c>
      <x:c r="C37" s="58" t="str">
        <x:v>First-stage compliance strength is at or above 0.10.</x:v>
      </x:c>
      <x:c r="D37" s="58" t="str">
        <x:v>CRITICAL</x:v>
      </x:c>
      <x:c r="E37" s="58" t="str">
        <x:v>YES</x:v>
      </x:c>
      <x:c r="F37" s="58" t="str">
        <x:v>NOT_EVALUATED</x:v>
      </x:c>
      <x:c r="G37" s="58" t="str">
        <x:v>PASS</x:v>
      </x:c>
      <x:c r="H37" s="58" t="str">
        <x:v>SYNTHETIC_REHEARSAL</x:v>
      </x:c>
      <x:c r="I37" s="58" t="str">
        <x:v>SIGNED_REHEARSAL</x:v>
      </x:c>
      <x:c r="J37" s="58" t="str">
        <x:v>DATA_SCIENCE</x:v>
      </x:c>
      <x:c r="K37" s="58" t="str">
        <x:v>MODEL_RISK</x:v>
      </x:c>
      <x:c r="L37" s="58" t="str">
        <x:v>Observed compliance in the trial reaches the pre-registered strength threshold. If it does not, the honest outcome is a null result and the system stays SCALE_READY.</x:v>
      </x:c>
    </x:row>
    <x:row r="38">
      <x:c r="A38" s="58" t="str">
        <x:v>SCALE_READY__TO__CAUSAL_CHAMPION</x:v>
      </x:c>
      <x:c r="B38" s="58" t="str">
        <x:v>sustained-adoption</x:v>
      </x:c>
      <x:c r="C38" s="58" t="str">
        <x:v>The RM cohort sustains use beyond the supervised period without prompting.</x:v>
      </x:c>
      <x:c r="D38" s="58" t="str">
        <x:v>HIGH</x:v>
      </x:c>
      <x:c r="E38" s="58" t="str">
        <x:v>YES</x:v>
      </x:c>
      <x:c r="F38" s="58" t="str">
        <x:v>NOT_EVALUATED</x:v>
      </x:c>
      <x:c r="G38" s="58" t="str">
        <x:v>PASS</x:v>
      </x:c>
      <x:c r="H38" s="58" t="str">
        <x:v>SYNTHETIC_REHEARSAL</x:v>
      </x:c>
      <x:c r="I38" s="58" t="str">
        <x:v>SIGNED_REHEARSAL</x:v>
      </x:c>
      <x:c r="J38" s="58" t="str">
        <x:v>COMMERCIAL_BANKING</x:v>
      </x:c>
      <x:c r="K38" s="58" t="str">
        <x:v>HEAD_OF_COVERAGE</x:v>
      </x:c>
      <x:c r="L38" s="58" t="str">
        <x:v>Adoption is measured from real RM sessions over a sustained window.</x:v>
      </x:c>
    </x:row>
  </x:sheetData>
  <x:mergeCells>
    <x:mergeCell ref="A1:L1"/>
    <x:mergeCell ref="A2:L2"/>
  </x:mergeCells>
  <x:conditionalFormatting sqref="F9:F38">
    <x:cfRule type="containsText" dxfId="6" priority="1" operator="containsText" text="PASS"/>
  </x:conditionalFormatting>
  <x:conditionalFormatting sqref="G9:G38">
    <x:cfRule type="containsText" dxfId="7" priority="2" operator="containsText" text="PASS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V3.2 Register Control Checks</x:v>
      </x:c>
      <x:c r="B1" s="3"/>
      <x:c r="C1" s="3"/>
      <x:c r="D1" s="3"/>
      <x:c r="E1" s="3"/>
      <x:c r="F1" s="3"/>
    </x:row>
    <x:row r="2" ht="26" customHeight="1">
      <x:c r="A2" s="7" t="str">
        <x:v>Workbook checks validate artifact integrity; they do not authorize bank promotion.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  <x:row r="20">
      <x:c r="A20" s="58" t="str">
        <x:v>Promotion gate count</x:v>
      </x:c>
      <x:c r="B20" s="58" t="n">
        <x:v>30</x:v>
      </x:c>
      <x:c r="C20" s="58" t="n">
        <x:f>COUNTA('Promotion Readiness'!B9:B200)</x:f>
        <x:v>30</x:v>
      </x:c>
      <x:c r="D20" s="58" t="str">
        <x:f>IF(ABS(C20-B20)&lt;0.0001,"PASS","FAIL")</x:f>
        <x:v>PASS</x:v>
      </x:c>
      <x:c r="E20" s="58" t="str">
        <x:v>Every governed promotion gate is visible</x:v>
      </x:c>
      <x:c r="F20" s="58" t="str">
        <x:v>Model risk</x:v>
      </x:c>
    </x:row>
    <x:row r="21">
      <x:c r="A21" s="58" t="str">
        <x:v>Elapsed bank shadow days</x:v>
      </x:c>
      <x:c r="B21" s="58" t="n">
        <x:v>0</x:v>
      </x:c>
      <x:c r="C21" s="58" t="n">
        <x:f>'Promotion Readiness'!G5</x:f>
        <x:v>0</x:v>
      </x:c>
      <x:c r="D21" s="58" t="str">
        <x:f>IF(ABS(C21-B21)&lt;0.0001,"PASS","FAIL")</x:f>
        <x:v>PASS</x:v>
      </x:c>
      <x:c r="E21" s="58" t="str">
        <x:v>Virtual time never becomes bank time</x:v>
      </x:c>
      <x:c r="F21" s="58" t="str">
        <x:v>Operations</x:v>
      </x:c>
    </x:row>
    <x:row r="22">
      <x:c r="A22" s="58" t="str">
        <x:v>Bank evidence readiness</x:v>
      </x:c>
      <x:c r="B22" s="58" t="n">
        <x:v>0</x:v>
      </x:c>
      <x:c r="C22" s="58" t="n">
        <x:f>'Promotion Readiness'!E5</x:f>
        <x:v>0</x:v>
      </x:c>
      <x:c r="D22" s="58" t="str">
        <x:f>IF(ABS(C22-B22)&lt;0.0001,"PASS","FAIL")</x:f>
        <x:v>PASS</x:v>
      </x:c>
      <x:c r="E22" s="58" t="str">
        <x:v>Synthetic evidence contributes zero to BER</x:v>
      </x:c>
      <x:c r="F22" s="58" t="str">
        <x:v>Model risk</x:v>
      </x:c>
    </x:row>
  </x:sheetData>
  <x:mergeCells>
    <x:mergeCell ref="A1:F1"/>
    <x:mergeCell ref="A2:F2"/>
  </x:mergeCells>
  <x:conditionalFormatting sqref="D5:D22">
    <x:cfRule type="containsText" dxfId="8" priority="1" operator="containsText" text="PASS"/>
    <x:cfRule type="containsText" dxfId="9" priority="2" operator="containsText" text="FAIL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07c4c9558b554740"/>
</x:worksheet>
</file>