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bdd9b2a30645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3b38a84beae4d43"/>
    <x:sheet xmlns:r="http://schemas.openxmlformats.org/officeDocument/2006/relationships" name="Public Facts" sheetId="2" r:id="R2339a09ea6cc4302"/>
    <x:sheet xmlns:r="http://schemas.openxmlformats.org/officeDocument/2006/relationships" name="Derived Anchors" sheetId="3" r:id="R8d4f54404dc04a58"/>
    <x:sheet xmlns:r="http://schemas.openxmlformats.org/officeDocument/2006/relationships" name="Anchor Impact" sheetId="4" r:id="R358503e814384eb5"/>
    <x:sheet xmlns:r="http://schemas.openxmlformats.org/officeDocument/2006/relationships" name="Sensitivity" sheetId="5" r:id="R3632a5fed7654590"/>
    <x:sheet xmlns:r="http://schemas.openxmlformats.org/officeDocument/2006/relationships" name="Checks" sheetId="6" r:id="R8b3c8fefbcf84dc1"/>
    <x:sheet xmlns:r="http://schemas.openxmlformats.org/officeDocument/2006/relationships" name="Sources" sheetId="7" r:id="R4b1ff089b7454f30"/>
  </x:sheets>
</x:workbook>
</file>

<file path=xl/comments1.xml><?xml version="1.0" encoding="utf-8"?>
<x:comments xmlns:x="http://schemas.openxmlformats.org/spreadsheetml/2006/main">
  <x:authors>
    <x:author>tc={0E0ED47C-032D-EB99-39E8-ADDD93E73E29}</x:author>
    <x:author>tc={DB886048-5450-89F3-4558-2AEB5EE3A3C4}</x:author>
    <x:author>tc={06EFDF08-83D0-7C5F-2423-C624901B4524}</x:author>
    <x:author>tc={1C5E2C6C-95F9-D156-8A6F-9981CF63FB55}</x:author>
    <x:author>tc={9C49F667-0C0D-1467-8474-12C9B1C1F8C0}</x:author>
    <x:author>tc={97AD5A33-6340-D4C5-6B06-D964E8142E10}</x:author>
    <x:author>tc={C53D6CAB-5EB4-8D87-3145-8D7387A010D7}</x:author>
    <x:author>tc={E86B5524-BF8C-CAD7-5E8F-4C59F9EFB9E4}</x:author>
    <x:author>tc={98668A1C-AE86-9536-CDBD-680D2FD1B7AA}</x:author>
    <x:author>tc={40B69600-AD8A-DD1C-CF84-3EFD504DBEA3}</x:author>
    <x:author>tc={D6C2E088-C8BD-22D8-90A3-88F9A525A6D5}</x:author>
    <x:author>tc={1C526ADE-0AD0-4E9C-98BB-B10EEBB143F8}</x:author>
    <x:author>tc={7E2ADA20-8199-A92D-31E7-FB0C89A9333A}</x:author>
    <x:author>tc={B8297E7F-E889-5421-C15A-43B96518C427}</x:author>
    <x:author>tc={5E15FDDF-DA17-3FDC-8775-DA55CBE3A21A}</x:author>
    <x:author>tc={2FFE5070-FEF3-0D86-C586-E5D09E06FCD4}</x:author>
    <x:author>tc={29DDA293-8C10-AAB7-5080-A37956BCBC5E}</x:author>
    <x:author>tc={F8A91A3D-AE29-51B7-2501-2B5FF0EE5246}</x:author>
    <x:author>tc={75BF9EAE-23A1-6E2C-4374-08BE5BDC1A16}</x:author>
    <x:author>tc={0180AB5A-415B-A6EF-9FB2-6DA596AC752B}</x:author>
    <x:author>tc={EF68175A-8E14-C616-6BA1-D2BEC6BE4A91}</x:author>
    <x:author>tc={EB1E81C5-2987-855D-858C-E7A2D562CA56}</x:author>
    <x:author>tc={3C33293A-655F-44C3-B519-0E6CF60D7F5E}</x:author>
    <x:author>tc={14D30FC5-1F2D-46DB-EF31-485303A8C088}</x:author>
    <x:author>tc={C171AFE6-7822-40C5-7281-CF60A415C9D5}</x:author>
    <x:author>tc={89D99C45-6CA5-9198-49CB-A80AFD2C8604}</x:author>
    <x:author>tc={357F2AB0-A41B-B549-631F-5A2675F64338}</x:author>
    <x:author>tc={BFCB5859-E19F-0099-5C09-B9C8212C64B2}</x:author>
    <x:author>tc={C583C038-ED89-D924-CB74-5A4B4CAC7ECA}</x:author>
    <x:author>tc={BD77B299-8C61-AA88-7B98-8600CB010D25}</x:author>
    <x:author>tc={021D951B-6A05-645A-172B-D0DB32BC6CE1}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118-119
Available: 2025-10-13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</x:t>
        </x:r>
      </x:text>
    </x:comment>
  </x:commentList>
</x:comments>
</file>

<file path=xl/comments2.xml><?xml version="1.0" encoding="utf-8"?>
<x:comments xmlns:x="http://schemas.openxmlformats.org/spreadsheetml/2006/main">
  <x:authors>
    <x:author>tc={644D0790-5450-CDC3-6693-7CEA4CC86AAD}</x:author>
    <x:author>tc={FF8B026B-CD4A-F9A2-77AC-7174AFCC0A88}</x:author>
    <x:author>tc={AEF41649-1FB3-BCC6-66A8-BF9987B280B1}</x:author>
    <x:author>tc={7ACFF8F1-03B6-00CF-D8BD-F06ADEF81FF8}</x:author>
  </x:authors>
  <x:commentList>
    <x:comment ref="G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
Accessed: 2026-08-07</x:t>
        </x:r>
      </x:text>
    </x:comment>
    <x:comment ref="G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
Accessed: 2026-08-07</x:t>
        </x:r>
      </x:text>
    </x:comment>
    <x:comment ref="G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
Accessed: 2026-08-07</x:t>
        </x:r>
      </x:text>
    </x:comment>
    <x:comment ref="G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
Accessed: 2026-08-07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"/>
    <x:numFmt numFmtId="202" formatCode="0.0000"/>
    <x:numFmt numFmtId="203" formatCode="R#,##0"/>
    <x:numFmt numFmtId="204" formatCode="0.00x"/>
    <x:numFmt numFmtId="205" formatCode="0%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1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F8FAFC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5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top"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0" fontId="11" fillId="0" borderId="9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9" xfId="0" applyNumberFormat="1" applyFont="1" applyFill="1" applyBorder="1"/>
    <x:xf numFmtId="0" fontId="10" fillId="12" borderId="9" xfId="0" applyNumberFormat="1" applyFont="1" applyFill="1" applyBorder="1" applyAlignment="1">
      <x:alignment wrapText="1"/>
    </x:xf>
    <x:xf numFmtId="0" fontId="10" fillId="12" borderId="9" xfId="0" applyNumberFormat="1" applyFont="1" applyFill="1" applyBorder="1" applyAlignment="1">
      <x:alignment horizontal="left" wrapText="1"/>
    </x:xf>
    <x:xf numFmtId="0" fontId="10" fillId="12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ill>
        <x:patternFill patternType="solid">
          <x:bgColor rgb="FFF2FBF8"/>
        </x:patternFill>
      </x:fill>
    </x:dxf>
    <x:dxf>
      <x:font>
        <x:b/>
        <x:color rgb="FF9C2D2D"/>
      </x:font>
      <x:fill>
        <x:patternFill patternType="solid">
          <x:bgColor rgb="FFFDECEC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A02E2E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b6d3df28184640" /><Relationship Type="http://schemas.openxmlformats.org/officeDocument/2006/relationships/theme" Target="/xl/theme/theme1.xml" Id="Rd4554cf27c764644" /><Relationship Type="http://schemas.openxmlformats.org/officeDocument/2006/relationships/sharedStrings" Target="/xl/sharedStrings.xml" Id="R7029506a5f0f4ba9" /><Relationship Type="http://schemas.openxmlformats.org/officeDocument/2006/relationships/worksheet" Target="/xl/worksheets/sheet1.xml" Id="R13b38a84beae4d43" /><Relationship Type="http://schemas.openxmlformats.org/officeDocument/2006/relationships/worksheet" Target="/xl/worksheets/sheet2.xml" Id="R2339a09ea6cc4302" /><Relationship Type="http://schemas.openxmlformats.org/officeDocument/2006/relationships/worksheet" Target="/xl/worksheets/sheet3.xml" Id="R8d4f54404dc04a58" /><Relationship Type="http://schemas.openxmlformats.org/officeDocument/2006/relationships/worksheet" Target="/xl/worksheets/sheet4.xml" Id="R358503e814384eb5" /><Relationship Type="http://schemas.openxmlformats.org/officeDocument/2006/relationships/worksheet" Target="/xl/worksheets/sheet5.xml" Id="R3632a5fed7654590" /><Relationship Type="http://schemas.openxmlformats.org/officeDocument/2006/relationships/worksheet" Target="/xl/worksheets/sheet6.xml" Id="R8b3c8fefbcf84dc1" /><Relationship Type="http://schemas.openxmlformats.org/officeDocument/2006/relationships/worksheet" Target="/xl/worksheets/sheet7.xml" Id="R4b1ff089b7454f30" /><Relationship Type="http://schemas.microsoft.com/office/2017/10/relationships/person" Target="/xl/persons/person.xml" Id="R3f142057916f44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57e36a4af5495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Audited Evidence Impact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Interval reduction</c:v>
          </c:tx>
          <c:cat>
            <c:strRef>
              <c:f>'Anchor Impact'!$K$5:$K$7</c:f>
              <c:strCache>
                <c:ptCount val="0"/>
              </c:strCache>
            </c:strRef>
          </c:cat>
          <c:val>
            <c:numRef>
              <c:f>'Anchor Impact'!$L$5:$L$7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Confidence lift</c:v>
          </c:tx>
          <c:cat>
            <c:strRef>
              <c:f>'Anchor Impact'!$K$5:$K$7</c:f>
              <c:strCache>
                <c:ptCount val="0"/>
              </c:strCache>
            </c:strRef>
          </c:cat>
          <c:val>
            <c:numRef>
              <c:f>'Anchor Impact'!$M$5:$M$7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9</xdr:row>
      <xdr:rowOff>0</xdr:rowOff>
    </xdr:from>
    <xdr:to>
      <xdr:col>18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57e36a4af54956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hristopher Koen" id="{EAE77055-58F0-4AD9-BA39-EE796833897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07T11:35:53.039" personId="{EAE77055-58F0-4AD9-BA39-EE7968338978}" id="{0E0ED47C-032D-EB99-39E8-ADDD93E73E29}">
    <xltc:text>Source: https://www.bhp.com/-/media/documents/investors/annual-reports/2025/250819_bhpannualreport2025.pdf
Page: 118
Available: 2025-08-19</xltc:text>
  </xltc:threadedComment>
  <xltc:threadedComment ref="P6" dT="2026-08-07T11:35:53.047" personId="{EAE77055-58F0-4AD9-BA39-EE7968338978}" id="{DB886048-5450-89F3-4558-2AEB5EE3A3C4}">
    <xltc:text>Source: https://www.bhp.com/-/media/documents/investors/annual-reports/2025/250819_bhpannualreport2025.pdf
Page: 118
Available: 2025-08-19</xltc:text>
  </xltc:threadedComment>
  <xltc:threadedComment ref="P7" dT="2026-08-07T11:35:53.047" personId="{EAE77055-58F0-4AD9-BA39-EE7968338978}" id="{06EFDF08-83D0-7C5F-2423-C624901B4524}">
    <xltc:text>Source: https://www.bhp.com/-/media/documents/investors/annual-reports/2025/250819_bhpannualreport2025.pdf
Page: 139
Available: 2025-08-19</xltc:text>
  </xltc:threadedComment>
  <xltc:threadedComment ref="P8" dT="2026-08-07T11:35:53.049" personId="{EAE77055-58F0-4AD9-BA39-EE7968338978}" id="{1C5E2C6C-95F9-D156-8A6F-9981CF63FB55}">
    <xltc:text>Source: https://www.bhp.com/-/media/documents/investors/annual-reports/2025/250819_bhpannualreport2025.pdf
Page: 139
Available: 2025-08-19</xltc:text>
  </xltc:threadedComment>
  <xltc:threadedComment ref="P9" dT="2026-08-07T11:35:53.049" personId="{EAE77055-58F0-4AD9-BA39-EE7968338978}" id="{9C49F667-0C0D-1467-8474-12C9B1C1F8C0}">
    <xltc:text>Source: https://www.bhp.com/-/media/documents/investors/annual-reports/2025/250819_bhpannualreport2025.pdf
Page: 139
Available: 2025-08-19</xltc:text>
  </xltc:threadedComment>
  <xltc:threadedComment ref="P10" dT="2026-08-07T11:35:53.05" personId="{EAE77055-58F0-4AD9-BA39-EE7968338978}" id="{97AD5A33-6340-D4C5-6B06-D964E8142E10}">
    <xltc:text>Source: https://www.bhp.com/-/media/documents/investors/annual-reports/2025/250819_bhpannualreport2025.pdf
Page: 139
Available: 2025-08-19</xltc:text>
  </xltc:threadedComment>
  <xltc:threadedComment ref="P11" dT="2026-08-07T11:35:53.05" personId="{EAE77055-58F0-4AD9-BA39-EE7968338978}" id="{C53D6CAB-5EB4-8D87-3145-8D7387A010D7}">
    <xltc:text>Source: https://www.bhp.com/-/media/documents/investors/annual-reports/2025/250819_bhpannualreport2025.pdf
Page: 139
Available: 2025-08-19</xltc:text>
  </xltc:threadedComment>
  <xltc:threadedComment ref="P12" dT="2026-08-07T11:35:53.051" personId="{EAE77055-58F0-4AD9-BA39-EE7968338978}" id="{E86B5524-BF8C-CAD7-5E8F-4C59F9EFB9E4}">
    <xltc:text>Source: https://www.bhp.com/-/media/documents/investors/annual-reports/2025/250819_bhpannualreport2025.pdf
Page: 139
Available: 2025-08-19</xltc:text>
  </xltc:threadedComment>
  <xltc:threadedComment ref="P13" dT="2026-08-07T11:35:53.052" personId="{EAE77055-58F0-4AD9-BA39-EE7968338978}" id="{98668A1C-AE86-9536-CDBD-680D2FD1B7AA}">
    <xltc:text>Source: https://www.bhp.com/-/media/documents/investors/annual-reports/2025/250819_bhpannualreport2025.pdf
Page: 160
Available: 2025-08-19</xltc:text>
  </xltc:threadedComment>
  <xltc:threadedComment ref="P14" dT="2026-08-07T11:35:53.053" personId="{EAE77055-58F0-4AD9-BA39-EE7968338978}" id="{40B69600-AD8A-DD1C-CF84-3EFD504DBEA3}">
    <xltc:text>Source: https://www.bhp.com/-/media/documents/investors/annual-reports/2025/250819_bhpannualreport2025.pdf
Page: 119
Available: 2025-08-19</xltc:text>
  </xltc:threadedComment>
  <xltc:threadedComment ref="P15" dT="2026-08-07T11:35:53.054" personId="{EAE77055-58F0-4AD9-BA39-EE7968338978}" id="{D6C2E088-C8BD-22D8-90A3-88F9A525A6D5}">
    <xltc:text>Source: https://www.glencore.com/.rest/api/v1/documents/static/9b103e11-72e7-40bf-ae7c-eabe57361522/GLEN-2025-Annual-Report.pdf
Page: 136
Available: 2026-03-10</xltc:text>
  </xltc:threadedComment>
  <xltc:threadedComment ref="P16" dT="2026-08-07T11:35:53.055" personId="{EAE77055-58F0-4AD9-BA39-EE7968338978}" id="{1C526ADE-0AD0-4E9C-98BB-B10EEBB143F8}">
    <xltc:text>Source: https://www.glencore.com/.rest/api/v1/documents/static/9b103e11-72e7-40bf-ae7c-eabe57361522/GLEN-2025-Annual-Report.pdf
Page: 136
Available: 2026-03-10</xltc:text>
  </xltc:threadedComment>
  <xltc:threadedComment ref="P17" dT="2026-08-07T11:35:53.056" personId="{EAE77055-58F0-4AD9-BA39-EE7968338978}" id="{7E2ADA20-8199-A92D-31E7-FB0C89A9333A}">
    <xltc:text>Source: https://www.glencore.com/.rest/api/v1/documents/static/9b103e11-72e7-40bf-ae7c-eabe57361522/GLEN-2025-Annual-Report.pdf
Page: 186
Available: 2026-03-10</xltc:text>
  </xltc:threadedComment>
  <xltc:threadedComment ref="P18" dT="2026-08-07T11:35:53.056" personId="{EAE77055-58F0-4AD9-BA39-EE7968338978}" id="{B8297E7F-E889-5421-C15A-43B96518C427}">
    <xltc:text>Source: https://www.glencore.com/.rest/api/v1/documents/static/9b103e11-72e7-40bf-ae7c-eabe57361522/GLEN-2025-Annual-Report.pdf
Page: 186
Available: 2026-03-10</xltc:text>
  </xltc:threadedComment>
  <xltc:threadedComment ref="P19" dT="2026-08-07T11:35:53.057" personId="{EAE77055-58F0-4AD9-BA39-EE7968338978}" id="{5E15FDDF-DA17-3FDC-8775-DA55CBE3A21A}">
    <xltc:text>Source: https://www.glencore.com/.rest/api/v1/documents/static/9b103e11-72e7-40bf-ae7c-eabe57361522/GLEN-2025-Annual-Report.pdf
Page: 185
Available: 2026-03-10</xltc:text>
  </xltc:threadedComment>
  <xltc:threadedComment ref="P20" dT="2026-08-07T11:35:53.057" personId="{EAE77055-58F0-4AD9-BA39-EE7968338978}" id="{2FFE5070-FEF3-0D86-C586-E5D09E06FCD4}">
    <xltc:text>Source: https://www.glencore.com/.rest/api/v1/documents/static/9b103e11-72e7-40bf-ae7c-eabe57361522/GLEN-2025-Annual-Report.pdf
Page: 185
Available: 2026-03-10</xltc:text>
  </xltc:threadedComment>
  <xltc:threadedComment ref="P21" dT="2026-08-07T11:35:53.058" personId="{EAE77055-58F0-4AD9-BA39-EE7968338978}" id="{29DDA293-8C10-AAB7-5080-A37956BCBC5E}">
    <xltc:text>Source: https://www.glencore.com/.rest/api/v1/documents/static/9b103e11-72e7-40bf-ae7c-eabe57361522/GLEN-2025-Annual-Report.pdf
Page: 205
Available: 2026-03-10</xltc:text>
  </xltc:threadedComment>
  <xltc:threadedComment ref="P22" dT="2026-08-07T11:35:53.058" personId="{EAE77055-58F0-4AD9-BA39-EE7968338978}" id="{F8A91A3D-AE29-51B7-2501-2B5FF0EE5246}">
    <xltc:text>Source: https://www.glencore.com/.rest/api/v1/documents/static/9b103e11-72e7-40bf-ae7c-eabe57361522/GLEN-2025-Annual-Report.pdf
Page: 205
Available: 2026-03-10</xltc:text>
  </xltc:threadedComment>
  <xltc:threadedComment ref="P23" dT="2026-08-07T11:35:53.059" personId="{EAE77055-58F0-4AD9-BA39-EE7968338978}" id="{75BF9EAE-23A1-6E2C-4374-08BE5BDC1A16}">
    <xltc:text>Source: https://www.glencore.com/.rest/api/v1/documents/static/9b103e11-72e7-40bf-ae7c-eabe57361522/GLEN-2025-Annual-Report.pdf
Page: 212
Available: 2026-03-10</xltc:text>
  </xltc:threadedComment>
  <xltc:threadedComment ref="P24" dT="2026-08-07T11:35:53.06" personId="{EAE77055-58F0-4AD9-BA39-EE7968338978}" id="{0180AB5A-415B-A6EF-9FB2-6DA596AC752B}">
    <xltc:text>Source: https://www.glencore.com/.rest/api/v1/documents/static/9b103e11-72e7-40bf-ae7c-eabe57361522/GLEN-2025-Annual-Report.pdf
Page: 138
Available: 2026-03-10</xltc:text>
  </xltc:threadedComment>
  <xltc:threadedComment ref="P25" dT="2026-08-07T11:35:53.06" personId="{EAE77055-58F0-4AD9-BA39-EE7968338978}" id="{EF68175A-8E14-C616-6BA1-D2BEC6BE4A91}">
    <xltc:text>Source: https://www.shopriteholdings.co.za/docs/shp-afs-2025.pdf
Page: 19
Available: 2025-10-13</xltc:text>
  </xltc:threadedComment>
  <xltc:threadedComment ref="P26" dT="2026-08-07T11:35:53.061" personId="{EAE77055-58F0-4AD9-BA39-EE7968338978}" id="{EB1E81C5-2987-855D-858C-E7A2D562CA56}">
    <xltc:text>Source: https://www.shopriteholdings.co.za/docs/shp-afs-2025.pdf
Page: 19
Available: 2025-10-13</xltc:text>
  </xltc:threadedComment>
  <xltc:threadedComment ref="P27" dT="2026-08-07T11:35:53.062" personId="{EAE77055-58F0-4AD9-BA39-EE7968338978}" id="{3C33293A-655F-44C3-B519-0E6CF60D7F5E}">
    <xltc:text>Source: https://www.shopriteholdings.co.za/docs/shp-afs-2025.pdf
Page: 18
Available: 2025-10-13</xltc:text>
  </xltc:threadedComment>
  <xltc:threadedComment ref="P28" dT="2026-08-07T11:35:53.062" personId="{EAE77055-58F0-4AD9-BA39-EE7968338978}" id="{14D30FC5-1F2D-46DB-EF31-485303A8C088}">
    <xltc:text>Source: https://www.shopriteholdings.co.za/docs/shp-afs-2025.pdf
Page: 18
Available: 2025-10-13</xltc:text>
  </xltc:threadedComment>
  <xltc:threadedComment ref="P29" dT="2026-08-07T11:35:53.062" personId="{EAE77055-58F0-4AD9-BA39-EE7968338978}" id="{C171AFE6-7822-40C5-7281-CF60A415C9D5}">
    <xltc:text>Source: https://www.shopriteholdings.co.za/docs/shp-afs-2025.pdf
Page: 18
Available: 2025-10-13</xltc:text>
  </xltc:threadedComment>
  <xltc:threadedComment ref="P30" dT="2026-08-07T11:35:53.063" personId="{EAE77055-58F0-4AD9-BA39-EE7968338978}" id="{89D99C45-6CA5-9198-49CB-A80AFD2C8604}">
    <xltc:text>Source: https://www.shopriteholdings.co.za/docs/shp-afs-2025.pdf
Page: 18
Available: 2025-10-13</xltc:text>
  </xltc:threadedComment>
  <xltc:threadedComment ref="P31" dT="2026-08-07T11:35:53.063" personId="{EAE77055-58F0-4AD9-BA39-EE7968338978}" id="{357F2AB0-A41B-B549-631F-5A2675F64338}">
    <xltc:text>Source: https://www.shopriteholdings.co.za/docs/shp-afs-2025.pdf
Page: 18
Available: 2025-10-13</xltc:text>
  </xltc:threadedComment>
  <xltc:threadedComment ref="P32" dT="2026-08-07T11:35:53.064" personId="{EAE77055-58F0-4AD9-BA39-EE7968338978}" id="{BFCB5859-E19F-0099-5C09-B9C8212C64B2}">
    <xltc:text>Source: https://www.shopriteholdings.co.za/docs/shp-afs-2025.pdf
Page: 18
Available: 2025-10-13</xltc:text>
  </xltc:threadedComment>
  <xltc:threadedComment ref="P33" dT="2026-08-07T11:35:53.064" personId="{EAE77055-58F0-4AD9-BA39-EE7968338978}" id="{C583C038-ED89-D924-CB74-5A4B4CAC7ECA}">
    <xltc:text>Source: https://www.shopriteholdings.co.za/docs/shp-afs-2025.pdf
Page: 118-119
Available: 2025-10-13</xltc:text>
  </xltc:threadedComment>
  <xltc:threadedComment ref="P34" dT="2026-08-07T11:35:53.065" personId="{EAE77055-58F0-4AD9-BA39-EE7968338978}" id="{BD77B299-8C61-AA88-7B98-8600CB010D25}">
    <xltc:text>Source: https://www.shopriteholdings.co.za/docs/shp-afs-2025.pdf
Page: 18
Available: 2025-10-13</xltc:text>
  </xltc:threadedComment>
  <xltc:threadedComment ref="P35" dT="2026-08-07T11:35:53.065" personId="{EAE77055-58F0-4AD9-BA39-EE7968338978}" id="{021D951B-6A05-645A-172B-D0DB32BC6CE1}">
    <xltc:text>Source: https://www.shopriteholdings.co.za/docs/shp-afs-2025.pdf
Page: 18
Available: 2025-10-13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5" dT="2026-08-07T11:35:53.38" personId="{EAE77055-58F0-4AD9-BA39-EE7968338978}" id="{644D0790-5450-CDC3-6693-7CEA4CC86AAD}">
    <xltc:text>Official source: https://www.bhp.com/-/media/documents/investors/annual-reports/2025/250819_bhpannualreport2025.pdf
Accessed: 2026-08-07</xltc:text>
  </xltc:threadedComment>
  <xltc:threadedComment ref="G6" dT="2026-08-07T11:35:53.38" personId="{EAE77055-58F0-4AD9-BA39-EE7968338978}" id="{FF8B026B-CD4A-F9A2-77AC-7174AFCC0A88}">
    <xltc:text>Official source: https://www.glencore.com/.rest/api/v1/documents/static/9b103e11-72e7-40bf-ae7c-eabe57361522/GLEN-2025-Annual-Report.pdf
Accessed: 2026-08-07</xltc:text>
  </xltc:threadedComment>
  <xltc:threadedComment ref="G7" dT="2026-08-07T11:35:53.38" personId="{EAE77055-58F0-4AD9-BA39-EE7968338978}" id="{AEF41649-1FB3-BCC6-66A8-BF9987B280B1}">
    <xltc:text>Official source: https://www.shopriteholdings.co.za/docs/shp-afs-2025.pdf
Accessed: 2026-08-07</xltc:text>
  </xltc:threadedComment>
  <xltc:threadedComment ref="G8" dT="2026-08-07T11:35:53.38" personId="{EAE77055-58F0-4AD9-BA39-EE7968338978}" id="{7ACFF8F1-03B6-00CF-D8BD-F06ADEF81FF8}">
    <xltc:text>Official source: https://www.shopriteholdings.co.za/docs/shp-afs-2025.pdf
Accessed: 2026-08-07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3d775fedef442ca" /><Relationship Type="http://schemas.openxmlformats.org/officeDocument/2006/relationships/vmlDrawing" Target="/xl/drawings/vmldrawing.vml" Id="Rcd02b2aba8a14075" /><Relationship Type="http://schemas.microsoft.com/office/2017/10/relationships/threadedComment" Target="/xl/threadedcomments/threadedcomment.xml" Id="R7640c271cd724b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55d3205abe64473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2.xml" Id="R8b1b09716a1b42aa" /><Relationship Type="http://schemas.openxmlformats.org/officeDocument/2006/relationships/vmlDrawing" Target="/xl/drawings/vmldrawing2.vml" Id="R396fd19a82924e66" /><Relationship Type="http://schemas.microsoft.com/office/2017/10/relationships/threadedComment" Target="/xl/threadedcomments/threadedcomment2.xml" Id="Rcd845e5cc1244d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7" hidden="0" customWidth="1"/>
    <x:col min="3" max="3" width="17" hidden="0" customWidth="1"/>
    <x:col min="4" max="4" width="34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4" customHeight="1">
      <x:c r="A1" s="3" t="str">
        <x:v>Corporate Wallet Digital Twin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Audited Public Facts &amp; Anchor Register · model v1.1.0 · as of 2026-06-30</x:v>
      </x:c>
      <x:c r="B2" s="6"/>
      <x:c r="C2" s="6"/>
      <x:c r="D2" s="6"/>
      <x:c r="E2" s="6"/>
      <x:c r="F2" s="6"/>
      <x:c r="G2" s="6"/>
      <x:c r="H2" s="6"/>
    </x:row>
    <x:row r="4" ht="26" customHeight="1">
      <x:c r="A4" s="8" t="str">
        <x:v>Decision summary</x:v>
      </x:c>
      <x:c r="B4" s="8"/>
      <x:c r="C4" s="8"/>
      <x:c r="D4" s="8"/>
      <x:c r="E4" s="8"/>
      <x:c r="F4" s="8"/>
      <x:c r="G4" s="8"/>
      <x:c r="H4" s="8"/>
    </x:row>
    <x:row r="6">
      <x:c r="A6" s="10" t="str">
        <x:v>Audited public facts</x:v>
      </x:c>
      <x:c r="B6" s="13" t="n">
        <x:v>31</x:v>
      </x:c>
      <x:c r="D6" s="12" t="str">
        <x:v>High-confidence before anchors</x:v>
      </x:c>
      <x:c r="E6" s="14" t="n">
        <x:v>0</x:v>
      </x:c>
    </x:row>
    <x:row r="7">
      <x:c r="A7" s="10" t="str">
        <x:v>Showcase clients</x:v>
      </x:c>
      <x:c r="B7" s="13" t="n">
        <x:v>3</x:v>
      </x:c>
      <x:c r="D7" s="12" t="str">
        <x:v>High-confidence after anchors</x:v>
      </x:c>
      <x:c r="E7" s="14" t="n">
        <x:v>15</x:v>
      </x:c>
    </x:row>
    <x:row r="8">
      <x:c r="A8" s="10" t="str">
        <x:v>Active product anchors</x:v>
      </x:c>
      <x:c r="B8" s="13" t="n">
        <x:v>15</x:v>
      </x:c>
      <x:c r="D8" s="12" t="str">
        <x:v>Sensitivity scenarios</x:v>
      </x:c>
      <x:c r="E8" s="14" t="n">
        <x:v>9</x:v>
      </x:c>
    </x:row>
    <x:row r="9">
      <x:c r="A9" s="10" t="str">
        <x:v>Median relative interval reduction</x:v>
      </x:c>
      <x:c r="B9" s="15" t="n">
        <x:v>0.728440214069332</x:v>
      </x:c>
      <x:c r="D9" s="12" t="str">
        <x:v>Trade Finance majority scenarios</x:v>
      </x:c>
      <x:c r="E9" s="14" t="n">
        <x:v>0</x:v>
      </x:c>
    </x:row>
    <x:row r="10">
      <x:c r="A10" s="10" t="str">
        <x:v>Median confidence lift</x:v>
      </x:c>
      <x:c r="B10" s="15" t="n">
        <x:v>0.26</x:v>
      </x:c>
      <x:c r="D10" s="12" t="str">
        <x:v>Trade Finance #1 scenarios</x:v>
      </x:c>
      <x:c r="E10" s="14" t="n">
        <x:v>9</x:v>
      </x:c>
    </x:row>
    <x:row r="12" ht="24" customHeight="1">
      <x:c r="A12" s="17" t="str">
        <x:v>Model boundary</x:v>
      </x:c>
      <x:c r="B12" s="17"/>
      <x:c r="C12" s="17"/>
      <x:c r="D12" s="17"/>
      <x:c r="E12" s="17"/>
      <x:c r="F12" s="17"/>
      <x:c r="G12" s="17"/>
      <x:c r="H12" s="17"/>
    </x:row>
    <x:row r="13">
      <x:c r="A13" s="37" t="str">
        <x:v>Audited statements supply point facts, not a complete bankable wallet. Collections and payments are accounting-identity proxies; FX exposure/notional is annualised with a declared turnover range; current debt anchors liquidity/refinancing timing; Trade Finance uses an explicit sector utilisation range. USD facts are translated at ZAR17.86/USD for model comparability and remain labelled as translated assumptions.</x:v>
      </x:c>
      <x:c r="B13" s="38"/>
      <x:c r="C13" s="38"/>
      <x:c r="D13" s="38"/>
      <x:c r="E13" s="38"/>
      <x:c r="F13" s="38"/>
      <x:c r="G13" s="38"/>
      <x:c r="H13" s="39"/>
    </x:row>
    <x:row r="14">
      <x:c r="A14" s="40"/>
      <x:c r="B14" s="41"/>
      <x:c r="C14" s="41"/>
      <x:c r="D14" s="41"/>
      <x:c r="E14" s="41"/>
      <x:c r="F14" s="41"/>
      <x:c r="G14" s="41"/>
      <x:c r="H14" s="42"/>
    </x:row>
    <x:row r="15">
      <x:c r="A15" s="40"/>
      <x:c r="B15" s="41"/>
      <x:c r="C15" s="41"/>
      <x:c r="D15" s="41"/>
      <x:c r="E15" s="41"/>
      <x:c r="F15" s="41"/>
      <x:c r="G15" s="41"/>
      <x:c r="H15" s="42"/>
    </x:row>
    <x:row r="16">
      <x:c r="A16" s="40"/>
      <x:c r="B16" s="41"/>
      <x:c r="C16" s="41"/>
      <x:c r="D16" s="41"/>
      <x:c r="E16" s="41"/>
      <x:c r="F16" s="41"/>
      <x:c r="G16" s="41"/>
      <x:c r="H16" s="42"/>
    </x:row>
    <x:row r="17">
      <x:c r="A17" s="43"/>
      <x:c r="B17" s="44"/>
      <x:c r="C17" s="44"/>
      <x:c r="D17" s="44"/>
      <x:c r="E17" s="44"/>
      <x:c r="F17" s="44"/>
      <x:c r="G17" s="44"/>
      <x:c r="H17" s="45"/>
    </x:row>
    <x:row r="19" ht="28" customHeight="1">
      <x:c r="A19" s="47" t="str">
        <x:v>Trade finance is not dominant in any of the 9 rate/prior scenarios.</x:v>
      </x:c>
      <x:c r="B19" s="47"/>
      <x:c r="C19" s="47"/>
      <x:c r="D19" s="47"/>
      <x:c r="E19" s="47"/>
      <x:c r="F19" s="47"/>
      <x:c r="G19" s="47"/>
      <x:c r="H19" s="47"/>
    </x:row>
    <x:row r="20">
      <x:c r="A20" s="51" t="str">
        <x:v>Trade Finance is still the single #1 opportunity in all nine low/base/high economic-rate × low/base/high share-prior cases, but audited evidence activates other products strongly enough that Trade Finance occupies only 2 of the top 10 in every case.</x:v>
      </x:c>
      <x:c r="B20" s="51"/>
      <x:c r="C20" s="51"/>
      <x:c r="D20" s="51"/>
      <x:c r="E20" s="51"/>
      <x:c r="F20" s="51"/>
      <x:c r="G20" s="51"/>
      <x:c r="H20" s="51"/>
    </x:row>
    <x:row r="21">
      <x:c r="A21" s="51"/>
      <x:c r="B21" s="51"/>
      <x:c r="C21" s="51"/>
      <x:c r="D21" s="51"/>
      <x:c r="E21" s="51"/>
      <x:c r="F21" s="51"/>
      <x:c r="G21" s="51"/>
      <x:c r="H21" s="51"/>
    </x:row>
    <x:row r="22">
      <x:c r="A22" s="51"/>
      <x:c r="B22" s="51"/>
      <x:c r="C22" s="51"/>
      <x:c r="D22" s="51"/>
      <x:c r="E22" s="51"/>
      <x:c r="F22" s="51"/>
      <x:c r="G22" s="51"/>
      <x:c r="H22" s="51"/>
    </x:row>
  </x:sheetData>
  <x:mergeCells>
    <x:mergeCell ref="A1:H1"/>
    <x:mergeCell ref="A2:H2"/>
    <x:mergeCell ref="A4:H4"/>
    <x:mergeCell ref="A12:H12"/>
    <x:mergeCell ref="A13:H17"/>
    <x:mergeCell ref="A19:H19"/>
    <x:mergeCell ref="A20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1" hidden="0" customWidth="1"/>
    <x:col min="4" max="4" width="2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5" hidden="0" customWidth="1"/>
    <x:col min="15" max="15" width="14" hidden="0" customWidth="1"/>
    <x:col min="16" max="16" width="50" hidden="0" customWidth="1"/>
    <x:col min="17" max="17" width="35" hidden="0" customWidth="1"/>
    <x:col min="18" max="18" width="35" hidden="0" customWidth="1"/>
  </x:cols>
  <x:sheetData>
    <x:row r="1" ht="34" customHeight="1">
      <x:c r="A1" s="3" t="str">
        <x:v>Audited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5" customHeight="1">
      <x:c r="A2" s="6" t="str">
        <x:v>Source values are preserved; Value ZAR is formula-translated. Every fact carries a page and a point-in-time public date.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4" ht="28" customHeight="1">
      <x:c r="A4" s="56" t="str">
        <x:v>Fact ID</x:v>
      </x:c>
      <x:c r="B4" s="56" t="str">
        <x:v>Entity ID</x:v>
      </x:c>
      <x:c r="C4" s="56" t="str">
        <x:v>Entity name</x:v>
      </x:c>
      <x:c r="D4" s="56" t="str">
        <x:v>Concept</x:v>
      </x:c>
      <x:c r="E4" s="56" t="str">
        <x:v>Source value</x:v>
      </x:c>
      <x:c r="F4" s="56" t="str">
        <x:v>Unit</x:v>
      </x:c>
      <x:c r="G4" s="56" t="str">
        <x:v>Currency</x:v>
      </x:c>
      <x:c r="H4" s="56" t="str">
        <x:v>FX to ZAR</x:v>
      </x:c>
      <x:c r="I4" s="56" t="str">
        <x:v>Value ZAR</x:v>
      </x:c>
      <x:c r="J4" s="56" t="str">
        <x:v>Period start</x:v>
      </x:c>
      <x:c r="K4" s="56" t="str">
        <x:v>Period end</x:v>
      </x:c>
      <x:c r="L4" s="56" t="str">
        <x:v>Available date</x:v>
      </x:c>
      <x:c r="M4" s="56" t="str">
        <x:v>Audit status</x:v>
      </x:c>
      <x:c r="N4" s="56" t="str">
        <x:v>Source title</x:v>
      </x:c>
      <x:c r="O4" s="56" t="str">
        <x:v>Page</x:v>
      </x:c>
      <x:c r="P4" s="56" t="str">
        <x:v>Source URL</x:v>
      </x:c>
      <x:c r="Q4" s="56" t="str">
        <x:v>Method</x:v>
      </x:c>
      <x:c r="R4" s="56" t="str">
        <x:v>Notes</x:v>
      </x:c>
    </x:row>
    <x:row r="5">
      <x:c r="A5" s="60" t="str">
        <x:v>BHP-2025-REV</x:v>
      </x:c>
      <x:c r="B5" s="60" t="str">
        <x:v>E01</x:v>
      </x:c>
      <x:c r="C5" s="60" t="str">
        <x:v>BHP Group</x:v>
      </x:c>
      <x:c r="D5" s="60" t="str">
        <x:v>revenue</x:v>
      </x:c>
      <x:c r="E5" s="61" t="n">
        <x:v>51262</x:v>
      </x:c>
      <x:c r="F5" s="60" t="str">
        <x:v>million</x:v>
      </x:c>
      <x:c r="G5" s="60" t="str">
        <x:v>USD</x:v>
      </x:c>
      <x:c r="H5" s="62" t="n">
        <x:v>17.86</x:v>
      </x:c>
      <x:c r="I5" s="63" t="n">
        <x:f>E5*1000000*H5</x:f>
        <x:v>915539320000</x:v>
      </x:c>
      <x:c r="J5" s="60" t="str">
        <x:v>2024-07-01</x:v>
      </x:c>
      <x:c r="K5" s="60" t="str">
        <x:v>2025-06-30</x:v>
      </x:c>
      <x:c r="L5" s="60" t="str">
        <x:v>2025-08-19</x:v>
      </x:c>
      <x:c r="M5" s="60" t="str">
        <x:v>audited</x:v>
      </x:c>
      <x:c r="N5" s="60" t="str">
        <x:v>BHP Annual Report 2025</x:v>
      </x:c>
      <x:c r="O5" s="60" t="str">
        <x:v>118</x:v>
      </x:c>
      <x:c r="P5" s="60" t="str">
        <x:v>https://www.bhp.com/-/media/documents/investors/annual-reports/2025/250819_bhpannualreport2025.pdf</x:v>
      </x:c>
      <x:c r="Q5" s="60" t="str">
        <x:v>direct audited line item</x:v>
      </x:c>
      <x:c r="R5" s="60" t="str">
        <x:v>Consolidated income statement revenue</x:v>
      </x:c>
    </x:row>
    <x:row r="6">
      <x:c r="A6" s="60" t="str">
        <x:v>BHP-2025-COST</x:v>
      </x:c>
      <x:c r="B6" s="60" t="str">
        <x:v>E01</x:v>
      </x:c>
      <x:c r="C6" s="60" t="str">
        <x:v>BHP Group</x:v>
      </x:c>
      <x:c r="D6" s="60" t="str">
        <x:v>operating_cost_base</x:v>
      </x:c>
      <x:c r="E6" s="61" t="n">
        <x:v>32319</x:v>
      </x:c>
      <x:c r="F6" s="60" t="str">
        <x:v>million</x:v>
      </x:c>
      <x:c r="G6" s="60" t="str">
        <x:v>USD</x:v>
      </x:c>
      <x:c r="H6" s="62" t="n">
        <x:v>17.86</x:v>
      </x:c>
      <x:c r="I6" s="63" t="n">
        <x:f>E6*1000000*H6</x:f>
        <x:v>577217340000</x:v>
      </x:c>
      <x:c r="J6" s="60" t="str">
        <x:v>2024-07-01</x:v>
      </x:c>
      <x:c r="K6" s="60" t="str">
        <x:v>2025-06-30</x:v>
      </x:c>
      <x:c r="L6" s="60" t="str">
        <x:v>2025-08-19</x:v>
      </x:c>
      <x:c r="M6" s="60" t="str">
        <x:v>audited</x:v>
      </x:c>
      <x:c r="N6" s="60" t="str">
        <x:v>BHP Annual Report 2025</x:v>
      </x:c>
      <x:c r="O6" s="60" t="str">
        <x:v>118</x:v>
      </x:c>
      <x:c r="P6" s="60" t="str">
        <x:v>https://www.bhp.com/-/media/documents/investors/annual-reports/2025/250819_bhpannualreport2025.pdf</x:v>
      </x:c>
      <x:c r="Q6" s="60" t="str">
        <x:v>direct audited line item</x:v>
      </x:c>
      <x:c r="R6" s="60" t="str">
        <x:v>Expenses excluding net finance costs</x:v>
      </x:c>
    </x:row>
    <x:row r="7">
      <x:c r="A7" s="60" t="str">
        <x:v>BHP-2025-AR-OPEN</x:v>
      </x:c>
      <x:c r="B7" s="60" t="str">
        <x:v>E01</x:v>
      </x:c>
      <x:c r="C7" s="60" t="str">
        <x:v>BHP Group</x:v>
      </x:c>
      <x:c r="D7" s="60" t="str">
        <x:v>trade_receivables_open</x:v>
      </x:c>
      <x:c r="E7" s="61" t="n">
        <x:v>3687</x:v>
      </x:c>
      <x:c r="F7" s="60" t="str">
        <x:v>million</x:v>
      </x:c>
      <x:c r="G7" s="60" t="str">
        <x:v>USD</x:v>
      </x:c>
      <x:c r="H7" s="62" t="n">
        <x:v>17.86</x:v>
      </x:c>
      <x:c r="I7" s="63" t="n">
        <x:f>E7*1000000*H7</x:f>
        <x:v>65849820000</x:v>
      </x:c>
      <x:c r="J7" s="60" t="str">
        <x:v>2023-07-01</x:v>
      </x:c>
      <x:c r="K7" s="60" t="str">
        <x:v>2024-06-30</x:v>
      </x:c>
      <x:c r="L7" s="60" t="str">
        <x:v>2025-08-19</x:v>
      </x:c>
      <x:c r="M7" s="60" t="str">
        <x:v>audited</x:v>
      </x:c>
      <x:c r="N7" s="60" t="str">
        <x:v>BHP Annual Report 2025</x:v>
      </x:c>
      <x:c r="O7" s="60" t="str">
        <x:v>139</x:v>
      </x:c>
      <x:c r="P7" s="60" t="str">
        <x:v>https://www.bhp.com/-/media/documents/investors/annual-reports/2025/250819_bhpannualreport2025.pdf</x:v>
      </x:c>
      <x:c r="Q7" s="60" t="str">
        <x:v>direct audited comparative</x:v>
      </x:c>
      <x:c r="R7" s="60" t="str">
        <x:v>Trade receivables comparative balance</x:v>
      </x:c>
    </x:row>
    <x:row r="8">
      <x:c r="A8" s="60" t="str">
        <x:v>BHP-2025-AR-CLOSE</x:v>
      </x:c>
      <x:c r="B8" s="60" t="str">
        <x:v>E01</x:v>
      </x:c>
      <x:c r="C8" s="60" t="str">
        <x:v>BHP Group</x:v>
      </x:c>
      <x:c r="D8" s="60" t="str">
        <x:v>trade_receivables_close</x:v>
      </x:c>
      <x:c r="E8" s="61" t="n">
        <x:v>3081</x:v>
      </x:c>
      <x:c r="F8" s="60" t="str">
        <x:v>million</x:v>
      </x:c>
      <x:c r="G8" s="60" t="str">
        <x:v>USD</x:v>
      </x:c>
      <x:c r="H8" s="62" t="n">
        <x:v>17.86</x:v>
      </x:c>
      <x:c r="I8" s="63" t="n">
        <x:f>E8*1000000*H8</x:f>
        <x:v>55026660000</x:v>
      </x:c>
      <x:c r="J8" s="60" t="str">
        <x:v>2024-07-01</x:v>
      </x:c>
      <x:c r="K8" s="60" t="str">
        <x:v>2025-06-30</x:v>
      </x:c>
      <x:c r="L8" s="60" t="str">
        <x:v>2025-08-19</x:v>
      </x:c>
      <x:c r="M8" s="60" t="str">
        <x:v>audited</x:v>
      </x:c>
      <x:c r="N8" s="60" t="str">
        <x:v>BHP Annual Report 2025</x:v>
      </x:c>
      <x:c r="O8" s="60" t="str">
        <x:v>139</x:v>
      </x:c>
      <x:c r="P8" s="60" t="str">
        <x:v>https://www.bhp.com/-/media/documents/investors/annual-reports/2025/250819_bhpannualreport2025.pdf</x:v>
      </x:c>
      <x:c r="Q8" s="60" t="str">
        <x:v>direct audited line item</x:v>
      </x:c>
      <x:c r="R8" s="60" t="str">
        <x:v>Trade receivables closing balance</x:v>
      </x:c>
    </x:row>
    <x:row r="9">
      <x:c r="A9" s="60" t="str">
        <x:v>BHP-2025-INV-OPEN</x:v>
      </x:c>
      <x:c r="B9" s="60" t="str">
        <x:v>E01</x:v>
      </x:c>
      <x:c r="C9" s="60" t="str">
        <x:v>BHP Group</x:v>
      </x:c>
      <x:c r="D9" s="60" t="str">
        <x:v>inventories_open</x:v>
      </x:c>
      <x:c r="E9" s="61" t="n">
        <x:v>7039</x:v>
      </x:c>
      <x:c r="F9" s="60" t="str">
        <x:v>million</x:v>
      </x:c>
      <x:c r="G9" s="60" t="str">
        <x:v>USD</x:v>
      </x:c>
      <x:c r="H9" s="62" t="n">
        <x:v>17.86</x:v>
      </x:c>
      <x:c r="I9" s="63" t="n">
        <x:f>E9*1000000*H9</x:f>
        <x:v>125716540000</x:v>
      </x:c>
      <x:c r="J9" s="60" t="str">
        <x:v>2023-07-01</x:v>
      </x:c>
      <x:c r="K9" s="60" t="str">
        <x:v>2024-06-30</x:v>
      </x:c>
      <x:c r="L9" s="60" t="str">
        <x:v>2025-08-19</x:v>
      </x:c>
      <x:c r="M9" s="60" t="str">
        <x:v>audited</x:v>
      </x:c>
      <x:c r="N9" s="60" t="str">
        <x:v>BHP Annual Report 2025</x:v>
      </x:c>
      <x:c r="O9" s="60" t="str">
        <x:v>139</x:v>
      </x:c>
      <x:c r="P9" s="60" t="str">
        <x:v>https://www.bhp.com/-/media/documents/investors/annual-reports/2025/250819_bhpannualreport2025.pdf</x:v>
      </x:c>
      <x:c r="Q9" s="60" t="str">
        <x:v>direct audited comparative</x:v>
      </x:c>
      <x:c r="R9" s="60" t="str">
        <x:v>Total inventories comparative balance</x:v>
      </x:c>
    </x:row>
    <x:row r="10">
      <x:c r="A10" s="60" t="str">
        <x:v>BHP-2025-INV-CLOSE</x:v>
      </x:c>
      <x:c r="B10" s="60" t="str">
        <x:v>E01</x:v>
      </x:c>
      <x:c r="C10" s="60" t="str">
        <x:v>BHP Group</x:v>
      </x:c>
      <x:c r="D10" s="60" t="str">
        <x:v>inventories_close</x:v>
      </x:c>
      <x:c r="E10" s="61" t="n">
        <x:v>6978</x:v>
      </x:c>
      <x:c r="F10" s="60" t="str">
        <x:v>million</x:v>
      </x:c>
      <x:c r="G10" s="60" t="str">
        <x:v>USD</x:v>
      </x:c>
      <x:c r="H10" s="62" t="n">
        <x:v>17.86</x:v>
      </x:c>
      <x:c r="I10" s="63" t="n">
        <x:f>E10*1000000*H10</x:f>
        <x:v>124627080000</x:v>
      </x:c>
      <x:c r="J10" s="60" t="str">
        <x:v>2024-07-01</x:v>
      </x:c>
      <x:c r="K10" s="60" t="str">
        <x:v>2025-06-30</x:v>
      </x:c>
      <x:c r="L10" s="60" t="str">
        <x:v>2025-08-19</x:v>
      </x:c>
      <x:c r="M10" s="60" t="str">
        <x:v>audited</x:v>
      </x:c>
      <x:c r="N10" s="60" t="str">
        <x:v>BHP Annual Report 2025</x:v>
      </x:c>
      <x:c r="O10" s="60" t="str">
        <x:v>139</x:v>
      </x:c>
      <x:c r="P10" s="60" t="str">
        <x:v>https://www.bhp.com/-/media/documents/investors/annual-reports/2025/250819_bhpannualreport2025.pdf</x:v>
      </x:c>
      <x:c r="Q10" s="60" t="str">
        <x:v>direct audited line item</x:v>
      </x:c>
      <x:c r="R10" s="60" t="str">
        <x:v>Total inventories closing balance</x:v>
      </x:c>
    </x:row>
    <x:row r="11">
      <x:c r="A11" s="60" t="str">
        <x:v>BHP-2025-AP-OPEN</x:v>
      </x:c>
      <x:c r="B11" s="60" t="str">
        <x:v>E01</x:v>
      </x:c>
      <x:c r="C11" s="60" t="str">
        <x:v>BHP Group</x:v>
      </x:c>
      <x:c r="D11" s="60" t="str">
        <x:v>trade_payables_open</x:v>
      </x:c>
      <x:c r="E11" s="61" t="n">
        <x:v>5338</x:v>
      </x:c>
      <x:c r="F11" s="60" t="str">
        <x:v>million</x:v>
      </x:c>
      <x:c r="G11" s="60" t="str">
        <x:v>USD</x:v>
      </x:c>
      <x:c r="H11" s="62" t="n">
        <x:v>17.86</x:v>
      </x:c>
      <x:c r="I11" s="63" t="n">
        <x:f>E11*1000000*H11</x:f>
        <x:v>95336680000</x:v>
      </x:c>
      <x:c r="J11" s="60" t="str">
        <x:v>2023-07-01</x:v>
      </x:c>
      <x:c r="K11" s="60" t="str">
        <x:v>2024-06-30</x:v>
      </x:c>
      <x:c r="L11" s="60" t="str">
        <x:v>2025-08-19</x:v>
      </x:c>
      <x:c r="M11" s="60" t="str">
        <x:v>audited</x:v>
      </x:c>
      <x:c r="N11" s="60" t="str">
        <x:v>BHP Annual Report 2025</x:v>
      </x:c>
      <x:c r="O11" s="60" t="str">
        <x:v>139</x:v>
      </x:c>
      <x:c r="P11" s="60" t="str">
        <x:v>https://www.bhp.com/-/media/documents/investors/annual-reports/2025/250819_bhpannualreport2025.pdf</x:v>
      </x:c>
      <x:c r="Q11" s="60" t="str">
        <x:v>direct audited comparative</x:v>
      </x:c>
      <x:c r="R11" s="60" t="str">
        <x:v>Trade payables comparative balance</x:v>
      </x:c>
    </x:row>
    <x:row r="12">
      <x:c r="A12" s="60" t="str">
        <x:v>BHP-2025-AP-CLOSE</x:v>
      </x:c>
      <x:c r="B12" s="60" t="str">
        <x:v>E01</x:v>
      </x:c>
      <x:c r="C12" s="60" t="str">
        <x:v>BHP Group</x:v>
      </x:c>
      <x:c r="D12" s="60" t="str">
        <x:v>trade_payables_close</x:v>
      </x:c>
      <x:c r="E12" s="61" t="n">
        <x:v>5082</x:v>
      </x:c>
      <x:c r="F12" s="60" t="str">
        <x:v>million</x:v>
      </x:c>
      <x:c r="G12" s="60" t="str">
        <x:v>USD</x:v>
      </x:c>
      <x:c r="H12" s="62" t="n">
        <x:v>17.86</x:v>
      </x:c>
      <x:c r="I12" s="63" t="n">
        <x:f>E12*1000000*H12</x:f>
        <x:v>90764520000</x:v>
      </x:c>
      <x:c r="J12" s="60" t="str">
        <x:v>2024-07-01</x:v>
      </x:c>
      <x:c r="K12" s="60" t="str">
        <x:v>2025-06-30</x:v>
      </x:c>
      <x:c r="L12" s="60" t="str">
        <x:v>2025-08-19</x:v>
      </x:c>
      <x:c r="M12" s="60" t="str">
        <x:v>audited</x:v>
      </x:c>
      <x:c r="N12" s="60" t="str">
        <x:v>BHP Annual Report 2025</x:v>
      </x:c>
      <x:c r="O12" s="60" t="str">
        <x:v>139</x:v>
      </x:c>
      <x:c r="P12" s="60" t="str">
        <x:v>https://www.bhp.com/-/media/documents/investors/annual-reports/2025/250819_bhpannualreport2025.pdf</x:v>
      </x:c>
      <x:c r="Q12" s="60" t="str">
        <x:v>direct audited line item</x:v>
      </x:c>
      <x:c r="R12" s="60" t="str">
        <x:v>Trade payables closing balance</x:v>
      </x:c>
    </x:row>
    <x:row r="13">
      <x:c r="A13" s="60" t="str">
        <x:v>BHP-2025-FX</x:v>
      </x:c>
      <x:c r="B13" s="60" t="str">
        <x:v>E01</x:v>
      </x:c>
      <x:c r="C13" s="60" t="str">
        <x:v>BHP Group</x:v>
      </x:c>
      <x:c r="D13" s="60" t="str">
        <x:v>fx_exposure</x:v>
      </x:c>
      <x:c r="E13" s="61" t="n">
        <x:v>5123</x:v>
      </x:c>
      <x:c r="F13" s="60" t="str">
        <x:v>million</x:v>
      </x:c>
      <x:c r="G13" s="60" t="str">
        <x:v>USD</x:v>
      </x:c>
      <x:c r="H13" s="62" t="n">
        <x:v>17.86</x:v>
      </x:c>
      <x:c r="I13" s="63" t="n">
        <x:f>E13*1000000*H13</x:f>
        <x:v>91496780000</x:v>
      </x:c>
      <x:c r="J13" s="60" t="str">
        <x:v>2024-07-01</x:v>
      </x:c>
      <x:c r="K13" s="60" t="str">
        <x:v>2025-06-30</x:v>
      </x:c>
      <x:c r="L13" s="60" t="str">
        <x:v>2025-08-19</x:v>
      </x:c>
      <x:c r="M13" s="60" t="str">
        <x:v>audited</x:v>
      </x:c>
      <x:c r="N13" s="60" t="str">
        <x:v>BHP Annual Report 2025</x:v>
      </x:c>
      <x:c r="O13" s="60" t="str">
        <x:v>160</x:v>
      </x:c>
      <x:c r="P13" s="60" t="str">
        <x:v>https://www.bhp.com/-/media/documents/investors/annual-reports/2025/250819_bhpannualreport2025.pdf</x:v>
      </x:c>
      <x:c r="Q13" s="60" t="str">
        <x:v>direct audited note</x:v>
      </x:c>
      <x:c r="R13" s="60" t="str">
        <x:v>Absolute total net non-functional-currency monetary exposure</x:v>
      </x:c>
    </x:row>
    <x:row r="14">
      <x:c r="A14" s="60" t="str">
        <x:v>BHP-2025-DEBT</x:v>
      </x:c>
      <x:c r="B14" s="60" t="str">
        <x:v>E01</x:v>
      </x:c>
      <x:c r="C14" s="60" t="str">
        <x:v>BHP Group</x:v>
      </x:c>
      <x:c r="D14" s="60" t="str">
        <x:v>current_debt</x:v>
      </x:c>
      <x:c r="E14" s="61" t="n">
        <x:v>2018</x:v>
      </x:c>
      <x:c r="F14" s="60" t="str">
        <x:v>million</x:v>
      </x:c>
      <x:c r="G14" s="60" t="str">
        <x:v>USD</x:v>
      </x:c>
      <x:c r="H14" s="62" t="n">
        <x:v>17.86</x:v>
      </x:c>
      <x:c r="I14" s="63" t="n">
        <x:f>E14*1000000*H14</x:f>
        <x:v>36041480000</x:v>
      </x:c>
      <x:c r="J14" s="60" t="str">
        <x:v>2024-07-01</x:v>
      </x:c>
      <x:c r="K14" s="60" t="str">
        <x:v>2025-06-30</x:v>
      </x:c>
      <x:c r="L14" s="60" t="str">
        <x:v>2025-08-19</x:v>
      </x:c>
      <x:c r="M14" s="60" t="str">
        <x:v>audited</x:v>
      </x:c>
      <x:c r="N14" s="60" t="str">
        <x:v>BHP Annual Report 2025</x:v>
      </x:c>
      <x:c r="O14" s="60" t="str">
        <x:v>119</x:v>
      </x:c>
      <x:c r="P14" s="60" t="str">
        <x:v>https://www.bhp.com/-/media/documents/investors/annual-reports/2025/250819_bhpannualreport2025.pdf</x:v>
      </x:c>
      <x:c r="Q14" s="60" t="str">
        <x:v>direct audited line item</x:v>
      </x:c>
      <x:c r="R14" s="60" t="str">
        <x:v>Current interest-bearing liabilities</x:v>
      </x:c>
    </x:row>
    <x:row r="15">
      <x:c r="A15" s="60" t="str">
        <x:v>GLEN-2025-REV</x:v>
      </x:c>
      <x:c r="B15" s="60" t="str">
        <x:v>E02</x:v>
      </x:c>
      <x:c r="C15" s="60" t="str">
        <x:v>Glencore</x:v>
      </x:c>
      <x:c r="D15" s="60" t="str">
        <x:v>revenue</x:v>
      </x:c>
      <x:c r="E15" s="61" t="n">
        <x:v>247535</x:v>
      </x:c>
      <x:c r="F15" s="60" t="str">
        <x:v>million</x:v>
      </x:c>
      <x:c r="G15" s="60" t="str">
        <x:v>USD</x:v>
      </x:c>
      <x:c r="H15" s="62" t="n">
        <x:v>17.86</x:v>
      </x:c>
      <x:c r="I15" s="63" t="n">
        <x:f>E15*1000000*H15</x:f>
        <x:v>4420975100000</x:v>
      </x:c>
      <x:c r="J15" s="60" t="str">
        <x:v>2025-01-01</x:v>
      </x:c>
      <x:c r="K15" s="60" t="str">
        <x:v>2025-12-31</x:v>
      </x:c>
      <x:c r="L15" s="60" t="str">
        <x:v>2026-03-10</x:v>
      </x:c>
      <x:c r="M15" s="60" t="str">
        <x:v>audited</x:v>
      </x:c>
      <x:c r="N15" s="60" t="str">
        <x:v>Glencore Annual Report 2025</x:v>
      </x:c>
      <x:c r="O15" s="60" t="str">
        <x:v>136</x:v>
      </x:c>
      <x:c r="P15" s="60" t="str">
        <x:v>https://www.glencore.com/.rest/api/v1/documents/static/9b103e11-72e7-40bf-ae7c-eabe57361522/GLEN-2025-Annual-Report.pdf</x:v>
      </x:c>
      <x:c r="Q15" s="60" t="str">
        <x:v>direct audited line item</x:v>
      </x:c>
      <x:c r="R15" s="60" t="str">
        <x:v>Consolidated statement of income revenue</x:v>
      </x:c>
    </x:row>
    <x:row r="16">
      <x:c r="A16" s="60" t="str">
        <x:v>GLEN-2025-COST</x:v>
      </x:c>
      <x:c r="B16" s="60" t="str">
        <x:v>E02</x:v>
      </x:c>
      <x:c r="C16" s="60" t="str">
        <x:v>Glencore</x:v>
      </x:c>
      <x:c r="D16" s="60" t="str">
        <x:v>operating_cost_base</x:v>
      </x:c>
      <x:c r="E16" s="61" t="n">
        <x:v>241672</x:v>
      </x:c>
      <x:c r="F16" s="60" t="str">
        <x:v>million</x:v>
      </x:c>
      <x:c r="G16" s="60" t="str">
        <x:v>USD</x:v>
      </x:c>
      <x:c r="H16" s="62" t="n">
        <x:v>17.86</x:v>
      </x:c>
      <x:c r="I16" s="63" t="n">
        <x:f>E16*1000000*H16</x:f>
        <x:v>4316261920000</x:v>
      </x:c>
      <x:c r="J16" s="60" t="str">
        <x:v>2025-01-01</x:v>
      </x:c>
      <x:c r="K16" s="60" t="str">
        <x:v>2025-12-31</x:v>
      </x:c>
      <x:c r="L16" s="60" t="str">
        <x:v>2026-03-10</x:v>
      </x:c>
      <x:c r="M16" s="60" t="str">
        <x:v>audited</x:v>
      </x:c>
      <x:c r="N16" s="60" t="str">
        <x:v>Glencore Annual Report 2025</x:v>
      </x:c>
      <x:c r="O16" s="60" t="str">
        <x:v>136</x:v>
      </x:c>
      <x:c r="P16" s="60" t="str">
        <x:v>https://www.glencore.com/.rest/api/v1/documents/static/9b103e11-72e7-40bf-ae7c-eabe57361522/GLEN-2025-Annual-Report.pdf</x:v>
      </x:c>
      <x:c r="Q16" s="60" t="str">
        <x:v>direct audited line item</x:v>
      </x:c>
      <x:c r="R16" s="60" t="str">
        <x:v>Cost of goods sold</x:v>
      </x:c>
    </x:row>
    <x:row r="17">
      <x:c r="A17" s="60" t="str">
        <x:v>GLEN-2025-AR-OPEN</x:v>
      </x:c>
      <x:c r="B17" s="60" t="str">
        <x:v>E02</x:v>
      </x:c>
      <x:c r="C17" s="60" t="str">
        <x:v>Glencore</x:v>
      </x:c>
      <x:c r="D17" s="60" t="str">
        <x:v>trade_receivables_open</x:v>
      </x:c>
      <x:c r="E17" s="61" t="n">
        <x:v>10878</x:v>
      </x:c>
      <x:c r="F17" s="60" t="str">
        <x:v>million</x:v>
      </x:c>
      <x:c r="G17" s="60" t="str">
        <x:v>USD</x:v>
      </x:c>
      <x:c r="H17" s="62" t="n">
        <x:v>17.86</x:v>
      </x:c>
      <x:c r="I17" s="63" t="n">
        <x:f>E17*1000000*H17</x:f>
        <x:v>194281080000</x:v>
      </x:c>
      <x:c r="J17" s="60" t="str">
        <x:v>2024-01-01</x:v>
      </x:c>
      <x:c r="K17" s="60" t="str">
        <x:v>2024-12-31</x:v>
      </x:c>
      <x:c r="L17" s="60" t="str">
        <x:v>2026-03-10</x:v>
      </x:c>
      <x:c r="M17" s="60" t="str">
        <x:v>audited</x:v>
      </x:c>
      <x:c r="N17" s="60" t="str">
        <x:v>Glencore Annual Report 2025</x:v>
      </x:c>
      <x:c r="O17" s="60" t="str">
        <x:v>186</x:v>
      </x:c>
      <x:c r="P17" s="60" t="str">
        <x:v>https://www.glencore.com/.rest/api/v1/documents/static/9b103e11-72e7-40bf-ae7c-eabe57361522/GLEN-2025-Annual-Report.pdf</x:v>
      </x:c>
      <x:c r="Q17" s="60" t="str">
        <x:v>direct audited comparative</x:v>
      </x:c>
      <x:c r="R17" s="60" t="str">
        <x:v>Trade receivables including derivative features comparative balance</x:v>
      </x:c>
    </x:row>
    <x:row r="18">
      <x:c r="A18" s="60" t="str">
        <x:v>GLEN-2025-AR-CLOSE</x:v>
      </x:c>
      <x:c r="B18" s="60" t="str">
        <x:v>E02</x:v>
      </x:c>
      <x:c r="C18" s="60" t="str">
        <x:v>Glencore</x:v>
      </x:c>
      <x:c r="D18" s="60" t="str">
        <x:v>trade_receivables_close</x:v>
      </x:c>
      <x:c r="E18" s="61" t="n">
        <x:v>13428</x:v>
      </x:c>
      <x:c r="F18" s="60" t="str">
        <x:v>million</x:v>
      </x:c>
      <x:c r="G18" s="60" t="str">
        <x:v>USD</x:v>
      </x:c>
      <x:c r="H18" s="62" t="n">
        <x:v>17.86</x:v>
      </x:c>
      <x:c r="I18" s="63" t="n">
        <x:f>E18*1000000*H18</x:f>
        <x:v>239824080000</x:v>
      </x:c>
      <x:c r="J18" s="60" t="str">
        <x:v>2025-01-01</x:v>
      </x:c>
      <x:c r="K18" s="60" t="str">
        <x:v>2025-12-31</x:v>
      </x:c>
      <x:c r="L18" s="60" t="str">
        <x:v>2026-03-10</x:v>
      </x:c>
      <x:c r="M18" s="60" t="str">
        <x:v>audited</x:v>
      </x:c>
      <x:c r="N18" s="60" t="str">
        <x:v>Glencore Annual Report 2025</x:v>
      </x:c>
      <x:c r="O18" s="60" t="str">
        <x:v>186</x:v>
      </x:c>
      <x:c r="P18" s="60" t="str">
        <x:v>https://www.glencore.com/.rest/api/v1/documents/static/9b103e11-72e7-40bf-ae7c-eabe57361522/GLEN-2025-Annual-Report.pdf</x:v>
      </x:c>
      <x:c r="Q18" s="60" t="str">
        <x:v>direct audited line item</x:v>
      </x:c>
      <x:c r="R18" s="60" t="str">
        <x:v>Trade receivables including derivative features closing balance</x:v>
      </x:c>
    </x:row>
    <x:row r="19">
      <x:c r="A19" s="60" t="str">
        <x:v>GLEN-2025-INV-OPEN</x:v>
      </x:c>
      <x:c r="B19" s="60" t="str">
        <x:v>E02</x:v>
      </x:c>
      <x:c r="C19" s="60" t="str">
        <x:v>Glencore</x:v>
      </x:c>
      <x:c r="D19" s="60" t="str">
        <x:v>inventories_open</x:v>
      </x:c>
      <x:c r="E19" s="61" t="n">
        <x:v>30097</x:v>
      </x:c>
      <x:c r="F19" s="60" t="str">
        <x:v>million</x:v>
      </x:c>
      <x:c r="G19" s="60" t="str">
        <x:v>USD</x:v>
      </x:c>
      <x:c r="H19" s="62" t="n">
        <x:v>17.86</x:v>
      </x:c>
      <x:c r="I19" s="63" t="n">
        <x:f>E19*1000000*H19</x:f>
        <x:v>537532420000</x:v>
      </x:c>
      <x:c r="J19" s="60" t="str">
        <x:v>2024-01-01</x:v>
      </x:c>
      <x:c r="K19" s="60" t="str">
        <x:v>2024-12-31</x:v>
      </x:c>
      <x:c r="L19" s="60" t="str">
        <x:v>2026-03-10</x:v>
      </x:c>
      <x:c r="M19" s="60" t="str">
        <x:v>audited</x:v>
      </x:c>
      <x:c r="N19" s="60" t="str">
        <x:v>Glencore Annual Report 2025</x:v>
      </x:c>
      <x:c r="O19" s="60" t="str">
        <x:v>185</x:v>
      </x:c>
      <x:c r="P19" s="60" t="str">
        <x:v>https://www.glencore.com/.rest/api/v1/documents/static/9b103e11-72e7-40bf-ae7c-eabe57361522/GLEN-2025-Annual-Report.pdf</x:v>
      </x:c>
      <x:c r="Q19" s="60" t="str">
        <x:v>direct audited comparative</x:v>
      </x:c>
      <x:c r="R19" s="60" t="str">
        <x:v>Current plus non-current inventories comparative balance</x:v>
      </x:c>
    </x:row>
    <x:row r="20">
      <x:c r="A20" s="60" t="str">
        <x:v>GLEN-2025-INV-CLOSE</x:v>
      </x:c>
      <x:c r="B20" s="60" t="str">
        <x:v>E02</x:v>
      </x:c>
      <x:c r="C20" s="60" t="str">
        <x:v>Glencore</x:v>
      </x:c>
      <x:c r="D20" s="60" t="str">
        <x:v>inventories_close</x:v>
      </x:c>
      <x:c r="E20" s="61" t="n">
        <x:v>33955</x:v>
      </x:c>
      <x:c r="F20" s="60" t="str">
        <x:v>million</x:v>
      </x:c>
      <x:c r="G20" s="60" t="str">
        <x:v>USD</x:v>
      </x:c>
      <x:c r="H20" s="62" t="n">
        <x:v>17.86</x:v>
      </x:c>
      <x:c r="I20" s="63" t="n">
        <x:f>E20*1000000*H20</x:f>
        <x:v>606436300000</x:v>
      </x:c>
      <x:c r="J20" s="60" t="str">
        <x:v>2025-01-01</x:v>
      </x:c>
      <x:c r="K20" s="60" t="str">
        <x:v>2025-12-31</x:v>
      </x:c>
      <x:c r="L20" s="60" t="str">
        <x:v>2026-03-10</x:v>
      </x:c>
      <x:c r="M20" s="60" t="str">
        <x:v>audited</x:v>
      </x:c>
      <x:c r="N20" s="60" t="str">
        <x:v>Glencore Annual Report 2025</x:v>
      </x:c>
      <x:c r="O20" s="60" t="str">
        <x:v>185</x:v>
      </x:c>
      <x:c r="P20" s="60" t="str">
        <x:v>https://www.glencore.com/.rest/api/v1/documents/static/9b103e11-72e7-40bf-ae7c-eabe57361522/GLEN-2025-Annual-Report.pdf</x:v>
      </x:c>
      <x:c r="Q20" s="60" t="str">
        <x:v>direct audited line item</x:v>
      </x:c>
      <x:c r="R20" s="60" t="str">
        <x:v>Current plus non-current inventories closing balance</x:v>
      </x:c>
    </x:row>
    <x:row r="21">
      <x:c r="A21" s="60" t="str">
        <x:v>GLEN-2025-AP-OPEN</x:v>
      </x:c>
      <x:c r="B21" s="60" t="str">
        <x:v>E02</x:v>
      </x:c>
      <x:c r="C21" s="60" t="str">
        <x:v>Glencore</x:v>
      </x:c>
      <x:c r="D21" s="60" t="str">
        <x:v>trade_payables_open</x:v>
      </x:c>
      <x:c r="E21" s="61" t="n">
        <x:v>24872</x:v>
      </x:c>
      <x:c r="F21" s="60" t="str">
        <x:v>million</x:v>
      </x:c>
      <x:c r="G21" s="60" t="str">
        <x:v>USD</x:v>
      </x:c>
      <x:c r="H21" s="62" t="n">
        <x:v>17.86</x:v>
      </x:c>
      <x:c r="I21" s="63" t="n">
        <x:f>E21*1000000*H21</x:f>
        <x:v>444213920000</x:v>
      </x:c>
      <x:c r="J21" s="60" t="str">
        <x:v>2024-01-01</x:v>
      </x:c>
      <x:c r="K21" s="60" t="str">
        <x:v>2024-12-31</x:v>
      </x:c>
      <x:c r="L21" s="60" t="str">
        <x:v>2026-03-10</x:v>
      </x:c>
      <x:c r="M21" s="60" t="str">
        <x:v>audited</x:v>
      </x:c>
      <x:c r="N21" s="60" t="str">
        <x:v>Glencore Annual Report 2025</x:v>
      </x:c>
      <x:c r="O21" s="60" t="str">
        <x:v>205</x:v>
      </x:c>
      <x:c r="P21" s="60" t="str">
        <x:v>https://www.glencore.com/.rest/api/v1/documents/static/9b103e11-72e7-40bf-ae7c-eabe57361522/GLEN-2025-Annual-Report.pdf</x:v>
      </x:c>
      <x:c r="Q21" s="60" t="str">
        <x:v>direct audited comparative</x:v>
      </x:c>
      <x:c r="R21" s="60" t="str">
        <x:v>Trade payables including derivative features comparative balance</x:v>
      </x:c>
    </x:row>
    <x:row r="22">
      <x:c r="A22" s="60" t="str">
        <x:v>GLEN-2025-AP-CLOSE</x:v>
      </x:c>
      <x:c r="B22" s="60" t="str">
        <x:v>E02</x:v>
      </x:c>
      <x:c r="C22" s="60" t="str">
        <x:v>Glencore</x:v>
      </x:c>
      <x:c r="D22" s="60" t="str">
        <x:v>trade_payables_close</x:v>
      </x:c>
      <x:c r="E22" s="61" t="n">
        <x:v>30537</x:v>
      </x:c>
      <x:c r="F22" s="60" t="str">
        <x:v>million</x:v>
      </x:c>
      <x:c r="G22" s="60" t="str">
        <x:v>USD</x:v>
      </x:c>
      <x:c r="H22" s="62" t="n">
        <x:v>17.86</x:v>
      </x:c>
      <x:c r="I22" s="63" t="n">
        <x:f>E22*1000000*H22</x:f>
        <x:v>545390820000</x:v>
      </x:c>
      <x:c r="J22" s="60" t="str">
        <x:v>2025-01-01</x:v>
      </x:c>
      <x:c r="K22" s="60" t="str">
        <x:v>2025-12-31</x:v>
      </x:c>
      <x:c r="L22" s="60" t="str">
        <x:v>2026-03-10</x:v>
      </x:c>
      <x:c r="M22" s="60" t="str">
        <x:v>audited</x:v>
      </x:c>
      <x:c r="N22" s="60" t="str">
        <x:v>Glencore Annual Report 2025</x:v>
      </x:c>
      <x:c r="O22" s="60" t="str">
        <x:v>205</x:v>
      </x:c>
      <x:c r="P22" s="60" t="str">
        <x:v>https://www.glencore.com/.rest/api/v1/documents/static/9b103e11-72e7-40bf-ae7c-eabe57361522/GLEN-2025-Annual-Report.pdf</x:v>
      </x:c>
      <x:c r="Q22" s="60" t="str">
        <x:v>direct audited line item</x:v>
      </x:c>
      <x:c r="R22" s="60" t="str">
        <x:v>Trade payables including derivative features closing balance</x:v>
      </x:c>
    </x:row>
    <x:row r="23">
      <x:c r="A23" s="60" t="str">
        <x:v>GLEN-2025-FX</x:v>
      </x:c>
      <x:c r="B23" s="60" t="str">
        <x:v>E02</x:v>
      </x:c>
      <x:c r="C23" s="60" t="str">
        <x:v>Glencore</x:v>
      </x:c>
      <x:c r="D23" s="60" t="str">
        <x:v>fx_exposure</x:v>
      </x:c>
      <x:c r="E23" s="61" t="n">
        <x:v>7587</x:v>
      </x:c>
      <x:c r="F23" s="60" t="str">
        <x:v>million</x:v>
      </x:c>
      <x:c r="G23" s="60" t="str">
        <x:v>USD</x:v>
      </x:c>
      <x:c r="H23" s="62" t="n">
        <x:v>17.86</x:v>
      </x:c>
      <x:c r="I23" s="63" t="n">
        <x:f>E23*1000000*H23</x:f>
        <x:v>135503820000</x:v>
      </x:c>
      <x:c r="J23" s="60" t="str">
        <x:v>2025-01-01</x:v>
      </x:c>
      <x:c r="K23" s="60" t="str">
        <x:v>2025-12-31</x:v>
      </x:c>
      <x:c r="L23" s="60" t="str">
        <x:v>2026-03-10</x:v>
      </x:c>
      <x:c r="M23" s="60" t="str">
        <x:v>audited</x:v>
      </x:c>
      <x:c r="N23" s="60" t="str">
        <x:v>Glencore Annual Report 2025</x:v>
      </x:c>
      <x:c r="O23" s="60" t="str">
        <x:v>212</x:v>
      </x:c>
      <x:c r="P23" s="60" t="str">
        <x:v>https://www.glencore.com/.rest/api/v1/documents/static/9b103e11-72e7-40bf-ae7c-eabe57361522/GLEN-2025-Annual-Report.pdf</x:v>
      </x:c>
      <x:c r="Q23" s="60" t="str">
        <x:v>direct audited note</x:v>
      </x:c>
      <x:c r="R23" s="60" t="str">
        <x:v>Cross-currency swap hedge notional of 1378 plus 6209</x:v>
      </x:c>
    </x:row>
    <x:row r="24">
      <x:c r="A24" s="60" t="str">
        <x:v>GLEN-2025-DEBT</x:v>
      </x:c>
      <x:c r="B24" s="60" t="str">
        <x:v>E02</x:v>
      </x:c>
      <x:c r="C24" s="60" t="str">
        <x:v>Glencore</x:v>
      </x:c>
      <x:c r="D24" s="60" t="str">
        <x:v>current_debt</x:v>
      </x:c>
      <x:c r="E24" s="61" t="n">
        <x:v>14494</x:v>
      </x:c>
      <x:c r="F24" s="60" t="str">
        <x:v>million</x:v>
      </x:c>
      <x:c r="G24" s="60" t="str">
        <x:v>USD</x:v>
      </x:c>
      <x:c r="H24" s="62" t="n">
        <x:v>17.86</x:v>
      </x:c>
      <x:c r="I24" s="63" t="n">
        <x:f>E24*1000000*H24</x:f>
        <x:v>258862840000</x:v>
      </x:c>
      <x:c r="J24" s="60" t="str">
        <x:v>2025-01-01</x:v>
      </x:c>
      <x:c r="K24" s="60" t="str">
        <x:v>2025-12-31</x:v>
      </x:c>
      <x:c r="L24" s="60" t="str">
        <x:v>2026-03-10</x:v>
      </x:c>
      <x:c r="M24" s="60" t="str">
        <x:v>audited</x:v>
      </x:c>
      <x:c r="N24" s="60" t="str">
        <x:v>Glencore Annual Report 2025</x:v>
      </x:c>
      <x:c r="O24" s="60" t="str">
        <x:v>138</x:v>
      </x:c>
      <x:c r="P24" s="60" t="str">
        <x:v>https://www.glencore.com/.rest/api/v1/documents/static/9b103e11-72e7-40bf-ae7c-eabe57361522/GLEN-2025-Annual-Report.pdf</x:v>
      </x:c>
      <x:c r="Q24" s="60" t="str">
        <x:v>direct audited line item</x:v>
      </x:c>
      <x:c r="R24" s="60" t="str">
        <x:v>Current borrowings</x:v>
      </x:c>
    </x:row>
    <x:row r="25">
      <x:c r="A25" s="60" t="str">
        <x:v>SHP-2025-REV</x:v>
      </x:c>
      <x:c r="B25" s="60" t="str">
        <x:v>E09</x:v>
      </x:c>
      <x:c r="C25" s="60" t="str">
        <x:v>Shoprite Holdings</x:v>
      </x:c>
      <x:c r="D25" s="60" t="str">
        <x:v>revenue</x:v>
      </x:c>
      <x:c r="E25" s="61" t="n">
        <x:v>256682</x:v>
      </x:c>
      <x:c r="F25" s="60" t="str">
        <x:v>million</x:v>
      </x:c>
      <x:c r="G25" s="60" t="str">
        <x:v>ZAR</x:v>
      </x:c>
      <x:c r="H25" s="62" t="n">
        <x:v>1</x:v>
      </x:c>
      <x:c r="I25" s="63" t="n">
        <x:f>E25*1000000*H25</x:f>
        <x:v>256682000000</x:v>
      </x:c>
      <x:c r="J25" s="60" t="str">
        <x:v>2024-07-01</x:v>
      </x:c>
      <x:c r="K25" s="60" t="str">
        <x:v>2025-06-29</x:v>
      </x:c>
      <x:c r="L25" s="60" t="str">
        <x:v>2025-10-13</x:v>
      </x:c>
      <x:c r="M25" s="60" t="str">
        <x:v>audited</x:v>
      </x:c>
      <x:c r="N25" s="60" t="str">
        <x:v>Shoprite Holdings Annual Financial Statements 2025</x:v>
      </x:c>
      <x:c r="O25" s="60" t="str">
        <x:v>19</x:v>
      </x:c>
      <x:c r="P25" s="60" t="str">
        <x:v>https://www.shopriteholdings.co.za/docs/shp-afs-2025.pdf</x:v>
      </x:c>
      <x:c r="Q25" s="60" t="str">
        <x:v>direct audited line item</x:v>
      </x:c>
      <x:c r="R25" s="60" t="str">
        <x:v>Consolidated statement of comprehensive income revenue</x:v>
      </x:c>
    </x:row>
    <x:row r="26">
      <x:c r="A26" s="60" t="str">
        <x:v>SHP-2025-COST</x:v>
      </x:c>
      <x:c r="B26" s="60" t="str">
        <x:v>E09</x:v>
      </x:c>
      <x:c r="C26" s="60" t="str">
        <x:v>Shoprite Holdings</x:v>
      </x:c>
      <x:c r="D26" s="60" t="str">
        <x:v>operating_cost_base</x:v>
      </x:c>
      <x:c r="E26" s="61" t="n">
        <x:v>191259</x:v>
      </x:c>
      <x:c r="F26" s="60" t="str">
        <x:v>million</x:v>
      </x:c>
      <x:c r="G26" s="60" t="str">
        <x:v>ZAR</x:v>
      </x:c>
      <x:c r="H26" s="62" t="n">
        <x:v>1</x:v>
      </x:c>
      <x:c r="I26" s="63" t="n">
        <x:f>E26*1000000*H26</x:f>
        <x:v>191259000000</x:v>
      </x:c>
      <x:c r="J26" s="60" t="str">
        <x:v>2024-07-01</x:v>
      </x:c>
      <x:c r="K26" s="60" t="str">
        <x:v>2025-06-29</x:v>
      </x:c>
      <x:c r="L26" s="60" t="str">
        <x:v>2025-10-13</x:v>
      </x:c>
      <x:c r="M26" s="60" t="str">
        <x:v>audited</x:v>
      </x:c>
      <x:c r="N26" s="60" t="str">
        <x:v>Shoprite Holdings Annual Financial Statements 2025</x:v>
      </x:c>
      <x:c r="O26" s="60" t="str">
        <x:v>19</x:v>
      </x:c>
      <x:c r="P26" s="60" t="str">
        <x:v>https://www.shopriteholdings.co.za/docs/shp-afs-2025.pdf</x:v>
      </x:c>
      <x:c r="Q26" s="60" t="str">
        <x:v>direct audited line item</x:v>
      </x:c>
      <x:c r="R26" s="60" t="str">
        <x:v>Cost of sales</x:v>
      </x:c>
    </x:row>
    <x:row r="27">
      <x:c r="A27" s="60" t="str">
        <x:v>SHP-2025-AR-OPEN</x:v>
      </x:c>
      <x:c r="B27" s="60" t="str">
        <x:v>E09</x:v>
      </x:c>
      <x:c r="C27" s="60" t="str">
        <x:v>Shoprite Holdings</x:v>
      </x:c>
      <x:c r="D27" s="60" t="str">
        <x:v>trade_receivables_open</x:v>
      </x:c>
      <x:c r="E27" s="61" t="n">
        <x:v>6714</x:v>
      </x:c>
      <x:c r="F27" s="60" t="str">
        <x:v>million</x:v>
      </x:c>
      <x:c r="G27" s="60" t="str">
        <x:v>ZAR</x:v>
      </x:c>
      <x:c r="H27" s="62" t="n">
        <x:v>1</x:v>
      </x:c>
      <x:c r="I27" s="63" t="n">
        <x:f>E27*1000000*H27</x:f>
        <x:v>6714000000</x:v>
      </x:c>
      <x:c r="J27" s="60" t="str">
        <x:v>2023-07-01</x:v>
      </x:c>
      <x:c r="K27" s="60" t="str">
        <x:v>2024-06-30</x:v>
      </x:c>
      <x:c r="L27" s="60" t="str">
        <x:v>2025-10-13</x:v>
      </x:c>
      <x:c r="M27" s="60" t="str">
        <x:v>audited</x:v>
      </x:c>
      <x:c r="N27" s="60" t="str">
        <x:v>Shoprite Holdings Annual Financial Statements 2025</x:v>
      </x:c>
      <x:c r="O27" s="60" t="str">
        <x:v>18</x:v>
      </x:c>
      <x:c r="P27" s="60" t="str">
        <x:v>https://www.shopriteholdings.co.za/docs/shp-afs-2025.pdf</x:v>
      </x:c>
      <x:c r="Q27" s="60" t="str">
        <x:v>direct audited comparative</x:v>
      </x:c>
      <x:c r="R27" s="60" t="str">
        <x:v>Current plus non-current trade and other receivables comparative balance</x:v>
      </x:c>
    </x:row>
    <x:row r="28">
      <x:c r="A28" s="60" t="str">
        <x:v>SHP-2025-AR-CLOSE</x:v>
      </x:c>
      <x:c r="B28" s="60" t="str">
        <x:v>E09</x:v>
      </x:c>
      <x:c r="C28" s="60" t="str">
        <x:v>Shoprite Holdings</x:v>
      </x:c>
      <x:c r="D28" s="60" t="str">
        <x:v>trade_receivables_close</x:v>
      </x:c>
      <x:c r="E28" s="61" t="n">
        <x:v>6291</x:v>
      </x:c>
      <x:c r="F28" s="60" t="str">
        <x:v>million</x:v>
      </x:c>
      <x:c r="G28" s="60" t="str">
        <x:v>ZAR</x:v>
      </x:c>
      <x:c r="H28" s="62" t="n">
        <x:v>1</x:v>
      </x:c>
      <x:c r="I28" s="63" t="n">
        <x:f>E28*1000000*H28</x:f>
        <x:v>6291000000</x:v>
      </x:c>
      <x:c r="J28" s="60" t="str">
        <x:v>2024-07-01</x:v>
      </x:c>
      <x:c r="K28" s="60" t="str">
        <x:v>2025-06-29</x:v>
      </x:c>
      <x:c r="L28" s="60" t="str">
        <x:v>2025-10-13</x:v>
      </x:c>
      <x:c r="M28" s="60" t="str">
        <x:v>audited</x:v>
      </x:c>
      <x:c r="N28" s="60" t="str">
        <x:v>Shoprite Holdings Annual Financial Statements 2025</x:v>
      </x:c>
      <x:c r="O28" s="60" t="str">
        <x:v>18</x:v>
      </x:c>
      <x:c r="P28" s="60" t="str">
        <x:v>https://www.shopriteholdings.co.za/docs/shp-afs-2025.pdf</x:v>
      </x:c>
      <x:c r="Q28" s="60" t="str">
        <x:v>direct audited line item</x:v>
      </x:c>
      <x:c r="R28" s="60" t="str">
        <x:v>Current plus non-current trade and other receivables closing balance</x:v>
      </x:c>
    </x:row>
    <x:row r="29">
      <x:c r="A29" s="60" t="str">
        <x:v>SHP-2025-INV-OPEN</x:v>
      </x:c>
      <x:c r="B29" s="60" t="str">
        <x:v>E09</x:v>
      </x:c>
      <x:c r="C29" s="60" t="str">
        <x:v>Shoprite Holdings</x:v>
      </x:c>
      <x:c r="D29" s="60" t="str">
        <x:v>inventories_open</x:v>
      </x:c>
      <x:c r="E29" s="61" t="n">
        <x:v>28366</x:v>
      </x:c>
      <x:c r="F29" s="60" t="str">
        <x:v>million</x:v>
      </x:c>
      <x:c r="G29" s="60" t="str">
        <x:v>ZAR</x:v>
      </x:c>
      <x:c r="H29" s="62" t="n">
        <x:v>1</x:v>
      </x:c>
      <x:c r="I29" s="63" t="n">
        <x:f>E29*1000000*H29</x:f>
        <x:v>28366000000</x:v>
      </x:c>
      <x:c r="J29" s="60" t="str">
        <x:v>2023-07-01</x:v>
      </x:c>
      <x:c r="K29" s="60" t="str">
        <x:v>2024-06-30</x:v>
      </x:c>
      <x:c r="L29" s="60" t="str">
        <x:v>2025-10-13</x:v>
      </x:c>
      <x:c r="M29" s="60" t="str">
        <x:v>audited</x:v>
      </x:c>
      <x:c r="N29" s="60" t="str">
        <x:v>Shoprite Holdings Annual Financial Statements 2025</x:v>
      </x:c>
      <x:c r="O29" s="60" t="str">
        <x:v>18</x:v>
      </x:c>
      <x:c r="P29" s="60" t="str">
        <x:v>https://www.shopriteholdings.co.za/docs/shp-afs-2025.pdf</x:v>
      </x:c>
      <x:c r="Q29" s="60" t="str">
        <x:v>direct audited comparative</x:v>
      </x:c>
      <x:c r="R29" s="60" t="str">
        <x:v>Inventories comparative balance</x:v>
      </x:c>
    </x:row>
    <x:row r="30">
      <x:c r="A30" s="60" t="str">
        <x:v>SHP-2025-INV-CLOSE</x:v>
      </x:c>
      <x:c r="B30" s="60" t="str">
        <x:v>E09</x:v>
      </x:c>
      <x:c r="C30" s="60" t="str">
        <x:v>Shoprite Holdings</x:v>
      </x:c>
      <x:c r="D30" s="60" t="str">
        <x:v>inventories_close</x:v>
      </x:c>
      <x:c r="E30" s="61" t="n">
        <x:v>29748</x:v>
      </x:c>
      <x:c r="F30" s="60" t="str">
        <x:v>million</x:v>
      </x:c>
      <x:c r="G30" s="60" t="str">
        <x:v>ZAR</x:v>
      </x:c>
      <x:c r="H30" s="62" t="n">
        <x:v>1</x:v>
      </x:c>
      <x:c r="I30" s="63" t="n">
        <x:f>E30*1000000*H30</x:f>
        <x:v>29748000000</x:v>
      </x:c>
      <x:c r="J30" s="60" t="str">
        <x:v>2024-07-01</x:v>
      </x:c>
      <x:c r="K30" s="60" t="str">
        <x:v>2025-06-29</x:v>
      </x:c>
      <x:c r="L30" s="60" t="str">
        <x:v>2025-10-13</x:v>
      </x:c>
      <x:c r="M30" s="60" t="str">
        <x:v>audited</x:v>
      </x:c>
      <x:c r="N30" s="60" t="str">
        <x:v>Shoprite Holdings Annual Financial Statements 2025</x:v>
      </x:c>
      <x:c r="O30" s="60" t="str">
        <x:v>18</x:v>
      </x:c>
      <x:c r="P30" s="60" t="str">
        <x:v>https://www.shopriteholdings.co.za/docs/shp-afs-2025.pdf</x:v>
      </x:c>
      <x:c r="Q30" s="60" t="str">
        <x:v>direct audited line item</x:v>
      </x:c>
      <x:c r="R30" s="60" t="str">
        <x:v>Inventories closing balance</x:v>
      </x:c>
    </x:row>
    <x:row r="31">
      <x:c r="A31" s="60" t="str">
        <x:v>SHP-2025-AP-OPEN</x:v>
      </x:c>
      <x:c r="B31" s="60" t="str">
        <x:v>E09</x:v>
      </x:c>
      <x:c r="C31" s="60" t="str">
        <x:v>Shoprite Holdings</x:v>
      </x:c>
      <x:c r="D31" s="60" t="str">
        <x:v>trade_payables_open</x:v>
      </x:c>
      <x:c r="E31" s="61" t="n">
        <x:v>32544</x:v>
      </x:c>
      <x:c r="F31" s="60" t="str">
        <x:v>million</x:v>
      </x:c>
      <x:c r="G31" s="60" t="str">
        <x:v>ZAR</x:v>
      </x:c>
      <x:c r="H31" s="62" t="n">
        <x:v>1</x:v>
      </x:c>
      <x:c r="I31" s="63" t="n">
        <x:f>E31*1000000*H31</x:f>
        <x:v>32544000000</x:v>
      </x:c>
      <x:c r="J31" s="60" t="str">
        <x:v>2023-07-01</x:v>
      </x:c>
      <x:c r="K31" s="60" t="str">
        <x:v>2024-06-30</x:v>
      </x:c>
      <x:c r="L31" s="60" t="str">
        <x:v>2025-10-13</x:v>
      </x:c>
      <x:c r="M31" s="60" t="str">
        <x:v>audited</x:v>
      </x:c>
      <x:c r="N31" s="60" t="str">
        <x:v>Shoprite Holdings Annual Financial Statements 2025</x:v>
      </x:c>
      <x:c r="O31" s="60" t="str">
        <x:v>18</x:v>
      </x:c>
      <x:c r="P31" s="60" t="str">
        <x:v>https://www.shopriteholdings.co.za/docs/shp-afs-2025.pdf</x:v>
      </x:c>
      <x:c r="Q31" s="60" t="str">
        <x:v>direct audited comparative</x:v>
      </x:c>
      <x:c r="R31" s="60" t="str">
        <x:v>Current plus non-current trade and other payables comparative balance</x:v>
      </x:c>
    </x:row>
    <x:row r="32">
      <x:c r="A32" s="60" t="str">
        <x:v>SHP-2025-AP-CLOSE</x:v>
      </x:c>
      <x:c r="B32" s="60" t="str">
        <x:v>E09</x:v>
      </x:c>
      <x:c r="C32" s="60" t="str">
        <x:v>Shoprite Holdings</x:v>
      </x:c>
      <x:c r="D32" s="60" t="str">
        <x:v>trade_payables_close</x:v>
      </x:c>
      <x:c r="E32" s="61" t="n">
        <x:v>34160</x:v>
      </x:c>
      <x:c r="F32" s="60" t="str">
        <x:v>million</x:v>
      </x:c>
      <x:c r="G32" s="60" t="str">
        <x:v>ZAR</x:v>
      </x:c>
      <x:c r="H32" s="62" t="n">
        <x:v>1</x:v>
      </x:c>
      <x:c r="I32" s="63" t="n">
        <x:f>E32*1000000*H32</x:f>
        <x:v>34160000000</x:v>
      </x:c>
      <x:c r="J32" s="60" t="str">
        <x:v>2024-07-01</x:v>
      </x:c>
      <x:c r="K32" s="60" t="str">
        <x:v>2025-06-29</x:v>
      </x:c>
      <x:c r="L32" s="60" t="str">
        <x:v>2025-10-13</x:v>
      </x:c>
      <x:c r="M32" s="60" t="str">
        <x:v>audited</x:v>
      </x:c>
      <x:c r="N32" s="60" t="str">
        <x:v>Shoprite Holdings Annual Financial Statements 2025</x:v>
      </x:c>
      <x:c r="O32" s="60" t="str">
        <x:v>18</x:v>
      </x:c>
      <x:c r="P32" s="60" t="str">
        <x:v>https://www.shopriteholdings.co.za/docs/shp-afs-2025.pdf</x:v>
      </x:c>
      <x:c r="Q32" s="60" t="str">
        <x:v>direct audited line item</x:v>
      </x:c>
      <x:c r="R32" s="60" t="str">
        <x:v>Current plus non-current trade and other payables closing balance</x:v>
      </x:c>
    </x:row>
    <x:row r="33">
      <x:c r="A33" s="60" t="str">
        <x:v>SHP-2025-FX</x:v>
      </x:c>
      <x:c r="B33" s="60" t="str">
        <x:v>E09</x:v>
      </x:c>
      <x:c r="C33" s="60" t="str">
        <x:v>Shoprite Holdings</x:v>
      </x:c>
      <x:c r="D33" s="60" t="str">
        <x:v>fx_exposure</x:v>
      </x:c>
      <x:c r="E33" s="61" t="n">
        <x:v>3572</x:v>
      </x:c>
      <x:c r="F33" s="60" t="str">
        <x:v>million</x:v>
      </x:c>
      <x:c r="G33" s="60" t="str">
        <x:v>ZAR</x:v>
      </x:c>
      <x:c r="H33" s="62" t="n">
        <x:v>1</x:v>
      </x:c>
      <x:c r="I33" s="63" t="n">
        <x:f>E33*1000000*H33</x:f>
        <x:v>3572000000</x:v>
      </x:c>
      <x:c r="J33" s="60" t="str">
        <x:v>2024-07-01</x:v>
      </x:c>
      <x:c r="K33" s="60" t="str">
        <x:v>2025-06-29</x:v>
      </x:c>
      <x:c r="L33" s="60" t="str">
        <x:v>2025-10-13</x:v>
      </x:c>
      <x:c r="M33" s="60" t="str">
        <x:v>audited</x:v>
      </x:c>
      <x:c r="N33" s="60" t="str">
        <x:v>Shoprite Holdings Annual Financial Statements 2025</x:v>
      </x:c>
      <x:c r="O33" s="60" t="str">
        <x:v>118-119</x:v>
      </x:c>
      <x:c r="P33" s="60" t="str">
        <x:v>https://www.shopriteholdings.co.za/docs/shp-afs-2025.pdf</x:v>
      </x:c>
      <x:c r="Q33" s="60" t="str">
        <x:v>direct audited note</x:v>
      </x:c>
      <x:c r="R33" s="60" t="str">
        <x:v>Sum of absolute significant net monetary currency concentrations</x:v>
      </x:c>
    </x:row>
    <x:row r="34">
      <x:c r="A34" s="60" t="str">
        <x:v>SHP-2025-DEBT</x:v>
      </x:c>
      <x:c r="B34" s="60" t="str">
        <x:v>E09</x:v>
      </x:c>
      <x:c r="C34" s="60" t="str">
        <x:v>Shoprite Holdings</x:v>
      </x:c>
      <x:c r="D34" s="60" t="str">
        <x:v>current_debt</x:v>
      </x:c>
      <x:c r="E34" s="61" t="n">
        <x:v>489</x:v>
      </x:c>
      <x:c r="F34" s="60" t="str">
        <x:v>million</x:v>
      </x:c>
      <x:c r="G34" s="60" t="str">
        <x:v>ZAR</x:v>
      </x:c>
      <x:c r="H34" s="62" t="n">
        <x:v>1</x:v>
      </x:c>
      <x:c r="I34" s="63" t="n">
        <x:f>E34*1000000*H34</x:f>
        <x:v>489000000</x:v>
      </x:c>
      <x:c r="J34" s="60" t="str">
        <x:v>2024-07-01</x:v>
      </x:c>
      <x:c r="K34" s="60" t="str">
        <x:v>2025-06-29</x:v>
      </x:c>
      <x:c r="L34" s="60" t="str">
        <x:v>2025-10-13</x:v>
      </x:c>
      <x:c r="M34" s="60" t="str">
        <x:v>audited</x:v>
      </x:c>
      <x:c r="N34" s="60" t="str">
        <x:v>Shoprite Holdings Annual Financial Statements 2025</x:v>
      </x:c>
      <x:c r="O34" s="60" t="str">
        <x:v>18</x:v>
      </x:c>
      <x:c r="P34" s="60" t="str">
        <x:v>https://www.shopriteholdings.co.za/docs/shp-afs-2025.pdf</x:v>
      </x:c>
      <x:c r="Q34" s="60" t="str">
        <x:v>direct audited line item</x:v>
      </x:c>
      <x:c r="R34" s="60" t="str">
        <x:v>Current borrowings</x:v>
      </x:c>
    </x:row>
    <x:row r="35">
      <x:c r="A35" s="60" t="str">
        <x:v>SHP-2025-STF</x:v>
      </x:c>
      <x:c r="B35" s="60" t="str">
        <x:v>E09</x:v>
      </x:c>
      <x:c r="C35" s="60" t="str">
        <x:v>Shoprite Holdings</x:v>
      </x:c>
      <x:c r="D35" s="60" t="str">
        <x:v>short_term_facilities</x:v>
      </x:c>
      <x:c r="E35" s="61" t="n">
        <x:v>1863</x:v>
      </x:c>
      <x:c r="F35" s="60" t="str">
        <x:v>million</x:v>
      </x:c>
      <x:c r="G35" s="60" t="str">
        <x:v>ZAR</x:v>
      </x:c>
      <x:c r="H35" s="62" t="n">
        <x:v>1</x:v>
      </x:c>
      <x:c r="I35" s="63" t="n">
        <x:f>E35*1000000*H35</x:f>
        <x:v>1863000000</x:v>
      </x:c>
      <x:c r="J35" s="60" t="str">
        <x:v>2024-07-01</x:v>
      </x:c>
      <x:c r="K35" s="60" t="str">
        <x:v>2025-06-29</x:v>
      </x:c>
      <x:c r="L35" s="60" t="str">
        <x:v>2025-10-13</x:v>
      </x:c>
      <x:c r="M35" s="60" t="str">
        <x:v>audited</x:v>
      </x:c>
      <x:c r="N35" s="60" t="str">
        <x:v>Shoprite Holdings Annual Financial Statements 2025</x:v>
      </x:c>
      <x:c r="O35" s="60" t="str">
        <x:v>18</x:v>
      </x:c>
      <x:c r="P35" s="60" t="str">
        <x:v>https://www.shopriteholdings.co.za/docs/shp-afs-2025.pdf</x:v>
      </x:c>
      <x:c r="Q35" s="60" t="str">
        <x:v>direct audited line item</x:v>
      </x:c>
      <x:c r="R35" s="60" t="str">
        <x:v>Bank overdrafts and other short-term facilities</x:v>
      </x:c>
    </x:row>
  </x:sheetData>
  <x:mergeCells>
    <x:mergeCell ref="A1:R1"/>
    <x:mergeCell ref="A2:R2"/>
  </x:mergeCells>
  <x:conditionalFormatting sqref="A5:R35">
    <x:cfRule type="expression" dxfId="0" priority="1">
      <x:formula>$M5="audited"</x:formula>
    </x:cfRule>
  </x:conditionalFormatting>
  <x:pageMargins left="0.7" right="0.7" top="0.75" bottom="0.75" header="0.3" footer="0.3"/>
  <x:legacyDrawing xmlns:r="http://schemas.openxmlformats.org/officeDocument/2006/relationships" r:id="Rcd02b2aba8a1407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2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6" hidden="0" customWidth="1"/>
    <x:col min="10" max="10" width="36" hidden="0" customWidth="1"/>
    <x:col min="11" max="11" width="36" hidden="0" customWidth="1"/>
    <x:col min="12" max="12" width="45" hidden="0" customWidth="1"/>
    <x:col min="13" max="13" width="15" hidden="0" customWidth="1"/>
    <x:col min="14" max="14" width="15" hidden="0" customWidth="1"/>
  </x:cols>
  <x:sheetData>
    <x:row r="1" ht="34" customHeight="1">
      <x:c r="A1" s="3" t="str">
        <x:v>Derived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5" customHeight="1">
      <x:c r="A2" s="6" t="str">
        <x:v>Formula-driven transformations from the Public Facts sheet; model values are included as tie-out checks.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4" ht="28" customHeight="1">
      <x:c r="A4" s="56" t="str">
        <x:v>Entity ID</x:v>
      </x:c>
      <x:c r="B4" s="56" t="str">
        <x:v>Entity name</x:v>
      </x:c>
      <x:c r="C4" s="56" t="str">
        <x:v>Product</x:v>
      </x:c>
      <x:c r="D4" s="56" t="str">
        <x:v>Low ZAR</x:v>
      </x:c>
      <x:c r="E4" s="56" t="str">
        <x:v>Base ZAR</x:v>
      </x:c>
      <x:c r="F4" s="56" t="str">
        <x:v>High ZAR</x:v>
      </x:c>
      <x:c r="G4" s="56" t="str">
        <x:v>Model base ZAR</x:v>
      </x:c>
      <x:c r="H4" s="56" t="str">
        <x:v>Variance</x:v>
      </x:c>
      <x:c r="I4" s="56" t="str">
        <x:v>Anchor</x:v>
      </x:c>
      <x:c r="J4" s="56" t="str">
        <x:v>Formula</x:v>
      </x:c>
      <x:c r="K4" s="56" t="str">
        <x:v>Assumption</x:v>
      </x:c>
      <x:c r="L4" s="56" t="str">
        <x:v>Fact IDs</x:v>
      </x:c>
      <x:c r="M4" s="56" t="str">
        <x:v>Period end</x:v>
      </x:c>
      <x:c r="N4" s="56" t="str">
        <x:v>Available date</x:v>
      </x:c>
    </x:row>
    <x:row r="5">
      <x:c r="A5" s="60" t="str">
        <x:v>E01</x:v>
      </x:c>
      <x:c r="B5" s="60" t="str">
        <x:v>BHP Group</x:v>
      </x:c>
      <x:c r="C5" s="60" t="str">
        <x:v>Collections</x:v>
      </x:c>
      <x:c r="D5" s="63" t="n">
        <x:f>E5*0.88</x:f>
        <x:v>815198982400</x:v>
      </x:c>
      <x:c r="E5" s="63" t="n">
        <x:f>SUMIFS('Public Facts'!$I$5:$I$35,'Public Facts'!$B$5:$B$35,$A5,'Public Facts'!$D$5:$D$35,"revenue")+SUMIFS('Public Facts'!$I$5:$I$35,'Public Facts'!$B$5:$B$35,$A5,'Public Facts'!$D$5:$D$35,"trade_receivables_open")-SUMIFS('Public Facts'!$I$5:$I$35,'Public Facts'!$B$5:$B$35,$A5,'Public Facts'!$D$5:$D$35,"trade_receivables_close")</x:f>
        <x:v>926362480000</x:v>
      </x:c>
      <x:c r="F5" s="63" t="n">
        <x:f>E5*1.12</x:f>
        <x:v>1037525977600.0001</x:v>
      </x:c>
      <x:c r="G5" s="63" t="n">
        <x:v>926362480000</x:v>
      </x:c>
      <x:c r="H5" s="63" t="n">
        <x:f>E5-G5</x:f>
        <x:v>0</x:v>
      </x:c>
      <x:c r="I5" s="60" t="str">
        <x:v>Audited cash-collections identity</x:v>
      </x:c>
      <x:c r="J5" s="60" t="str">
        <x:v>Revenue + opening trade receivables - closing trade receivables</x:v>
      </x:c>
      <x:c r="K5" s="60" t="str">
        <x:v>Accounting proxy bounded at 88%/112% to allow non-cash and classification effects.</x:v>
      </x:c>
      <x:c r="L5" s="60" t="str">
        <x:v>BHP-2025-REV, BHP-2025-AR-OPEN, BHP-2025-AR-CLOSE</x:v>
      </x:c>
      <x:c r="M5" s="60" t="str">
        <x:v>2025-06-30</x:v>
      </x:c>
      <x:c r="N5" s="60" t="str">
        <x:v>2025-08-19</x:v>
      </x:c>
    </x:row>
    <x:row r="6">
      <x:c r="A6" s="60" t="str">
        <x:v>E01</x:v>
      </x:c>
      <x:c r="B6" s="60" t="str">
        <x:v>BHP Group</x:v>
      </x:c>
      <x:c r="C6" s="60" t="str">
        <x:v>Payments</x:v>
      </x:c>
      <x:c r="D6" s="63" t="n">
        <x:f>E6*0.88</x:f>
        <x:v>511016035200</x:v>
      </x:c>
      <x:c r="E6" s="63" t="n">
        <x:f>SUMIFS('Public Facts'!$I$5:$I$35,'Public Facts'!$B$5:$B$35,$A6,'Public Facts'!$D$5:$D$35,"operating_cost_base")+SUMIFS('Public Facts'!$I$5:$I$35,'Public Facts'!$B$5:$B$35,$A6,'Public Facts'!$D$5:$D$35,"inventories_close")-SUMIFS('Public Facts'!$I$5:$I$35,'Public Facts'!$B$5:$B$35,$A6,'Public Facts'!$D$5:$D$35,"inventories_open")+SUMIFS('Public Facts'!$I$5:$I$35,'Public Facts'!$B$5:$B$35,$A6,'Public Facts'!$D$5:$D$35,"trade_payables_open")-SUMIFS('Public Facts'!$I$5:$I$35,'Public Facts'!$B$5:$B$35,$A6,'Public Facts'!$D$5:$D$35,"trade_payables_close")</x:f>
        <x:v>580700040000</x:v>
      </x:c>
      <x:c r="F6" s="63" t="n">
        <x:f>E6*1.12</x:f>
        <x:v>650384044800.0001</x:v>
      </x:c>
      <x:c r="G6" s="63" t="n">
        <x:v>580700040000</x:v>
      </x:c>
      <x:c r="H6" s="63" t="n">
        <x:f>E6-G6</x:f>
        <x:v>0</x:v>
      </x:c>
      <x:c r="I6" s="60" t="str">
        <x:v>Audited supplier-payments identity</x:v>
      </x:c>
      <x:c r="J6" s="60" t="str">
        <x:v>Cost base + closing inventory - opening inventory + opening trade payables - closing trade payables</x:v>
      </x:c>
      <x:c r="K6" s="60" t="str">
        <x:v>Accounting proxy bounded at 88%/112%; BHP's cost base is expenses excluding net finance costs.</x:v>
      </x:c>
      <x:c r="L6" s="60" t="str">
        <x:v>BHP-2025-COST, BHP-2025-INV-OPEN, BHP-2025-INV-CLOSE, BHP-2025-AP-OPEN, BHP-2025-AP-CLOSE</x:v>
      </x:c>
      <x:c r="M6" s="60" t="str">
        <x:v>2025-06-30</x:v>
      </x:c>
      <x:c r="N6" s="60" t="str">
        <x:v>2025-08-19</x:v>
      </x:c>
    </x:row>
    <x:row r="7">
      <x:c r="A7" s="60" t="str">
        <x:v>E01</x:v>
      </x:c>
      <x:c r="B7" s="60" t="str">
        <x:v>BHP Group</x:v>
      </x:c>
      <x:c r="C7" s="60" t="str">
        <x:v>Cross-border FX</x:v>
      </x:c>
      <x:c r="D7" s="63" t="n">
        <x:f>E7/2</x:f>
        <x:v>91496780000</x:v>
      </x:c>
      <x:c r="E7" s="63" t="n">
        <x:f>SUMIFS('Public Facts'!$I$5:$I$35,'Public Facts'!$B$5:$B$35,$A7,'Public Facts'!$D$5:$D$35,"fx_exposure")*2</x:f>
        <x:v>182993560000</x:v>
      </x:c>
      <x:c r="F7" s="63" t="n">
        <x:f>E7*2</x:f>
        <x:v>365987120000</x:v>
      </x:c>
      <x:c r="G7" s="63" t="n">
        <x:v>182993560000</x:v>
      </x:c>
      <x:c r="H7" s="63" t="n">
        <x:f>E7-G7</x:f>
        <x:v>0</x:v>
      </x:c>
      <x:c r="I7" s="60" t="str">
        <x:v>Audited FX exposure/notional turnover range</x:v>
      </x:c>
      <x:c r="J7" s="60" t="str">
        <x:v>Audited FX point exposure or hedge notional × annual turnover multiple</x:v>
      </x:c>
      <x:c r="K7" s="60" t="str">
        <x:v>Annual turnover low/base/high = 1.0x/2.0x/4.0x the disclosed point exposure/notional.</x:v>
      </x:c>
      <x:c r="L7" s="60" t="str">
        <x:v>BHP-2025-FX</x:v>
      </x:c>
      <x:c r="M7" s="60" t="str">
        <x:v>2025-06-30</x:v>
      </x:c>
      <x:c r="N7" s="60" t="str">
        <x:v>2025-08-19</x:v>
      </x:c>
    </x:row>
    <x:row r="8">
      <x:c r="A8" s="60" t="str">
        <x:v>E01</x:v>
      </x:c>
      <x:c r="B8" s="60" t="str">
        <x:v>BHP Group</x:v>
      </x:c>
      <x:c r="C8" s="60" t="str">
        <x:v>Liquidity</x:v>
      </x:c>
      <x:c r="D8" s="63" t="n">
        <x:f>E8*0.75</x:f>
        <x:v>27031110000</x:v>
      </x:c>
      <x:c r="E8" s="63" t="n">
        <x:f>SUMIFS('Public Facts'!$I$5:$I$35,'Public Facts'!$B$5:$B$35,$A8,'Public Facts'!$D$5:$D$35,"current_debt")+SUMIFS('Public Facts'!$I$5:$I$35,'Public Facts'!$B$5:$B$35,$A8,'Public Facts'!$D$5:$D$35,"short_term_facilities")</x:f>
        <x:v>36041480000</x:v>
      </x:c>
      <x:c r="F8" s="63" t="n">
        <x:f>E8*1.5</x:f>
        <x:v>54062220000</x:v>
      </x:c>
      <x:c r="G8" s="63" t="n">
        <x:v>36041480000</x:v>
      </x:c>
      <x:c r="H8" s="63" t="n">
        <x:f>E8-G8</x:f>
        <x:v>0</x:v>
      </x:c>
      <x:c r="I8" s="60" t="str">
        <x:v>Audited debt-maturity liquidity range</x:v>
      </x:c>
      <x:c r="J8" s="60" t="str">
        <x:v>Current debt maturity/refinancing amount × declared liquidity multiple</x:v>
      </x:c>
      <x:c r="K8" s="60" t="str">
        <x:v>Liquidity low/base/high = 0.75x/1.00x/1.50x current debt and facilities.</x:v>
      </x:c>
      <x:c r="L8" s="60" t="str">
        <x:v>BHP-2025-DEBT</x:v>
      </x:c>
      <x:c r="M8" s="60" t="str">
        <x:v>2025-06-30</x:v>
      </x:c>
      <x:c r="N8" s="60" t="str">
        <x:v>2025-08-19</x:v>
      </x:c>
    </x:row>
    <x:row r="9">
      <x:c r="A9" s="60" t="str">
        <x:v>E01</x:v>
      </x:c>
      <x:c r="B9" s="60" t="str">
        <x:v>BHP Group</x:v>
      </x:c>
      <x:c r="C9" s="60" t="str">
        <x:v>Trade finance</x:v>
      </x:c>
      <x:c r="D9" s="63" t="n">
        <x:f>E6*0.01</x:f>
        <x:v>5807000400</x:v>
      </x:c>
      <x:c r="E9" s="63" t="n">
        <x:f>E6*0.03</x:f>
        <x:v>17421001200</x:v>
      </x:c>
      <x:c r="F9" s="63" t="n">
        <x:f>E6*0.06</x:f>
        <x:v>34842002400</x:v>
      </x:c>
      <x:c r="G9" s="63" t="n">
        <x:v>17421001200</x:v>
      </x:c>
      <x:c r="H9" s="63" t="n">
        <x:f>E9-G9</x:f>
        <x:v>0</x:v>
      </x:c>
      <x:c r="I9" s="60" t="str">
        <x:v>Audited payments base × trade-utilisation range</x:v>
      </x:c>
      <x:c r="J9" s="60" t="str">
        <x:v>Audited supplier-payments proxy × declared sector trade-finance utilisation</x:v>
      </x:c>
      <x:c r="K9" s="60" t="str">
        <x:v>Sector utilisation low/base/high = 1.0%/3.0%/6.0%.</x:v>
      </x:c>
      <x:c r="L9" s="60" t="str">
        <x:v>BHP-2025-COST, BHP-2025-INV-OPEN, BHP-2025-INV-CLOSE, BHP-2025-AP-OPEN, BHP-2025-AP-CLOSE</x:v>
      </x:c>
      <x:c r="M9" s="60" t="str">
        <x:v>2025-06-30</x:v>
      </x:c>
      <x:c r="N9" s="60" t="str">
        <x:v>2025-08-19</x:v>
      </x:c>
    </x:row>
    <x:row r="10">
      <x:c r="A10" s="60" t="str">
        <x:v>E02</x:v>
      </x:c>
      <x:c r="B10" s="60" t="str">
        <x:v>Glencore</x:v>
      </x:c>
      <x:c r="C10" s="60" t="str">
        <x:v>Collections</x:v>
      </x:c>
      <x:c r="D10" s="63" t="n">
        <x:f>E10*0.88</x:f>
        <x:v>3850380248000</x:v>
      </x:c>
      <x:c r="E10" s="63" t="n">
        <x:f>SUMIFS('Public Facts'!$I$5:$I$35,'Public Facts'!$B$5:$B$35,$A10,'Public Facts'!$D$5:$D$35,"revenue")+SUMIFS('Public Facts'!$I$5:$I$35,'Public Facts'!$B$5:$B$35,$A10,'Public Facts'!$D$5:$D$35,"trade_receivables_open")-SUMIFS('Public Facts'!$I$5:$I$35,'Public Facts'!$B$5:$B$35,$A10,'Public Facts'!$D$5:$D$35,"trade_receivables_close")</x:f>
        <x:v>4375432100000</x:v>
      </x:c>
      <x:c r="F10" s="63" t="n">
        <x:f>E10*1.12</x:f>
        <x:v>4900483952000</x:v>
      </x:c>
      <x:c r="G10" s="63" t="n">
        <x:v>4375432100000</x:v>
      </x:c>
      <x:c r="H10" s="63" t="n">
        <x:f>E10-G10</x:f>
        <x:v>0</x:v>
      </x:c>
      <x:c r="I10" s="60" t="str">
        <x:v>Audited cash-collections identity</x:v>
      </x:c>
      <x:c r="J10" s="60" t="str">
        <x:v>Revenue + opening trade receivables - closing trade receivables</x:v>
      </x:c>
      <x:c r="K10" s="60" t="str">
        <x:v>Accounting proxy bounded at 88%/112% to allow non-cash and classification effects.</x:v>
      </x:c>
      <x:c r="L10" s="60" t="str">
        <x:v>GLEN-2025-REV, GLEN-2025-AR-OPEN, GLEN-2025-AR-CLOSE</x:v>
      </x:c>
      <x:c r="M10" s="60" t="str">
        <x:v>2025-12-31</x:v>
      </x:c>
      <x:c r="N10" s="60" t="str">
        <x:v>2026-03-10</x:v>
      </x:c>
    </x:row>
    <x:row r="11">
      <x:c r="A11" s="60" t="str">
        <x:v>E02</x:v>
      </x:c>
      <x:c r="B11" s="60" t="str">
        <x:v>Glencore</x:v>
      </x:c>
      <x:c r="C11" s="60" t="str">
        <x:v>Payments</x:v>
      </x:c>
      <x:c r="D11" s="63" t="n">
        <x:f>E11*0.88</x:f>
        <x:v>3769910232000</x:v>
      </x:c>
      <x:c r="E11" s="63" t="n">
        <x:f>SUMIFS('Public Facts'!$I$5:$I$35,'Public Facts'!$B$5:$B$35,$A11,'Public Facts'!$D$5:$D$35,"operating_cost_base")+SUMIFS('Public Facts'!$I$5:$I$35,'Public Facts'!$B$5:$B$35,$A11,'Public Facts'!$D$5:$D$35,"inventories_close")-SUMIFS('Public Facts'!$I$5:$I$35,'Public Facts'!$B$5:$B$35,$A11,'Public Facts'!$D$5:$D$35,"inventories_open")+SUMIFS('Public Facts'!$I$5:$I$35,'Public Facts'!$B$5:$B$35,$A11,'Public Facts'!$D$5:$D$35,"trade_payables_open")-SUMIFS('Public Facts'!$I$5:$I$35,'Public Facts'!$B$5:$B$35,$A11,'Public Facts'!$D$5:$D$35,"trade_payables_close")</x:f>
        <x:v>4283988900000</x:v>
      </x:c>
      <x:c r="F11" s="63" t="n">
        <x:f>E11*1.12</x:f>
        <x:v>4798067568000</x:v>
      </x:c>
      <x:c r="G11" s="63" t="n">
        <x:v>4283988900000</x:v>
      </x:c>
      <x:c r="H11" s="63" t="n">
        <x:f>E11-G11</x:f>
        <x:v>0</x:v>
      </x:c>
      <x:c r="I11" s="60" t="str">
        <x:v>Audited supplier-payments identity</x:v>
      </x:c>
      <x:c r="J11" s="60" t="str">
        <x:v>Cost base + closing inventory - opening inventory + opening trade payables - closing trade payables</x:v>
      </x:c>
      <x:c r="K11" s="60" t="str">
        <x:v>Accounting proxy bounded at 88%/112%; BHP's cost base is expenses excluding net finance costs.</x:v>
      </x:c>
      <x:c r="L11" s="60" t="str">
        <x:v>GLEN-2025-COST, GLEN-2025-INV-OPEN, GLEN-2025-INV-CLOSE, GLEN-2025-AP-OPEN, GLEN-2025-AP-CLOSE</x:v>
      </x:c>
      <x:c r="M11" s="60" t="str">
        <x:v>2025-12-31</x:v>
      </x:c>
      <x:c r="N11" s="60" t="str">
        <x:v>2026-03-10</x:v>
      </x:c>
    </x:row>
    <x:row r="12">
      <x:c r="A12" s="60" t="str">
        <x:v>E02</x:v>
      </x:c>
      <x:c r="B12" s="60" t="str">
        <x:v>Glencore</x:v>
      </x:c>
      <x:c r="C12" s="60" t="str">
        <x:v>Cross-border FX</x:v>
      </x:c>
      <x:c r="D12" s="63" t="n">
        <x:f>E12/2</x:f>
        <x:v>135503820000</x:v>
      </x:c>
      <x:c r="E12" s="63" t="n">
        <x:f>SUMIFS('Public Facts'!$I$5:$I$35,'Public Facts'!$B$5:$B$35,$A12,'Public Facts'!$D$5:$D$35,"fx_exposure")*2</x:f>
        <x:v>271007640000</x:v>
      </x:c>
      <x:c r="F12" s="63" t="n">
        <x:f>E12*2</x:f>
        <x:v>542015280000</x:v>
      </x:c>
      <x:c r="G12" s="63" t="n">
        <x:v>271007640000</x:v>
      </x:c>
      <x:c r="H12" s="63" t="n">
        <x:f>E12-G12</x:f>
        <x:v>0</x:v>
      </x:c>
      <x:c r="I12" s="60" t="str">
        <x:v>Audited FX exposure/notional turnover range</x:v>
      </x:c>
      <x:c r="J12" s="60" t="str">
        <x:v>Audited FX point exposure or hedge notional × annual turnover multiple</x:v>
      </x:c>
      <x:c r="K12" s="60" t="str">
        <x:v>Annual turnover low/base/high = 1.0x/2.0x/4.0x the disclosed point exposure/notional.</x:v>
      </x:c>
      <x:c r="L12" s="60" t="str">
        <x:v>GLEN-2025-FX</x:v>
      </x:c>
      <x:c r="M12" s="60" t="str">
        <x:v>2025-12-31</x:v>
      </x:c>
      <x:c r="N12" s="60" t="str">
        <x:v>2026-03-10</x:v>
      </x:c>
    </x:row>
    <x:row r="13">
      <x:c r="A13" s="60" t="str">
        <x:v>E02</x:v>
      </x:c>
      <x:c r="B13" s="60" t="str">
        <x:v>Glencore</x:v>
      </x:c>
      <x:c r="C13" s="60" t="str">
        <x:v>Liquidity</x:v>
      </x:c>
      <x:c r="D13" s="63" t="n">
        <x:f>E13*0.75</x:f>
        <x:v>194147130000</x:v>
      </x:c>
      <x:c r="E13" s="63" t="n">
        <x:f>SUMIFS('Public Facts'!$I$5:$I$35,'Public Facts'!$B$5:$B$35,$A13,'Public Facts'!$D$5:$D$35,"current_debt")+SUMIFS('Public Facts'!$I$5:$I$35,'Public Facts'!$B$5:$B$35,$A13,'Public Facts'!$D$5:$D$35,"short_term_facilities")</x:f>
        <x:v>258862840000</x:v>
      </x:c>
      <x:c r="F13" s="63" t="n">
        <x:f>E13*1.5</x:f>
        <x:v>388294260000</x:v>
      </x:c>
      <x:c r="G13" s="63" t="n">
        <x:v>258862840000</x:v>
      </x:c>
      <x:c r="H13" s="63" t="n">
        <x:f>E13-G13</x:f>
        <x:v>0</x:v>
      </x:c>
      <x:c r="I13" s="60" t="str">
        <x:v>Audited debt-maturity liquidity range</x:v>
      </x:c>
      <x:c r="J13" s="60" t="str">
        <x:v>Current debt maturity/refinancing amount × declared liquidity multiple</x:v>
      </x:c>
      <x:c r="K13" s="60" t="str">
        <x:v>Liquidity low/base/high = 0.75x/1.00x/1.50x current debt and facilities.</x:v>
      </x:c>
      <x:c r="L13" s="60" t="str">
        <x:v>GLEN-2025-DEBT</x:v>
      </x:c>
      <x:c r="M13" s="60" t="str">
        <x:v>2025-12-31</x:v>
      </x:c>
      <x:c r="N13" s="60" t="str">
        <x:v>2026-03-10</x:v>
      </x:c>
    </x:row>
    <x:row r="14">
      <x:c r="A14" s="60" t="str">
        <x:v>E02</x:v>
      </x:c>
      <x:c r="B14" s="60" t="str">
        <x:v>Glencore</x:v>
      </x:c>
      <x:c r="C14" s="60" t="str">
        <x:v>Trade finance</x:v>
      </x:c>
      <x:c r="D14" s="63" t="n">
        <x:f>E11*0.01</x:f>
        <x:v>42839889000</x:v>
      </x:c>
      <x:c r="E14" s="63" t="n">
        <x:f>E11*0.03</x:f>
        <x:v>128519667000</x:v>
      </x:c>
      <x:c r="F14" s="63" t="n">
        <x:f>E11*0.06</x:f>
        <x:v>257039334000</x:v>
      </x:c>
      <x:c r="G14" s="63" t="n">
        <x:v>128519667000</x:v>
      </x:c>
      <x:c r="H14" s="63" t="n">
        <x:f>E14-G14</x:f>
        <x:v>0</x:v>
      </x:c>
      <x:c r="I14" s="60" t="str">
        <x:v>Audited payments base × trade-utilisation range</x:v>
      </x:c>
      <x:c r="J14" s="60" t="str">
        <x:v>Audited supplier-payments proxy × declared sector trade-finance utilisation</x:v>
      </x:c>
      <x:c r="K14" s="60" t="str">
        <x:v>Sector utilisation low/base/high = 1.0%/3.0%/6.0%.</x:v>
      </x:c>
      <x:c r="L14" s="60" t="str">
        <x:v>GLEN-2025-COST, GLEN-2025-INV-OPEN, GLEN-2025-INV-CLOSE, GLEN-2025-AP-OPEN, GLEN-2025-AP-CLOSE</x:v>
      </x:c>
      <x:c r="M14" s="60" t="str">
        <x:v>2025-12-31</x:v>
      </x:c>
      <x:c r="N14" s="60" t="str">
        <x:v>2026-03-10</x:v>
      </x:c>
    </x:row>
    <x:row r="15">
      <x:c r="A15" s="60" t="str">
        <x:v>E09</x:v>
      </x:c>
      <x:c r="B15" s="60" t="str">
        <x:v>Shoprite Holdings</x:v>
      </x:c>
      <x:c r="C15" s="60" t="str">
        <x:v>Collections</x:v>
      </x:c>
      <x:c r="D15" s="63" t="n">
        <x:f>E15*0.88</x:f>
        <x:v>226252400000</x:v>
      </x:c>
      <x:c r="E15" s="63" t="n">
        <x:f>SUMIFS('Public Facts'!$I$5:$I$35,'Public Facts'!$B$5:$B$35,$A15,'Public Facts'!$D$5:$D$35,"revenue")+SUMIFS('Public Facts'!$I$5:$I$35,'Public Facts'!$B$5:$B$35,$A15,'Public Facts'!$D$5:$D$35,"trade_receivables_open")-SUMIFS('Public Facts'!$I$5:$I$35,'Public Facts'!$B$5:$B$35,$A15,'Public Facts'!$D$5:$D$35,"trade_receivables_close")</x:f>
        <x:v>257105000000</x:v>
      </x:c>
      <x:c r="F15" s="63" t="n">
        <x:f>E15*1.12</x:f>
        <x:v>287957600000</x:v>
      </x:c>
      <x:c r="G15" s="63" t="n">
        <x:v>257105000000</x:v>
      </x:c>
      <x:c r="H15" s="63" t="n">
        <x:f>E15-G15</x:f>
        <x:v>0</x:v>
      </x:c>
      <x:c r="I15" s="60" t="str">
        <x:v>Audited cash-collections identity</x:v>
      </x:c>
      <x:c r="J15" s="60" t="str">
        <x:v>Revenue + opening trade receivables - closing trade receivables</x:v>
      </x:c>
      <x:c r="K15" s="60" t="str">
        <x:v>Accounting proxy bounded at 88%/112% to allow non-cash and classification effects.</x:v>
      </x:c>
      <x:c r="L15" s="60" t="str">
        <x:v>SHP-2025-REV, SHP-2025-AR-OPEN, SHP-2025-AR-CLOSE</x:v>
      </x:c>
      <x:c r="M15" s="60" t="str">
        <x:v>2025-06-29</x:v>
      </x:c>
      <x:c r="N15" s="60" t="str">
        <x:v>2025-10-13</x:v>
      </x:c>
    </x:row>
    <x:row r="16">
      <x:c r="A16" s="60" t="str">
        <x:v>E09</x:v>
      </x:c>
      <x:c r="B16" s="60" t="str">
        <x:v>Shoprite Holdings</x:v>
      </x:c>
      <x:c r="C16" s="60" t="str">
        <x:v>Payments</x:v>
      </x:c>
      <x:c r="D16" s="63" t="n">
        <x:f>E16*0.88</x:f>
        <x:v>168102000000</x:v>
      </x:c>
      <x:c r="E16" s="63" t="n">
        <x:f>SUMIFS('Public Facts'!$I$5:$I$35,'Public Facts'!$B$5:$B$35,$A16,'Public Facts'!$D$5:$D$35,"operating_cost_base")+SUMIFS('Public Facts'!$I$5:$I$35,'Public Facts'!$B$5:$B$35,$A16,'Public Facts'!$D$5:$D$35,"inventories_close")-SUMIFS('Public Facts'!$I$5:$I$35,'Public Facts'!$B$5:$B$35,$A16,'Public Facts'!$D$5:$D$35,"inventories_open")+SUMIFS('Public Facts'!$I$5:$I$35,'Public Facts'!$B$5:$B$35,$A16,'Public Facts'!$D$5:$D$35,"trade_payables_open")-SUMIFS('Public Facts'!$I$5:$I$35,'Public Facts'!$B$5:$B$35,$A16,'Public Facts'!$D$5:$D$35,"trade_payables_close")</x:f>
        <x:v>191025000000</x:v>
      </x:c>
      <x:c r="F16" s="63" t="n">
        <x:f>E16*1.12</x:f>
        <x:v>213948000000.00003</x:v>
      </x:c>
      <x:c r="G16" s="63" t="n">
        <x:v>191025000000</x:v>
      </x:c>
      <x:c r="H16" s="63" t="n">
        <x:f>E16-G16</x:f>
        <x:v>0</x:v>
      </x:c>
      <x:c r="I16" s="60" t="str">
        <x:v>Audited supplier-payments identity</x:v>
      </x:c>
      <x:c r="J16" s="60" t="str">
        <x:v>Cost base + closing inventory - opening inventory + opening trade payables - closing trade payables</x:v>
      </x:c>
      <x:c r="K16" s="60" t="str">
        <x:v>Accounting proxy bounded at 88%/112%; BHP's cost base is expenses excluding net finance costs.</x:v>
      </x:c>
      <x:c r="L16" s="60" t="str">
        <x:v>SHP-2025-COST, SHP-2025-INV-OPEN, SHP-2025-INV-CLOSE, SHP-2025-AP-OPEN, SHP-2025-AP-CLOSE</x:v>
      </x:c>
      <x:c r="M16" s="60" t="str">
        <x:v>2025-06-29</x:v>
      </x:c>
      <x:c r="N16" s="60" t="str">
        <x:v>2025-10-13</x:v>
      </x:c>
    </x:row>
    <x:row r="17">
      <x:c r="A17" s="60" t="str">
        <x:v>E09</x:v>
      </x:c>
      <x:c r="B17" s="60" t="str">
        <x:v>Shoprite Holdings</x:v>
      </x:c>
      <x:c r="C17" s="60" t="str">
        <x:v>Cross-border FX</x:v>
      </x:c>
      <x:c r="D17" s="63" t="n">
        <x:f>E17/2</x:f>
        <x:v>3572000000</x:v>
      </x:c>
      <x:c r="E17" s="63" t="n">
        <x:f>SUMIFS('Public Facts'!$I$5:$I$35,'Public Facts'!$B$5:$B$35,$A17,'Public Facts'!$D$5:$D$35,"fx_exposure")*2</x:f>
        <x:v>7144000000</x:v>
      </x:c>
      <x:c r="F17" s="63" t="n">
        <x:f>E17*2</x:f>
        <x:v>14288000000</x:v>
      </x:c>
      <x:c r="G17" s="63" t="n">
        <x:v>7144000000</x:v>
      </x:c>
      <x:c r="H17" s="63" t="n">
        <x:f>E17-G17</x:f>
        <x:v>0</x:v>
      </x:c>
      <x:c r="I17" s="60" t="str">
        <x:v>Audited FX exposure/notional turnover range</x:v>
      </x:c>
      <x:c r="J17" s="60" t="str">
        <x:v>Audited FX point exposure or hedge notional × annual turnover multiple</x:v>
      </x:c>
      <x:c r="K17" s="60" t="str">
        <x:v>Annual turnover low/base/high = 1.0x/2.0x/4.0x the disclosed point exposure/notional.</x:v>
      </x:c>
      <x:c r="L17" s="60" t="str">
        <x:v>SHP-2025-FX</x:v>
      </x:c>
      <x:c r="M17" s="60" t="str">
        <x:v>2025-06-29</x:v>
      </x:c>
      <x:c r="N17" s="60" t="str">
        <x:v>2025-10-13</x:v>
      </x:c>
    </x:row>
    <x:row r="18">
      <x:c r="A18" s="60" t="str">
        <x:v>E09</x:v>
      </x:c>
      <x:c r="B18" s="60" t="str">
        <x:v>Shoprite Holdings</x:v>
      </x:c>
      <x:c r="C18" s="60" t="str">
        <x:v>Liquidity</x:v>
      </x:c>
      <x:c r="D18" s="63" t="n">
        <x:f>E18*0.75</x:f>
        <x:v>1764000000</x:v>
      </x:c>
      <x:c r="E18" s="63" t="n">
        <x:f>SUMIFS('Public Facts'!$I$5:$I$35,'Public Facts'!$B$5:$B$35,$A18,'Public Facts'!$D$5:$D$35,"current_debt")+SUMIFS('Public Facts'!$I$5:$I$35,'Public Facts'!$B$5:$B$35,$A18,'Public Facts'!$D$5:$D$35,"short_term_facilities")</x:f>
        <x:v>2352000000</x:v>
      </x:c>
      <x:c r="F18" s="63" t="n">
        <x:f>E18*1.5</x:f>
        <x:v>3528000000</x:v>
      </x:c>
      <x:c r="G18" s="63" t="n">
        <x:v>2352000000</x:v>
      </x:c>
      <x:c r="H18" s="63" t="n">
        <x:f>E18-G18</x:f>
        <x:v>0</x:v>
      </x:c>
      <x:c r="I18" s="60" t="str">
        <x:v>Audited debt-maturity liquidity range</x:v>
      </x:c>
      <x:c r="J18" s="60" t="str">
        <x:v>Current debt maturity/refinancing amount × declared liquidity multiple</x:v>
      </x:c>
      <x:c r="K18" s="60" t="str">
        <x:v>Liquidity low/base/high = 0.75x/1.00x/1.50x current debt and facilities.</x:v>
      </x:c>
      <x:c r="L18" s="60" t="str">
        <x:v>SHP-2025-DEBT, SHP-2025-STF</x:v>
      </x:c>
      <x:c r="M18" s="60" t="str">
        <x:v>2025-06-29</x:v>
      </x:c>
      <x:c r="N18" s="60" t="str">
        <x:v>2025-10-13</x:v>
      </x:c>
    </x:row>
    <x:row r="19">
      <x:c r="A19" s="60" t="str">
        <x:v>E09</x:v>
      </x:c>
      <x:c r="B19" s="60" t="str">
        <x:v>Shoprite Holdings</x:v>
      </x:c>
      <x:c r="C19" s="60" t="str">
        <x:v>Trade finance</x:v>
      </x:c>
      <x:c r="D19" s="63" t="n">
        <x:f>E16*0.005</x:f>
        <x:v>955125000</x:v>
      </x:c>
      <x:c r="E19" s="63" t="n">
        <x:f>E16*0.015</x:f>
        <x:v>2865375000</x:v>
      </x:c>
      <x:c r="F19" s="63" t="n">
        <x:f>E16*0.04</x:f>
        <x:v>7641000000</x:v>
      </x:c>
      <x:c r="G19" s="63" t="n">
        <x:v>2865375000</x:v>
      </x:c>
      <x:c r="H19" s="63" t="n">
        <x:f>E19-G19</x:f>
        <x:v>0</x:v>
      </x:c>
      <x:c r="I19" s="60" t="str">
        <x:v>Audited payments base × trade-utilisation range</x:v>
      </x:c>
      <x:c r="J19" s="60" t="str">
        <x:v>Audited supplier-payments proxy × declared sector trade-finance utilisation</x:v>
      </x:c>
      <x:c r="K19" s="60" t="str">
        <x:v>Sector utilisation low/base/high = 0.5%/1.5%/4.0%.</x:v>
      </x:c>
      <x:c r="L19" s="60" t="str">
        <x:v>SHP-2025-COST, SHP-2025-INV-OPEN, SHP-2025-INV-CLOSE, SHP-2025-AP-OPEN, SHP-2025-AP-CLOSE</x:v>
      </x:c>
      <x:c r="M19" s="60" t="str">
        <x:v>2025-06-29</x:v>
      </x:c>
      <x:c r="N19" s="60" t="str">
        <x:v>2025-10-13</x:v>
      </x:c>
    </x:row>
  </x:sheetData>
  <x:mergeCells>
    <x:mergeCell ref="A1:N1"/>
    <x:mergeCell ref="A2:N2"/>
  </x:mergeCells>
  <x:conditionalFormatting sqref="H5:H19">
    <x:cfRule type="cellIs" dxfId="1" priority="1" operator="not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1" max="11" width="22" hidden="0" customWidth="1"/>
    <x:col min="12" max="12" width="18" hidden="0" customWidth="1"/>
    <x:col min="13" max="13" width="18" hidden="0" customWidth="1"/>
    <x:col min="1" max="1" width="18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3" t="str">
        <x:v>Evidence Impact</x:v>
      </x:c>
      <x:c r="B1" s="3"/>
      <x:c r="C1" s="3"/>
      <x:c r="D1" s="3"/>
      <x:c r="E1" s="3"/>
      <x:c r="F1" s="3"/>
      <x:c r="G1" s="3"/>
      <x:c r="H1" s="3"/>
      <x:c r="I1" s="3"/>
    </x:row>
    <x:row r="2" ht="25" customHeight="1">
      <x:c r="A2" s="6" t="str">
        <x:v>Relative interval compression and confidence lift measured before versus after audited anchors.</x:v>
      </x:c>
      <x:c r="B2" s="6"/>
      <x:c r="C2" s="6"/>
      <x:c r="D2" s="6"/>
      <x:c r="E2" s="6"/>
      <x:c r="F2" s="6"/>
      <x:c r="G2" s="6"/>
      <x:c r="H2" s="6"/>
      <x:c r="I2" s="6"/>
    </x:row>
    <x:row r="4" ht="28" customHeight="1">
      <x:c r="A4" s="69" t="str">
        <x:v>Entity ID</x:v>
      </x:c>
      <x:c r="B4" s="69" t="str">
        <x:v>Client</x:v>
      </x:c>
      <x:c r="C4" s="69" t="str">
        <x:v>Facts</x:v>
      </x:c>
      <x:c r="D4" s="69" t="str">
        <x:v>Active anchors</x:v>
      </x:c>
      <x:c r="E4" s="69" t="str">
        <x:v>Prior-only high confidence</x:v>
      </x:c>
      <x:c r="F4" s="69" t="str">
        <x:v>After high confidence</x:v>
      </x:c>
      <x:c r="G4" s="69" t="str">
        <x:v>Median interval reduction</x:v>
      </x:c>
      <x:c r="H4" s="69" t="str">
        <x:v>Median confidence lift</x:v>
      </x:c>
      <x:c r="I4" s="69" t="str">
        <x:v>Status</x:v>
      </x:c>
      <x:c r="K4" s="75" t="str">
        <x:v>Client</x:v>
      </x:c>
      <x:c r="L4" s="75" t="str">
        <x:v>Interval reduction</x:v>
      </x:c>
      <x:c r="M4" s="75" t="str">
        <x:v>Confidence lift</x:v>
      </x:c>
    </x:row>
    <x:row r="5">
      <x:c r="A5" s="60" t="str">
        <x:v>E01</x:v>
      </x:c>
      <x:c r="B5" s="60" t="str">
        <x:v>BHP Group</x:v>
      </x:c>
      <x:c r="C5" s="60" t="n">
        <x:v>10</x:v>
      </x:c>
      <x:c r="D5" s="60" t="n">
        <x:v>5</x:v>
      </x:c>
      <x:c r="E5" s="60" t="n">
        <x:v>0</x:v>
      </x:c>
      <x:c r="F5" s="60" t="n">
        <x:v>5</x:v>
      </x:c>
      <x:c r="G5" s="70" t="n">
        <x:v>0.7011162881135706</x:v>
      </x:c>
      <x:c r="H5" s="70" t="n">
        <x:v>0.26</x:v>
      </x:c>
      <x:c r="I5" s="60" t="str">
        <x:v>Complete showcase</x:v>
      </x:c>
      <x:c r="K5" s="60" t="str">
        <x:v>BHP Group</x:v>
      </x:c>
      <x:c r="L5" s="70" t="n">
        <x:v>0.7011162881135706</x:v>
      </x:c>
      <x:c r="M5" s="70" t="n">
        <x:v>0.26</x:v>
      </x:c>
    </x:row>
    <x:row r="6">
      <x:c r="A6" s="60" t="str">
        <x:v>E02</x:v>
      </x:c>
      <x:c r="B6" s="60" t="str">
        <x:v>Glencore</x:v>
      </x:c>
      <x:c r="C6" s="60" t="n">
        <x:v>10</x:v>
      </x:c>
      <x:c r="D6" s="60" t="n">
        <x:v>5</x:v>
      </x:c>
      <x:c r="E6" s="60" t="n">
        <x:v>0</x:v>
      </x:c>
      <x:c r="F6" s="60" t="n">
        <x:v>5</x:v>
      </x:c>
      <x:c r="G6" s="70" t="n">
        <x:v>0.728440214069332</x:v>
      </x:c>
      <x:c r="H6" s="70" t="n">
        <x:v>0.26</x:v>
      </x:c>
      <x:c r="I6" s="60" t="str">
        <x:v>Complete showcase</x:v>
      </x:c>
      <x:c r="K6" s="60" t="str">
        <x:v>Glencore</x:v>
      </x:c>
      <x:c r="L6" s="70" t="n">
        <x:v>0.728440214069332</x:v>
      </x:c>
      <x:c r="M6" s="70" t="n">
        <x:v>0.26</x:v>
      </x:c>
    </x:row>
    <x:row r="7">
      <x:c r="A7" s="60" t="str">
        <x:v>E09</x:v>
      </x:c>
      <x:c r="B7" s="60" t="str">
        <x:v>Shoprite Holdings</x:v>
      </x:c>
      <x:c r="C7" s="60" t="n">
        <x:v>11</x:v>
      </x:c>
      <x:c r="D7" s="60" t="n">
        <x:v>5</x:v>
      </x:c>
      <x:c r="E7" s="60" t="n">
        <x:v>0</x:v>
      </x:c>
      <x:c r="F7" s="60" t="n">
        <x:v>5</x:v>
      </x:c>
      <x:c r="G7" s="70" t="n">
        <x:v>0.8048223636889609</x:v>
      </x:c>
      <x:c r="H7" s="70" t="n">
        <x:v>0.26</x:v>
      </x:c>
      <x:c r="I7" s="60" t="str">
        <x:v>Complete showcase</x:v>
      </x:c>
      <x:c r="K7" s="60" t="str">
        <x:v>Shoprite Holdings</x:v>
      </x:c>
      <x:c r="L7" s="70" t="n">
        <x:v>0.8048223636889609</x:v>
      </x:c>
      <x:c r="M7" s="70" t="n">
        <x:v>0.26</x:v>
      </x:c>
    </x:row>
  </x:sheetData>
  <x:mergeCells>
    <x:mergeCell ref="A1:I1"/>
    <x:mergeCell ref="A2:I2"/>
  </x:mergeCells>
  <x:conditionalFormatting sqref="G5:G7">
    <x:cfRule type="dataBar" priority="1">
      <x:dataBar>
        <x:cfvo type="min"/>
        <x:cfvo type="max"/>
        <x:color rgb="FF0A8F77"/>
      </x:dataBar>
      <x:extLst>
        <x:ext xmlns:x14="http://schemas.microsoft.com/office/spreadsheetml/2009/9/main" uri="{B025F937-C7B1-47D3-B67F-A62EFF666E3E}">
          <x14:id>{6426EF1E-ECC6-ACB6-904F-72E21B036262}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5d3205abe64473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426EF1E-ECC6-ACB6-904F-72E21B036262}">
            <x14:dataBar gradient="1">
              <x14:cfvo type="min"/>
              <x14:cfvo type="max"/>
              <x14:fillColor rgb="FF0A8F77"/>
            </x14:dataBar>
          </x14:cfRule>
          <xm:sqref>G5:G7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4" hidden="0" customWidth="1"/>
    <x:col min="5" max="5" width="24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42" hidden="0" customWidth="1"/>
    <x:col min="11" max="11" width="42" hidden="0" customWidth="1"/>
  </x:cols>
  <x:sheetData>
    <x:row r="1" ht="34" customHeight="1">
      <x:c r="A1" s="3" t="str">
        <x:v>Rate × Prior Sensitivity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5" customHeight="1">
      <x:c r="A2" s="6" t="str">
        <x:v>Nine explicit cases test whether Trade Finance remains dominant after public anchors are active.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 ht="28" customHeight="1">
      <x:c r="A4" s="81" t="str">
        <x:v>Prior case</x:v>
      </x:c>
      <x:c r="B4" s="81" t="str">
        <x:v>Prior multiplier</x:v>
      </x:c>
      <x:c r="C4" s="81" t="str">
        <x:v>Rate case</x:v>
      </x:c>
      <x:c r="D4" s="81" t="str">
        <x:v>Top opportunity</x:v>
      </x:c>
      <x:c r="E4" s="81" t="str">
        <x:v>Top product</x:v>
      </x:c>
      <x:c r="F4" s="81" t="str">
        <x:v>Trade Finance top-10 count</x:v>
      </x:c>
      <x:c r="G4" s="81" t="str">
        <x:v>Trade Finance top-10 share</x:v>
      </x:c>
      <x:c r="H4" s="81" t="str">
        <x:v>Dominant?</x:v>
      </x:c>
      <x:c r="I4" s="81" t="str">
        <x:v>Portfolio gap P50</x:v>
      </x:c>
      <x:c r="J4" s="81" t="str">
        <x:v>Dominance definition</x:v>
      </x:c>
      <x:c r="K4" s="81" t="str">
        <x:v>Conclusion</x:v>
      </x:c>
    </x:row>
    <x:row r="5">
      <x:c r="A5" s="60" t="str">
        <x:v>low</x:v>
      </x:c>
      <x:c r="B5" s="82" t="n">
        <x:v>0.75</x:v>
      </x:c>
      <x:c r="C5" s="60" t="str">
        <x:v>low</x:v>
      </x:c>
      <x:c r="D5" s="60" t="str">
        <x:v>E02-trade-finance</x:v>
      </x:c>
      <x:c r="E5" s="60" t="str">
        <x:v>Trade finance</x:v>
      </x:c>
      <x:c r="F5" s="60" t="n">
        <x:v>2</x:v>
      </x:c>
      <x:c r="G5" s="83" t="n">
        <x:f>F5/10</x:f>
        <x:v>0.2</x:v>
      </x:c>
      <x:c r="H5" s="60" t="str">
        <x:v>No</x:v>
      </x:c>
      <x:c r="I5" s="63" t="n">
        <x:v>219806425.03152725</x:v>
      </x:c>
      <x:c r="J5" s="60" t="str">
        <x:v>Trade finance occupies at least 5 of the top 10 ranked opportunities</x:v>
      </x:c>
      <x:c r="K5" s="60" t="str">
        <x:v>Trade finance is not dominant in any of the 9 rate/prior scenarios.</x:v>
      </x:c>
    </x:row>
    <x:row r="6">
      <x:c r="A6" s="60" t="str">
        <x:v>low</x:v>
      </x:c>
      <x:c r="B6" s="82" t="n">
        <x:v>0.75</x:v>
      </x:c>
      <x:c r="C6" s="60" t="str">
        <x:v>base</x:v>
      </x:c>
      <x:c r="D6" s="60" t="str">
        <x:v>E02-trade-finance</x:v>
      </x:c>
      <x:c r="E6" s="60" t="str">
        <x:v>Trade finance</x:v>
      </x:c>
      <x:c r="F6" s="60" t="n">
        <x:v>2</x:v>
      </x:c>
      <x:c r="G6" s="83" t="n">
        <x:f>F6/10</x:f>
        <x:v>0.2</x:v>
      </x:c>
      <x:c r="H6" s="60" t="str">
        <x:v>No</x:v>
      </x:c>
      <x:c r="I6" s="63" t="n">
        <x:v>522632041.4768933</x:v>
      </x:c>
      <x:c r="J6" s="60" t="str">
        <x:v>Trade finance occupies at least 5 of the top 10 ranked opportunities</x:v>
      </x:c>
      <x:c r="K6" s="60" t="str">
        <x:v>Trade finance is not dominant in any of the 9 rate/prior scenarios.</x:v>
      </x:c>
    </x:row>
    <x:row r="7">
      <x:c r="A7" s="60" t="str">
        <x:v>low</x:v>
      </x:c>
      <x:c r="B7" s="82" t="n">
        <x:v>0.75</x:v>
      </x:c>
      <x:c r="C7" s="60" t="str">
        <x:v>high</x:v>
      </x:c>
      <x:c r="D7" s="60" t="str">
        <x:v>E02-trade-finance</x:v>
      </x:c>
      <x:c r="E7" s="60" t="str">
        <x:v>Trade finance</x:v>
      </x:c>
      <x:c r="F7" s="60" t="n">
        <x:v>2</x:v>
      </x:c>
      <x:c r="G7" s="83" t="n">
        <x:f>F7/10</x:f>
        <x:v>0.2</x:v>
      </x:c>
      <x:c r="H7" s="60" t="str">
        <x:v>No</x:v>
      </x:c>
      <x:c r="I7" s="63" t="n">
        <x:v>1029819973.489976</x:v>
      </x:c>
      <x:c r="J7" s="60" t="str">
        <x:v>Trade finance occupies at least 5 of the top 10 ranked opportunities</x:v>
      </x:c>
      <x:c r="K7" s="60" t="str">
        <x:v>Trade finance is not dominant in any of the 9 rate/prior scenarios.</x:v>
      </x:c>
    </x:row>
    <x:row r="8">
      <x:c r="A8" s="60" t="str">
        <x:v>base</x:v>
      </x:c>
      <x:c r="B8" s="82" t="n">
        <x:v>1</x:v>
      </x:c>
      <x:c r="C8" s="60" t="str">
        <x:v>low</x:v>
      </x:c>
      <x:c r="D8" s="60" t="str">
        <x:v>E02-trade-finance</x:v>
      </x:c>
      <x:c r="E8" s="60" t="str">
        <x:v>Trade finance</x:v>
      </x:c>
      <x:c r="F8" s="60" t="n">
        <x:v>2</x:v>
      </x:c>
      <x:c r="G8" s="83" t="n">
        <x:f>F8/10</x:f>
        <x:v>0.2</x:v>
      </x:c>
      <x:c r="H8" s="60" t="str">
        <x:v>No</x:v>
      </x:c>
      <x:c r="I8" s="63" t="n">
        <x:v>195777224.4976676</x:v>
      </x:c>
      <x:c r="J8" s="60" t="str">
        <x:v>Trade finance occupies at least 5 of the top 10 ranked opportunities</x:v>
      </x:c>
      <x:c r="K8" s="60" t="str">
        <x:v>Trade finance is not dominant in any of the 9 rate/prior scenarios.</x:v>
      </x:c>
    </x:row>
    <x:row r="9">
      <x:c r="A9" s="60" t="str">
        <x:v>base</x:v>
      </x:c>
      <x:c r="B9" s="82" t="n">
        <x:v>1</x:v>
      </x:c>
      <x:c r="C9" s="60" t="str">
        <x:v>base</x:v>
      </x:c>
      <x:c r="D9" s="60" t="str">
        <x:v>E02-trade-finance</x:v>
      </x:c>
      <x:c r="E9" s="60" t="str">
        <x:v>Trade finance</x:v>
      </x:c>
      <x:c r="F9" s="60" t="n">
        <x:v>2</x:v>
      </x:c>
      <x:c r="G9" s="83" t="n">
        <x:f>F9/10</x:f>
        <x:v>0.2</x:v>
      </x:c>
      <x:c r="H9" s="60" t="str">
        <x:v>No</x:v>
      </x:c>
      <x:c r="I9" s="63" t="n">
        <x:v>467216672.8021585</x:v>
      </x:c>
      <x:c r="J9" s="60" t="str">
        <x:v>Trade finance occupies at least 5 of the top 10 ranked opportunities</x:v>
      </x:c>
      <x:c r="K9" s="60" t="str">
        <x:v>Trade finance is not dominant in any of the 9 rate/prior scenarios.</x:v>
      </x:c>
    </x:row>
    <x:row r="10">
      <x:c r="A10" s="60" t="str">
        <x:v>base</x:v>
      </x:c>
      <x:c r="B10" s="82" t="n">
        <x:v>1</x:v>
      </x:c>
      <x:c r="C10" s="60" t="str">
        <x:v>high</x:v>
      </x:c>
      <x:c r="D10" s="60" t="str">
        <x:v>E02-trade-finance</x:v>
      </x:c>
      <x:c r="E10" s="60" t="str">
        <x:v>Trade finance</x:v>
      </x:c>
      <x:c r="F10" s="60" t="n">
        <x:v>2</x:v>
      </x:c>
      <x:c r="G10" s="83" t="n">
        <x:f>F10/10</x:f>
        <x:v>0.2</x:v>
      </x:c>
      <x:c r="H10" s="60" t="str">
        <x:v>No</x:v>
      </x:c>
      <x:c r="I10" s="63" t="n">
        <x:v>925368495.7115451</x:v>
      </x:c>
      <x:c r="J10" s="60" t="str">
        <x:v>Trade finance occupies at least 5 of the top 10 ranked opportunities</x:v>
      </x:c>
      <x:c r="K10" s="60" t="str">
        <x:v>Trade finance is not dominant in any of the 9 rate/prior scenarios.</x:v>
      </x:c>
    </x:row>
    <x:row r="11">
      <x:c r="A11" s="60" t="str">
        <x:v>high</x:v>
      </x:c>
      <x:c r="B11" s="82" t="n">
        <x:v>1.25</x:v>
      </x:c>
      <x:c r="C11" s="60" t="str">
        <x:v>low</x:v>
      </x:c>
      <x:c r="D11" s="60" t="str">
        <x:v>E02-trade-finance</x:v>
      </x:c>
      <x:c r="E11" s="60" t="str">
        <x:v>Trade finance</x:v>
      </x:c>
      <x:c r="F11" s="60" t="n">
        <x:v>2</x:v>
      </x:c>
      <x:c r="G11" s="83" t="n">
        <x:f>F11/10</x:f>
        <x:v>0.2</x:v>
      </x:c>
      <x:c r="H11" s="60" t="str">
        <x:v>No</x:v>
      </x:c>
      <x:c r="I11" s="63" t="n">
        <x:v>184377635.56655172</x:v>
      </x:c>
      <x:c r="J11" s="60" t="str">
        <x:v>Trade finance occupies at least 5 of the top 10 ranked opportunities</x:v>
      </x:c>
      <x:c r="K11" s="60" t="str">
        <x:v>Trade finance is not dominant in any of the 9 rate/prior scenarios.</x:v>
      </x:c>
    </x:row>
    <x:row r="12">
      <x:c r="A12" s="60" t="str">
        <x:v>high</x:v>
      </x:c>
      <x:c r="B12" s="82" t="n">
        <x:v>1.25</x:v>
      </x:c>
      <x:c r="C12" s="60" t="str">
        <x:v>base</x:v>
      </x:c>
      <x:c r="D12" s="60" t="str">
        <x:v>E02-trade-finance</x:v>
      </x:c>
      <x:c r="E12" s="60" t="str">
        <x:v>Trade finance</x:v>
      </x:c>
      <x:c r="F12" s="60" t="n">
        <x:v>2</x:v>
      </x:c>
      <x:c r="G12" s="83" t="n">
        <x:f>F12/10</x:f>
        <x:v>0.2</x:v>
      </x:c>
      <x:c r="H12" s="60" t="str">
        <x:v>No</x:v>
      </x:c>
      <x:c r="I12" s="63" t="n">
        <x:v>439062020.81841916</x:v>
      </x:c>
      <x:c r="J12" s="60" t="str">
        <x:v>Trade finance occupies at least 5 of the top 10 ranked opportunities</x:v>
      </x:c>
      <x:c r="K12" s="60" t="str">
        <x:v>Trade finance is not dominant in any of the 9 rate/prior scenarios.</x:v>
      </x:c>
    </x:row>
    <x:row r="13">
      <x:c r="A13" s="60" t="str">
        <x:v>high</x:v>
      </x:c>
      <x:c r="B13" s="82" t="n">
        <x:v>1.25</x:v>
      </x:c>
      <x:c r="C13" s="60" t="str">
        <x:v>high</x:v>
      </x:c>
      <x:c r="D13" s="60" t="str">
        <x:v>E02-trade-finance</x:v>
      </x:c>
      <x:c r="E13" s="60" t="str">
        <x:v>Trade finance</x:v>
      </x:c>
      <x:c r="F13" s="60" t="n">
        <x:v>2</x:v>
      </x:c>
      <x:c r="G13" s="83" t="n">
        <x:f>F13/10</x:f>
        <x:v>0.2</x:v>
      </x:c>
      <x:c r="H13" s="60" t="str">
        <x:v>No</x:v>
      </x:c>
      <x:c r="I13" s="63" t="n">
        <x:v>876108771.1960539</x:v>
      </x:c>
      <x:c r="J13" s="60" t="str">
        <x:v>Trade finance occupies at least 5 of the top 10 ranked opportunities</x:v>
      </x:c>
      <x:c r="K13" s="60" t="str">
        <x:v>Trade finance is not dominant in any of the 9 rate/prior scenarios.</x:v>
      </x:c>
    </x:row>
  </x:sheetData>
  <x:mergeCells>
    <x:mergeCell ref="A1:K1"/>
    <x:mergeCell ref="A2:K2"/>
  </x:mergeCells>
  <x:conditionalFormatting sqref="H5:H13">
    <x:cfRule type="containsText" dxfId="2" priority="1" operator="containsText" text="No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4" hidden="0" customWidth="1"/>
    <x:col min="3" max="3" width="22" hidden="0" customWidth="1"/>
    <x:col min="4" max="4" width="22" hidden="0" customWidth="1"/>
    <x:col min="5" max="5" width="22" hidden="0" customWidth="1"/>
    <x:col min="6" max="6" width="35" hidden="0" customWidth="1"/>
  </x:cols>
  <x:sheetData>
    <x:row r="1" ht="34" customHeight="1">
      <x:c r="A1" s="3" t="str">
        <x:v>Control Checks</x:v>
      </x:c>
      <x:c r="B1" s="3"/>
      <x:c r="C1" s="3"/>
      <x:c r="D1" s="3"/>
      <x:c r="E1" s="3"/>
      <x:c r="F1" s="3"/>
    </x:row>
    <x:row r="2" ht="25" customHeight="1">
      <x:c r="A2" s="6" t="str">
        <x:v>Formula checks must all return PASS or zero variance before the register is accepted.</x:v>
      </x:c>
      <x:c r="B2" s="6"/>
      <x:c r="C2" s="6"/>
      <x:c r="D2" s="6"/>
      <x:c r="E2" s="6"/>
      <x:c r="F2" s="6"/>
    </x:row>
    <x:row r="4" ht="28" customHeight="1">
      <x:c r="A4" s="69" t="str">
        <x:v>Check</x:v>
      </x:c>
      <x:c r="B4" s="69" t="str">
        <x:v>Formula</x:v>
      </x:c>
      <x:c r="C4" s="69" t="str">
        <x:v>Expected</x:v>
      </x:c>
      <x:c r="D4" s="69" t="str">
        <x:v>Actual</x:v>
      </x:c>
      <x:c r="E4" s="69" t="str">
        <x:v>Status</x:v>
      </x:c>
      <x:c r="F4" s="69" t="str">
        <x:v>Owner note</x:v>
      </x:c>
    </x:row>
    <x:row r="5">
      <x:c r="A5" s="60" t="str">
        <x:v>Public fact count</x:v>
      </x:c>
      <x:c r="B5" s="60" t="str">
        <x:v>=COUNTA('Public Facts'!A5:A35)</x:v>
      </x:c>
      <x:c r="C5" s="60" t="n">
        <x:v>31</x:v>
      </x:c>
      <x:c r="D5" s="60" t="n">
        <x:f>COUNTA('Public Facts'!A5:A35)</x:f>
        <x:v>31</x:v>
      </x:c>
      <x:c r="E5" s="60" t="str">
        <x:f>IF(ABS(D5-C5)&lt;0.01,"PASS","FAIL")</x:f>
        <x:v>PASS</x:v>
      </x:c>
      <x:c r="F5" s="60" t="str">
        <x:v>All point-in-time facts loaded</x:v>
      </x:c>
    </x:row>
    <x:row r="6">
      <x:c r="A6" s="60" t="str">
        <x:v>Audited fact count</x:v>
      </x:c>
      <x:c r="B6" s="60" t="str">
        <x:v>=COUNTIF('Public Facts'!M5:M35,"audited")</x:v>
      </x:c>
      <x:c r="C6" s="60" t="n">
        <x:v>31</x:v>
      </x:c>
      <x:c r="D6" s="60" t="n">
        <x:f>COUNTIF('Public Facts'!M5:M35,"audited")</x:f>
        <x:v>31</x:v>
      </x:c>
      <x:c r="E6" s="60" t="str">
        <x:f>IF(ABS(D6-C6)&lt;0.01,"PASS","FAIL")</x:f>
        <x:v>PASS</x:v>
      </x:c>
      <x:c r="F6" s="60" t="str">
        <x:v>No unaudited showcase facts</x:v>
      </x:c>
    </x:row>
    <x:row r="7">
      <x:c r="A7" s="60" t="str">
        <x:v>Page citation completeness</x:v>
      </x:c>
      <x:c r="B7" s="60" t="str">
        <x:v>=COUNTBLANK('Public Facts'!O5:O35)</x:v>
      </x:c>
      <x:c r="C7" s="60" t="n">
        <x:v>0</x:v>
      </x:c>
      <x:c r="D7" s="60" t="n">
        <x:f>COUNTBLANK('Public Facts'!O5:O35)</x:f>
        <x:v>0</x:v>
      </x:c>
      <x:c r="E7" s="60" t="str">
        <x:f>IF(ABS(D7-C7)&lt;0.01,"PASS","FAIL")</x:f>
        <x:v>PASS</x:v>
      </x:c>
      <x:c r="F7" s="60" t="str">
        <x:v>Every fact has a page</x:v>
      </x:c>
    </x:row>
    <x:row r="8">
      <x:c r="A8" s="60" t="str">
        <x:v>Available-date completeness</x:v>
      </x:c>
      <x:c r="B8" s="60" t="str">
        <x:v>=COUNTBLANK('Public Facts'!L5:L35)</x:v>
      </x:c>
      <x:c r="C8" s="60" t="n">
        <x:v>0</x:v>
      </x:c>
      <x:c r="D8" s="60" t="n">
        <x:f>COUNTBLANK('Public Facts'!L5:L35)</x:f>
        <x:v>0</x:v>
      </x:c>
      <x:c r="E8" s="60" t="str">
        <x:f>IF(ABS(D8-C8)&lt;0.01,"PASS","FAIL")</x:f>
        <x:v>PASS</x:v>
      </x:c>
      <x:c r="F8" s="60" t="str">
        <x:v>Every fact has a public date</x:v>
      </x:c>
    </x:row>
    <x:row r="9">
      <x:c r="A9" s="60" t="str">
        <x:v>Active anchor count</x:v>
      </x:c>
      <x:c r="B9" s="60" t="str">
        <x:v>=COUNTA('Derived Anchors'!A5:A19)</x:v>
      </x:c>
      <x:c r="C9" s="60" t="n">
        <x:v>15</x:v>
      </x:c>
      <x:c r="D9" s="60" t="n">
        <x:f>COUNTA('Derived Anchors'!A5:A19)</x:f>
        <x:v>15</x:v>
      </x:c>
      <x:c r="E9" s="60" t="str">
        <x:f>IF(ABS(D9-C9)&lt;0.01,"PASS","FAIL")</x:f>
        <x:v>PASS</x:v>
      </x:c>
      <x:c r="F9" s="60" t="str">
        <x:v>Five anchors per showcase client</x:v>
      </x:c>
    </x:row>
    <x:row r="10">
      <x:c r="A10" s="60" t="str">
        <x:v>Anchor formula tie-out</x:v>
      </x:c>
      <x:c r="B10" s="60" t="str">
        <x:v>=SUM('Derived Anchors'!H5:H19)</x:v>
      </x:c>
      <x:c r="C10" s="60" t="n">
        <x:v>0</x:v>
      </x:c>
      <x:c r="D10" s="60" t="n">
        <x:f>SUM('Derived Anchors'!H5:H19)</x:f>
        <x:v>0</x:v>
      </x:c>
      <x:c r="E10" s="60" t="str">
        <x:f>IF(ABS(D10-C10)&lt;0.01,"PASS","FAIL")</x:f>
        <x:v>PASS</x:v>
      </x:c>
      <x:c r="F10" s="60" t="str">
        <x:v>Derived base equals pipeline base; each row is also exposed</x:v>
      </x:c>
    </x:row>
    <x:row r="11">
      <x:c r="A11" s="60" t="str">
        <x:v>Sensitivity cases</x:v>
      </x:c>
      <x:c r="B11" s="60" t="str">
        <x:v>=COUNTA(Sensitivity!A5:A13)</x:v>
      </x:c>
      <x:c r="C11" s="60" t="n">
        <x:v>9</x:v>
      </x:c>
      <x:c r="D11" s="60" t="n">
        <x:f>COUNTA(Sensitivity!A5:A13)</x:f>
        <x:v>9</x:v>
      </x:c>
      <x:c r="E11" s="60" t="str">
        <x:f>IF(ABS(D11-C11)&lt;0.01,"PASS","FAIL")</x:f>
        <x:v>PASS</x:v>
      </x:c>
      <x:c r="F11" s="60" t="str">
        <x:v>3 priors × 3 rates</x:v>
      </x:c>
    </x:row>
    <x:row r="12">
      <x:c r="A12" s="60" t="str">
        <x:v>Trade Finance majority cases</x:v>
      </x:c>
      <x:c r="B12" s="60" t="str">
        <x:v>=COUNTIF(Sensitivity!H5:H13,"Yes")</x:v>
      </x:c>
      <x:c r="C12" s="60" t="n">
        <x:v>0</x:v>
      </x:c>
      <x:c r="D12" s="60" t="n">
        <x:f>COUNTIF(Sensitivity!H5:H13,"Yes")</x:f>
        <x:v>0</x:v>
      </x:c>
      <x:c r="E12" s="60" t="str">
        <x:f>IF(ABS(D12-C12)&lt;0.01,"PASS","FAIL")</x:f>
        <x:v>PASS</x:v>
      </x:c>
      <x:c r="F12" s="60" t="str">
        <x:v>Explicit majority definition</x:v>
      </x:c>
    </x:row>
  </x:sheetData>
  <x:mergeCells>
    <x:mergeCell ref="A1:F1"/>
    <x:mergeCell ref="A2:F2"/>
  </x:mergeCells>
  <x:conditionalFormatting sqref="E5:E12">
    <x:cfRule type="containsText" dxfId="3" priority="1" operator="containsText" text="PASS"/>
    <x:cfRule type="containsText" dxfId="4" priority="2" operator="containsText" text="FAIL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8" hidden="0" customWidth="1"/>
    <x:col min="3" max="3" width="19" hidden="0" customWidth="1"/>
    <x:col min="4" max="4" width="19" hidden="0" customWidth="1"/>
    <x:col min="5" max="5" width="19" hidden="0" customWidth="1"/>
    <x:col min="6" max="6" width="26" hidden="0" customWidth="1"/>
    <x:col min="7" max="7" width="52" hidden="0" customWidth="1"/>
    <x:col min="8" max="8" width="45" hidden="0" customWidth="1"/>
  </x:cols>
  <x:sheetData>
    <x:row r="1" ht="34" customHeight="1">
      <x:c r="A1" s="3" t="str">
        <x:v>Source Register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Authoritative audited reports and the declared translation basis used in this prototype.</x:v>
      </x:c>
      <x:c r="B2" s="6"/>
      <x:c r="C2" s="6"/>
      <x:c r="D2" s="6"/>
      <x:c r="E2" s="6"/>
      <x:c r="F2" s="6"/>
      <x:c r="G2" s="6"/>
      <x:c r="H2" s="6"/>
    </x:row>
    <x:row r="4" ht="28" customHeight="1">
      <x:c r="A4" s="56" t="str">
        <x:v>Client</x:v>
      </x:c>
      <x:c r="B4" s="56" t="str">
        <x:v>Report</x:v>
      </x:c>
      <x:c r="C4" s="56" t="str">
        <x:v>Report period end</x:v>
      </x:c>
      <x:c r="D4" s="56" t="str">
        <x:v>Audit / approval date</x:v>
      </x:c>
      <x:c r="E4" s="56" t="str">
        <x:v>Available date</x:v>
      </x:c>
      <x:c r="F4" s="56" t="str">
        <x:v>Pages used</x:v>
      </x:c>
      <x:c r="G4" s="56" t="str">
        <x:v>Official URL</x:v>
      </x:c>
      <x:c r="H4" s="56" t="str">
        <x:v>Use in model</x:v>
      </x:c>
    </x:row>
    <x:row r="5">
      <x:c r="A5" s="60" t="str">
        <x:v>BHP Group</x:v>
      </x:c>
      <x:c r="B5" s="60" t="str">
        <x:v>BHP Annual Report 2025</x:v>
      </x:c>
      <x:c r="C5" s="60" t="str">
        <x:v>2025-06-30</x:v>
      </x:c>
      <x:c r="D5" s="60" t="str">
        <x:v>2025-08-19</x:v>
      </x:c>
      <x:c r="E5" s="60" t="str">
        <x:v>2025-08-19</x:v>
      </x:c>
      <x:c r="F5" s="60" t="str">
        <x:v>118, 139, 160, 119</x:v>
      </x:c>
      <x:c r="G5" s="60" t="str">
        <x:v>https://www.bhp.com/-/media/documents/investors/annual-reports/2025/250819_bhpannualreport2025.pdf</x:v>
      </x:c>
      <x:c r="H5" s="60" t="str">
        <x:v>Accounting, FX and debt-maturity anchors</x:v>
      </x:c>
    </x:row>
    <x:row r="6">
      <x:c r="A6" s="60" t="str">
        <x:v>Glencore</x:v>
      </x:c>
      <x:c r="B6" s="60" t="str">
        <x:v>Glencore Annual Report 2025</x:v>
      </x:c>
      <x:c r="C6" s="60" t="str">
        <x:v>2025-12-31</x:v>
      </x:c>
      <x:c r="D6" s="60" t="str">
        <x:v>2026-03-10</x:v>
      </x:c>
      <x:c r="E6" s="60" t="str">
        <x:v>2026-03-10</x:v>
      </x:c>
      <x:c r="F6" s="60" t="str">
        <x:v>136, 186, 185, 205, 212, 138</x:v>
      </x:c>
      <x:c r="G6" s="60" t="str">
        <x:v>https://www.glencore.com/.rest/api/v1/documents/static/9b103e11-72e7-40bf-ae7c-eabe57361522/GLEN-2025-Annual-Report.pdf</x:v>
      </x:c>
      <x:c r="H6" s="60" t="str">
        <x:v>Accounting, FX and debt-maturity anchors</x:v>
      </x:c>
    </x:row>
    <x:row r="7">
      <x:c r="A7" s="60" t="str">
        <x:v>Shoprite Holdings</x:v>
      </x:c>
      <x:c r="B7" s="60" t="str">
        <x:v>Shoprite Holdings Annual Financial Statements 2025</x:v>
      </x:c>
      <x:c r="C7" s="60" t="str">
        <x:v>2025-06-29</x:v>
      </x:c>
      <x:c r="D7" s="60" t="str">
        <x:v>2025-10-01</x:v>
      </x:c>
      <x:c r="E7" s="60" t="str">
        <x:v>2025-10-13</x:v>
      </x:c>
      <x:c r="F7" s="60" t="str">
        <x:v>19, 18, 118-119</x:v>
      </x:c>
      <x:c r="G7" s="60" t="str">
        <x:v>https://www.shopriteholdings.co.za/docs/shp-afs-2025.pdf</x:v>
      </x:c>
      <x:c r="H7" s="60" t="str">
        <x:v>Accounting, FX and debt-maturity anchors</x:v>
      </x:c>
    </x:row>
    <x:row r="8">
      <x:c r="A8" s="60" t="str">
        <x:v>Translation assumption</x:v>
      </x:c>
      <x:c r="B8" s="60" t="str">
        <x:v>Shoprite Holdings AFS 2025 closing-rate disclosure</x:v>
      </x:c>
      <x:c r="C8" s="60" t="str">
        <x:v>2025-06-29</x:v>
      </x:c>
      <x:c r="D8" s="60" t="str">
        <x:v>2025-10-01</x:v>
      </x:c>
      <x:c r="E8" s="60" t="str">
        <x:v>2025-10-13</x:v>
      </x:c>
      <x:c r="F8" s="60" t="str">
        <x:v>1</x:v>
      </x:c>
      <x:c r="G8" s="60" t="str">
        <x:v>https://www.shopriteholdings.co.za/docs/shp-afs-2025.pdf</x:v>
      </x:c>
      <x:c r="H8" s="60" t="str">
        <x:v>ZAR17.86/USD applied consistently to BHP and Glencore source-currency facts</x:v>
      </x:c>
    </x:row>
  </x:sheetData>
  <x:mergeCells>
    <x:mergeCell ref="A1:H1"/>
    <x:mergeCell ref="A2:H2"/>
  </x:mergeCells>
  <x:pageMargins left="0.7" right="0.7" top="0.75" bottom="0.75" header="0.3" footer="0.3"/>
  <x:legacyDrawing xmlns:r="http://schemas.openxmlformats.org/officeDocument/2006/relationships" r:id="R396fd19a82924e66"/>
</x:worksheet>
</file>