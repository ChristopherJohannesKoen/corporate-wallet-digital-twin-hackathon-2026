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8b3d3253948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b98d063aee52435a"/>
    <x:sheet xmlns:r="http://schemas.openxmlformats.org/officeDocument/2006/relationships" name="Evidence Claims" sheetId="2" r:id="Rd50d2800ba294c2d"/>
    <x:sheet xmlns:r="http://schemas.openxmlformats.org/officeDocument/2006/relationships" name="Client Coverage" sheetId="3" r:id="Refbe143bb1b74d71"/>
    <x:sheet xmlns:r="http://schemas.openxmlformats.org/officeDocument/2006/relationships" name="Business Twin" sheetId="4" r:id="Rc720acaa3f66498c"/>
    <x:sheet xmlns:r="http://schemas.openxmlformats.org/officeDocument/2006/relationships" name="Solution Estimates" sheetId="5" r:id="R193aac6b0fdc453d"/>
    <x:sheet xmlns:r="http://schemas.openxmlformats.org/officeDocument/2006/relationships" name="Weekly Plan" sheetId="6" r:id="R3080a09eaad6409a"/>
    <x:sheet xmlns:r="http://schemas.openxmlformats.org/officeDocument/2006/relationships" name="Checks" sheetId="7" r:id="R1ef218628abb4d36"/>
    <x:sheet xmlns:r="http://schemas.openxmlformats.org/officeDocument/2006/relationships" name="Sources" sheetId="8" r:id="R6718393ecb3e4f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#,##0.00;[Red](#,##0.00);-"/>
    <x:numFmt numFmtId="202" formatCode="0.0000;[Red](0.0000);-"/>
    <x:numFmt numFmtId="203" formatCode="#,##0;[Red](#,##0);-"/>
    <x:numFmt numFmtId="204" formatCode="0%"/>
    <x:numFmt numFmtId="205" formatCode="0.0%"/>
    <x:numFmt numFmtId="206" formatCode="&quot;R&quot;#,##0;[Red](&quot;R&quot;#,##0);-"/>
  </x:numFmts>
  <x:fonts count="12">
    <x:font>
      <x:sz val="11"/>
      <x:name val="Carlito"/>
    </x:font>
    <x:font>
      <x:b/>
      <x:sz val="19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9" xfId="0" applyNumberFormat="1" applyFont="1" applyFill="1" applyBorder="1"/>
    <x:xf numFmtId="0" fontId="11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1" fillId="0" borderId="9" xfId="0" applyNumberFormat="1" applyFont="1" applyFill="1" applyBorder="1" applyAlignment="1">
      <x:alignment vertical="top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  <x:xf numFmtId="206" fontId="11" fillId="0" borderId="9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7" fillId="2" borderId="0" xfId="0" applyNumberFormat="1" applyFont="1" applyFill="1" applyBorder="1"/>
  </x:cellXfs>
  <x:cellStyles count="1">
    <x:cellStyle name="Normal" xfId="0"/>
  </x:cellStyles>
  <x:dxfs count="8">
    <x:dxf>
      <x:fill>
        <x:patternFill patternType="solid">
          <x:bgColor rgb="FFFFF6E3"/>
        </x:patternFill>
      </x:fill>
    </x:dxf>
    <x:dxf>
      <x:font>
        <x:b/>
        <x:color rgb="FF0A8F77"/>
      </x:font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FFF6E3"/>
        </x:patternFill>
      </x:fill>
    </x:dxf>
    <x:dxf>
      <x:font>
        <x:color rgb="FFB33A3A"/>
      </x:font>
      <x:fill>
        <x:patternFill patternType="solid">
          <x:bgColor rgb="FFFDECEC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03aeb7acdb4ee0" /><Relationship Type="http://schemas.openxmlformats.org/officeDocument/2006/relationships/theme" Target="/xl/theme/theme1.xml" Id="R4ebbcc3e33424e05" /><Relationship Type="http://schemas.microsoft.com/office/2022/11/relationships/FeaturePropertyBag" Target="/xl/featurePropertyBag/featurePropertyBag.xml" Id="R63012528964a414b" /><Relationship Type="http://schemas.openxmlformats.org/officeDocument/2006/relationships/sharedStrings" Target="/xl/sharedStrings.xml" Id="R61f65ff0059045f5" /><Relationship Type="http://schemas.openxmlformats.org/officeDocument/2006/relationships/worksheet" Target="/xl/worksheets/sheet1.xml" Id="Rb98d063aee52435a" /><Relationship Type="http://schemas.openxmlformats.org/officeDocument/2006/relationships/worksheet" Target="/xl/worksheets/sheet2.xml" Id="Rd50d2800ba294c2d" /><Relationship Type="http://schemas.openxmlformats.org/officeDocument/2006/relationships/worksheet" Target="/xl/worksheets/sheet3.xml" Id="Refbe143bb1b74d71" /><Relationship Type="http://schemas.openxmlformats.org/officeDocument/2006/relationships/worksheet" Target="/xl/worksheets/sheet4.xml" Id="Rc720acaa3f66498c" /><Relationship Type="http://schemas.openxmlformats.org/officeDocument/2006/relationships/worksheet" Target="/xl/worksheets/sheet5.xml" Id="R193aac6b0fdc453d" /><Relationship Type="http://schemas.openxmlformats.org/officeDocument/2006/relationships/worksheet" Target="/xl/worksheets/sheet6.xml" Id="R3080a09eaad6409a" /><Relationship Type="http://schemas.openxmlformats.org/officeDocument/2006/relationships/worksheet" Target="/xl/worksheets/sheet7.xml" Id="R1ef218628abb4d36" /><Relationship Type="http://schemas.openxmlformats.org/officeDocument/2006/relationships/worksheet" Target="/xl/worksheets/sheet8.xml" Id="R6718393ecb3e4fd2" /><Relationship Type="http://schemas.microsoft.com/office/2017/10/relationships/person" Target="/xl/persons/person.xml" Id="R42156acbc7894fd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Christopher Koen" id="{51325E65-0F4F-4AD1-917C-DC08C926188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3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6" customHeight="1">
      <x:c r="A1" s="3" t="str">
        <x:v>Corporate Wallet Digital Twin V3.1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7" t="str">
        <x:v>Business Evidence, Decision Impact &amp; Release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7" customHeight="1">
      <x:c r="A4" s="9" t="str">
        <x:v>Governed V3.1 demonstration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Clients</x:v>
      </x:c>
      <x:c r="B6" s="15" t="n">
        <x:f>COUNTA('Client Coverage'!$A$5:$A$24)</x:f>
        <x:v>20</x:v>
      </x:c>
      <x:c r="D6" s="13" t="str">
        <x:v>Problem hypotheses</x:v>
      </x:c>
      <x:c r="E6" s="17" t="n">
        <x:v>360</x:v>
      </x:c>
    </x:row>
    <x:row r="7">
      <x:c r="A7" s="11" t="str">
        <x:v>Business Twin components</x:v>
      </x:c>
      <x:c r="B7" s="15" t="n">
        <x:f>COUNTA('Business Twin'!$A$5:$A$244)</x:f>
        <x:v>240</x:v>
      </x:c>
      <x:c r="D7" s="13" t="str">
        <x:v>Conversation candidates</x:v>
      </x:c>
      <x:c r="E7" s="17" t="n">
        <x:v>224</x:v>
      </x:c>
    </x:row>
    <x:row r="8">
      <x:c r="A8" s="11" t="str">
        <x:v>Typed evidence claims</x:v>
      </x:c>
      <x:c r="B8" s="15" t="n">
        <x:f>COUNTA('Evidence Claims'!$A$5:$A$909)</x:f>
        <x:v>905</x:v>
      </x:c>
      <x:c r="D8" s="13" t="str">
        <x:v>Discovery-only candidates</x:v>
      </x:c>
      <x:c r="E8" s="17" t="n">
        <x:v>224</x:v>
      </x:c>
    </x:row>
    <x:row r="9">
      <x:c r="A9" s="11" t="str">
        <x:v>Approved claims</x:v>
      </x:c>
      <x:c r="B9" s="15" t="n">
        <x:f>COUNTIF('Evidence Claims'!$P$5:$P$909,"APPROVED")</x:f>
        <x:v>854</x:v>
      </x:c>
      <x:c r="D9" s="13" t="str">
        <x:v>Graph nodes</x:v>
      </x:c>
      <x:c r="E9" s="17" t="n">
        <x:v>993</x:v>
      </x:c>
    </x:row>
    <x:row r="10">
      <x:c r="A10" s="11" t="str">
        <x:v>Pending finance-SME review</x:v>
      </x:c>
      <x:c r="B10" s="15" t="n">
        <x:f>COUNTIF('Evidence Claims'!$P$5:$P$909,"PENDING_REVIEW")</x:f>
        <x:v>51</x:v>
      </x:c>
      <x:c r="D10" s="13" t="str">
        <x:v>Graph edges</x:v>
      </x:c>
      <x:c r="E10" s="17" t="n">
        <x:v>1154</x:v>
      </x:c>
    </x:row>
    <x:row r="11">
      <x:c r="A11" s="11" t="str">
        <x:v>Audited public E1 claims</x:v>
      </x:c>
      <x:c r="B11" s="15" t="n">
        <x:f>COUNTIF('Evidence Claims'!$O$5:$O$909,"E1")</x:f>
        <x:v>85</x:v>
      </x:c>
      <x:c r="D11" s="13" t="str">
        <x:v>Business events</x:v>
      </x:c>
      <x:c r="E11" s="17" t="n">
        <x:v>84</x:v>
      </x:c>
    </x:row>
    <x:row r="12">
      <x:c r="A12" s="11" t="str">
        <x:v>Solution projections</x:v>
      </x:c>
      <x:c r="B12" s="15" t="n">
        <x:f>COUNTA('Solution Estimates'!$A$5:$A$324)</x:f>
        <x:v>320</x:v>
      </x:c>
      <x:c r="D12" s="13" t="str">
        <x:v>VOI questions evaluated</x:v>
      </x:c>
      <x:c r="E12" s="17" t="n">
        <x:v>891</x:v>
      </x:c>
    </x:row>
    <x:row r="13">
      <x:c r="A13" s="11" t="str">
        <x:v>Fail-closed projections</x:v>
      </x:c>
      <x:c r="B13" s="15" t="n">
        <x:f>COUNTIF('Solution Estimates'!$H$5:$H$324,"FAIL_CLOSED_REQUIRED_INPUT_UNAVAILABLE")</x:f>
        <x:v>122</x:v>
      </x:c>
      <x:c r="D13" s="13" t="str">
        <x:v>VOI questions selected</x:v>
      </x:c>
      <x:c r="E13" s="17" t="n">
        <x:v>308</x:v>
      </x:c>
    </x:row>
    <x:row r="14">
      <x:c r="A14" s="11" t="str">
        <x:v>Weekly conversations</x:v>
      </x:c>
      <x:c r="B14" s="15" t="n">
        <x:f>COUNTA('Weekly Plan'!$A$5:$A$12)</x:f>
        <x:v>8</x:v>
      </x:c>
      <x:c r="D14" s="13" t="str">
        <x:v>Bank-production state</x:v>
      </x:c>
      <x:c r="E14" s="17" t="str">
        <x:v>NOT_PROMOTABLE</x:v>
      </x:c>
    </x:row>
    <x:row r="16" ht="24" customHeight="1">
      <x:c r="A16" s="19" t="str">
        <x:v>Interpretation boundary</x:v>
      </x:c>
      <x:c r="B16" s="19"/>
      <x:c r="C16" s="19"/>
      <x:c r="D16" s="19"/>
      <x:c r="E16" s="19"/>
      <x:c r="F16" s="19"/>
      <x:c r="G16" s="19"/>
      <x:c r="H16" s="19"/>
      <x:c r="I16" s="19"/>
      <x:c r="J16" s="19"/>
    </x:row>
    <x:row r="17">
      <x:c r="A17" s="39" t="str">
        <x:v>This is a controlled client demonstration built from 85 public E1 claims, 820 governed/simulated E0 claims and representative policy. All 20 clients have complete structural twins and an approved critical-path signal, but none yet reaches the target of 15 reviewed E1 claims per client. The 51 pending facts cannot support eligible client-facing statements. All 224 conversations are discovery-only because material bank feasibility remains UNKNOWN. Competitor share is not measured; causal incremental value is null; production status is NOT_PROMOTABLE.</x:v>
      </x:c>
      <x:c r="B17" s="40"/>
      <x:c r="C17" s="40"/>
      <x:c r="D17" s="40"/>
      <x:c r="E17" s="40"/>
      <x:c r="F17" s="40"/>
      <x:c r="G17" s="40"/>
      <x:c r="H17" s="40"/>
      <x:c r="I17" s="40"/>
      <x:c r="J17" s="41"/>
    </x:row>
    <x:row r="18">
      <x:c r="A18" s="42"/>
      <x:c r="B18" s="43"/>
      <x:c r="C18" s="43"/>
      <x:c r="D18" s="43"/>
      <x:c r="E18" s="43"/>
      <x:c r="F18" s="43"/>
      <x:c r="G18" s="43"/>
      <x:c r="H18" s="43"/>
      <x:c r="I18" s="43"/>
      <x:c r="J18" s="44"/>
    </x:row>
    <x:row r="19">
      <x:c r="A19" s="42"/>
      <x:c r="B19" s="43"/>
      <x:c r="C19" s="43"/>
      <x:c r="D19" s="43"/>
      <x:c r="E19" s="43"/>
      <x:c r="F19" s="43"/>
      <x:c r="G19" s="43"/>
      <x:c r="H19" s="43"/>
      <x:c r="I19" s="43"/>
      <x:c r="J19" s="44"/>
    </x:row>
    <x:row r="20">
      <x:c r="A20" s="42"/>
      <x:c r="B20" s="43"/>
      <x:c r="C20" s="43"/>
      <x:c r="D20" s="43"/>
      <x:c r="E20" s="43"/>
      <x:c r="F20" s="43"/>
      <x:c r="G20" s="43"/>
      <x:c r="H20" s="43"/>
      <x:c r="I20" s="43"/>
      <x:c r="J20" s="44"/>
    </x:row>
    <x:row r="21">
      <x:c r="A21" s="45"/>
      <x:c r="B21" s="46"/>
      <x:c r="C21" s="46"/>
      <x:c r="D21" s="46"/>
      <x:c r="E21" s="46"/>
      <x:c r="F21" s="46"/>
      <x:c r="G21" s="46"/>
      <x:c r="H21" s="46"/>
      <x:c r="I21" s="46"/>
      <x:c r="J21" s="47"/>
    </x:row>
    <x:row r="23" ht="32" customHeight="1">
      <x:c r="A23" s="50" t="str">
        <x:v>Decision object: client × stakeholder role × business problem × solution bundle × engagement window. Observed, identified, posterior, scenario and causal values remain separate.</x:v>
      </x:c>
      <x:c r="B23" s="50"/>
      <x:c r="C23" s="50"/>
      <x:c r="D23" s="50"/>
      <x:c r="E23" s="50"/>
      <x:c r="F23" s="50"/>
      <x:c r="G23" s="50"/>
      <x:c r="H23" s="50"/>
      <x:c r="I23" s="50"/>
      <x:c r="J23" s="50"/>
    </x:row>
  </x:sheetData>
  <x:mergeCells>
    <x:mergeCell ref="A1:J1"/>
    <x:mergeCell ref="A2:J2"/>
    <x:mergeCell ref="A4:J4"/>
    <x:mergeCell ref="A16:J16"/>
    <x:mergeCell ref="A17:J21"/>
    <x:mergeCell ref="A23:J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28" hidden="0" customWidth="1"/>
    <x:col min="19" max="19" width="28" hidden="0" customWidth="1"/>
    <x:col min="20" max="20" width="14" hidden="0" customWidth="1"/>
    <x:col min="21" max="21" width="46" hidden="0" customWidth="1"/>
    <x:col min="22" max="22" width="46" hidden="0" customWidth="1"/>
  </x:cols>
  <x:sheetData>
    <x:row r="1" ht="36" customHeight="1">
      <x:c r="A1" s="3" t="str">
        <x:v>Typed Business Evidence Claims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905 claims; E1 public evidence and E0 governed/simulated claims remain explicitly distinct.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4" ht="30" customHeight="1">
      <x:c r="A4" s="55" t="str">
        <x:v>Claim ID</x:v>
      </x:c>
      <x:c r="B4" s="55" t="str">
        <x:v>Entity ID</x:v>
      </x:c>
      <x:c r="C4" s="55" t="str">
        <x:v>Concept</x:v>
      </x:c>
      <x:c r="D4" s="55" t="str">
        <x:v>Kind</x:v>
      </x:c>
      <x:c r="E4" s="55" t="str">
        <x:v>Claim class</x:v>
      </x:c>
      <x:c r="F4" s="55" t="str">
        <x:v>Money</x:v>
      </x:c>
      <x:c r="G4" s="55" t="str">
        <x:v>Ratio</x:v>
      </x:c>
      <x:c r="H4" s="55" t="str">
        <x:v>Count</x:v>
      </x:c>
      <x:c r="I4" s="55" t="str">
        <x:v>Text / category / date</x:v>
      </x:c>
      <x:c r="J4" s="55" t="str">
        <x:v>Currency</x:v>
      </x:c>
      <x:c r="K4" s="55" t="str">
        <x:v>Unit</x:v>
      </x:c>
      <x:c r="L4" s="55" t="str">
        <x:v>Period start</x:v>
      </x:c>
      <x:c r="M4" s="55" t="str">
        <x:v>Period end</x:v>
      </x:c>
      <x:c r="N4" s="55" t="str">
        <x:v>Available date</x:v>
      </x:c>
      <x:c r="O4" s="55" t="str">
        <x:v>Evidence tier</x:v>
      </x:c>
      <x:c r="P4" s="55" t="str">
        <x:v>Approval status</x:v>
      </x:c>
      <x:c r="Q4" s="55" t="str">
        <x:v>Critical path</x:v>
      </x:c>
      <x:c r="R4" s="55" t="str">
        <x:v>Domains</x:v>
      </x:c>
      <x:c r="S4" s="55" t="str">
        <x:v>Source title</x:v>
      </x:c>
      <x:c r="T4" s="55" t="str">
        <x:v>Page</x:v>
      </x:c>
      <x:c r="U4" s="55" t="str">
        <x:v>Source URL</x:v>
      </x:c>
      <x:c r="V4" s="55" t="str">
        <x:v>Source hash</x:v>
      </x:c>
    </x:row>
    <x:row r="5">
      <x:c r="A5" s="63" t="str">
        <x:v>bec:BHP-2025-REV</x:v>
      </x:c>
      <x:c r="B5" s="63" t="str">
        <x:v>E01</x:v>
      </x:c>
      <x:c r="C5" s="63" t="str">
        <x:v>revenue</x:v>
      </x:c>
      <x:c r="D5" s="63" t="str">
        <x:v>MONEY</x:v>
      </x:c>
      <x:c r="E5" s="63" t="str">
        <x:v>OBSERVED</x:v>
      </x:c>
      <x:c r="F5" s="65" t="n">
        <x:v>51262</x:v>
      </x:c>
      <x:c r="G5" s="66"/>
      <x:c r="H5" s="67"/>
      <x:c r="I5" s="63"/>
      <x:c r="J5" s="63" t="str">
        <x:v>USD</x:v>
      </x:c>
      <x:c r="K5" s="63" t="str">
        <x:v>million</x:v>
      </x:c>
      <x:c r="L5" s="63" t="str">
        <x:v>2024-07-01</x:v>
      </x:c>
      <x:c r="M5" s="63" t="str">
        <x:v>2025-06-30</x:v>
      </x:c>
      <x:c r="N5" s="63" t="str">
        <x:v>2025-08-19</x:v>
      </x:c>
      <x:c r="O5" s="63" t="str">
        <x:v>E1</x:v>
      </x:c>
      <x:c r="P5" s="63" t="str">
        <x:v>APPROVED</x:v>
      </x:c>
      <x:c r="Q5" s="64" t="b">
        <x:v>1</x:v>
      </x:c>
      <x:c r="R5" s="63" t="str">
        <x:v>REVENUE_ENGINE</x:v>
      </x:c>
      <x:c r="S5" s="63" t="str">
        <x:v>BHP Annual Report 2025</x:v>
      </x:c>
      <x:c r="T5" s="63" t="n">
        <x:v>118</x:v>
      </x:c>
      <x:c r="U5" s="63" t="str">
        <x:v>https://www.bhp.com/-/media/documents/investors/annual-reports/2025/250819_bhpannualreport2025.pdf</x:v>
      </x:c>
      <x:c r="V5" s="63" t="str">
        <x:v>seed-register-hash:BHP-2025-REV</x:v>
      </x:c>
    </x:row>
    <x:row r="6">
      <x:c r="A6" s="63" t="str">
        <x:v>bec:BHP-2025-COST</x:v>
      </x:c>
      <x:c r="B6" s="63" t="str">
        <x:v>E01</x:v>
      </x:c>
      <x:c r="C6" s="63" t="str">
        <x:v>operating_cost_base</x:v>
      </x:c>
      <x:c r="D6" s="63" t="str">
        <x:v>MONEY</x:v>
      </x:c>
      <x:c r="E6" s="63" t="str">
        <x:v>OBSERVED</x:v>
      </x:c>
      <x:c r="F6" s="65" t="n">
        <x:v>32319</x:v>
      </x:c>
      <x:c r="G6" s="66"/>
      <x:c r="H6" s="67"/>
      <x:c r="I6" s="63"/>
      <x:c r="J6" s="63" t="str">
        <x:v>USD</x:v>
      </x:c>
      <x:c r="K6" s="63" t="str">
        <x:v>million</x:v>
      </x:c>
      <x:c r="L6" s="63" t="str">
        <x:v>2024-07-01</x:v>
      </x:c>
      <x:c r="M6" s="63" t="str">
        <x:v>2025-06-30</x:v>
      </x:c>
      <x:c r="N6" s="63" t="str">
        <x:v>2025-08-19</x:v>
      </x:c>
      <x:c r="O6" s="63" t="str">
        <x:v>E1</x:v>
      </x:c>
      <x:c r="P6" s="63" t="str">
        <x:v>APPROVED</x:v>
      </x:c>
      <x:c r="Q6" s="64" t="b">
        <x:v>1</x:v>
      </x:c>
      <x:c r="R6" s="63" t="str">
        <x:v>COST_ENGINE</x:v>
      </x:c>
      <x:c r="S6" s="63" t="str">
        <x:v>BHP Annual Report 2025</x:v>
      </x:c>
      <x:c r="T6" s="63" t="n">
        <x:v>118</x:v>
      </x:c>
      <x:c r="U6" s="63" t="str">
        <x:v>https://www.bhp.com/-/media/documents/investors/annual-reports/2025/250819_bhpannualreport2025.pdf</x:v>
      </x:c>
      <x:c r="V6" s="63" t="str">
        <x:v>seed-register-hash:BHP-2025-COST</x:v>
      </x:c>
    </x:row>
    <x:row r="7">
      <x:c r="A7" s="63" t="str">
        <x:v>bec:BHP-2025-AR-OPEN</x:v>
      </x:c>
      <x:c r="B7" s="63" t="str">
        <x:v>E01</x:v>
      </x:c>
      <x:c r="C7" s="63" t="str">
        <x:v>trade_receivables_open</x:v>
      </x:c>
      <x:c r="D7" s="63" t="str">
        <x:v>MONEY</x:v>
      </x:c>
      <x:c r="E7" s="63" t="str">
        <x:v>OBSERVED</x:v>
      </x:c>
      <x:c r="F7" s="65" t="n">
        <x:v>3687</x:v>
      </x:c>
      <x:c r="G7" s="66"/>
      <x:c r="H7" s="67"/>
      <x:c r="I7" s="63"/>
      <x:c r="J7" s="63" t="str">
        <x:v>USD</x:v>
      </x:c>
      <x:c r="K7" s="63" t="str">
        <x:v>million</x:v>
      </x:c>
      <x:c r="L7" s="63" t="str">
        <x:v>2023-07-01</x:v>
      </x:c>
      <x:c r="M7" s="63" t="str">
        <x:v>2024-06-30</x:v>
      </x:c>
      <x:c r="N7" s="63" t="str">
        <x:v>2025-08-19</x:v>
      </x:c>
      <x:c r="O7" s="63" t="str">
        <x:v>E1</x:v>
      </x:c>
      <x:c r="P7" s="63" t="str">
        <x:v>APPROVED</x:v>
      </x:c>
      <x:c r="Q7" s="64" t="b">
        <x:v>0</x:v>
      </x:c>
      <x:c r="R7" s="63" t="str">
        <x:v>REVENUE_ENGINE, WORKING_CAPITAL_CYCLE</x:v>
      </x:c>
      <x:c r="S7" s="63" t="str">
        <x:v>BHP Annual Report 2025</x:v>
      </x:c>
      <x:c r="T7" s="63" t="n">
        <x:v>139</x:v>
      </x:c>
      <x:c r="U7" s="63" t="str">
        <x:v>https://www.bhp.com/-/media/documents/investors/annual-reports/2025/250819_bhpannualreport2025.pdf</x:v>
      </x:c>
      <x:c r="V7" s="63" t="str">
        <x:v>seed-register-hash:BHP-2025-AR-OPEN</x:v>
      </x:c>
    </x:row>
    <x:row r="8">
      <x:c r="A8" s="63" t="str">
        <x:v>bec:BHP-2025-AR-CLOSE</x:v>
      </x:c>
      <x:c r="B8" s="63" t="str">
        <x:v>E01</x:v>
      </x:c>
      <x:c r="C8" s="63" t="str">
        <x:v>trade_receivables_close</x:v>
      </x:c>
      <x:c r="D8" s="63" t="str">
        <x:v>MONEY</x:v>
      </x:c>
      <x:c r="E8" s="63" t="str">
        <x:v>OBSERVED</x:v>
      </x:c>
      <x:c r="F8" s="65" t="n">
        <x:v>3081</x:v>
      </x:c>
      <x:c r="G8" s="66"/>
      <x:c r="H8" s="67"/>
      <x:c r="I8" s="63"/>
      <x:c r="J8" s="63" t="str">
        <x:v>USD</x:v>
      </x:c>
      <x:c r="K8" s="63" t="str">
        <x:v>million</x:v>
      </x:c>
      <x:c r="L8" s="63" t="str">
        <x:v>2024-07-01</x:v>
      </x:c>
      <x:c r="M8" s="63" t="str">
        <x:v>2025-06-30</x:v>
      </x:c>
      <x:c r="N8" s="63" t="str">
        <x:v>2025-08-19</x:v>
      </x:c>
      <x:c r="O8" s="63" t="str">
        <x:v>E1</x:v>
      </x:c>
      <x:c r="P8" s="63" t="str">
        <x:v>APPROVED</x:v>
      </x:c>
      <x:c r="Q8" s="64" t="b">
        <x:v>1</x:v>
      </x:c>
      <x:c r="R8" s="63" t="str">
        <x:v>REVENUE_ENGINE, WORKING_CAPITAL_CYCLE</x:v>
      </x:c>
      <x:c r="S8" s="63" t="str">
        <x:v>BHP Annual Report 2025</x:v>
      </x:c>
      <x:c r="T8" s="63" t="n">
        <x:v>139</x:v>
      </x:c>
      <x:c r="U8" s="63" t="str">
        <x:v>https://www.bhp.com/-/media/documents/investors/annual-reports/2025/250819_bhpannualreport2025.pdf</x:v>
      </x:c>
      <x:c r="V8" s="63" t="str">
        <x:v>seed-register-hash:BHP-2025-AR-CLOSE</x:v>
      </x:c>
    </x:row>
    <x:row r="9">
      <x:c r="A9" s="63" t="str">
        <x:v>bec:BHP-2025-INV-OPEN</x:v>
      </x:c>
      <x:c r="B9" s="63" t="str">
        <x:v>E01</x:v>
      </x:c>
      <x:c r="C9" s="63" t="str">
        <x:v>inventories_open</x:v>
      </x:c>
      <x:c r="D9" s="63" t="str">
        <x:v>MONEY</x:v>
      </x:c>
      <x:c r="E9" s="63" t="str">
        <x:v>OBSERVED</x:v>
      </x:c>
      <x:c r="F9" s="65" t="n">
        <x:v>7039</x:v>
      </x:c>
      <x:c r="G9" s="66"/>
      <x:c r="H9" s="67"/>
      <x:c r="I9" s="63"/>
      <x:c r="J9" s="63" t="str">
        <x:v>USD</x:v>
      </x:c>
      <x:c r="K9" s="63" t="str">
        <x:v>million</x:v>
      </x:c>
      <x:c r="L9" s="63" t="str">
        <x:v>2023-07-01</x:v>
      </x:c>
      <x:c r="M9" s="63" t="str">
        <x:v>2024-06-30</x:v>
      </x:c>
      <x:c r="N9" s="63" t="str">
        <x:v>2025-08-19</x:v>
      </x:c>
      <x:c r="O9" s="63" t="str">
        <x:v>E1</x:v>
      </x:c>
      <x:c r="P9" s="63" t="str">
        <x:v>APPROVED</x:v>
      </x:c>
      <x:c r="Q9" s="64" t="b">
        <x:v>0</x:v>
      </x:c>
      <x:c r="R9" s="63" t="str">
        <x:v>WORKING_CAPITAL_CYCLE</x:v>
      </x:c>
      <x:c r="S9" s="63" t="str">
        <x:v>BHP Annual Report 2025</x:v>
      </x:c>
      <x:c r="T9" s="63" t="n">
        <x:v>139</x:v>
      </x:c>
      <x:c r="U9" s="63" t="str">
        <x:v>https://www.bhp.com/-/media/documents/investors/annual-reports/2025/250819_bhpannualreport2025.pdf</x:v>
      </x:c>
      <x:c r="V9" s="63" t="str">
        <x:v>seed-register-hash:BHP-2025-INV-OPEN</x:v>
      </x:c>
    </x:row>
    <x:row r="10">
      <x:c r="A10" s="63" t="str">
        <x:v>bec:BHP-2025-INV-CLOSE</x:v>
      </x:c>
      <x:c r="B10" s="63" t="str">
        <x:v>E01</x:v>
      </x:c>
      <x:c r="C10" s="63" t="str">
        <x:v>inventories_close</x:v>
      </x:c>
      <x:c r="D10" s="63" t="str">
        <x:v>MONEY</x:v>
      </x:c>
      <x:c r="E10" s="63" t="str">
        <x:v>OBSERVED</x:v>
      </x:c>
      <x:c r="F10" s="65" t="n">
        <x:v>6978</x:v>
      </x:c>
      <x:c r="G10" s="66"/>
      <x:c r="H10" s="67"/>
      <x:c r="I10" s="63"/>
      <x:c r="J10" s="63" t="str">
        <x:v>USD</x:v>
      </x:c>
      <x:c r="K10" s="63" t="str">
        <x:v>million</x:v>
      </x:c>
      <x:c r="L10" s="63" t="str">
        <x:v>2024-07-01</x:v>
      </x:c>
      <x:c r="M10" s="63" t="str">
        <x:v>2025-06-30</x:v>
      </x:c>
      <x:c r="N10" s="63" t="str">
        <x:v>2025-08-19</x:v>
      </x:c>
      <x:c r="O10" s="63" t="str">
        <x:v>E1</x:v>
      </x:c>
      <x:c r="P10" s="63" t="str">
        <x:v>APPROVED</x:v>
      </x:c>
      <x:c r="Q10" s="64" t="b">
        <x:v>1</x:v>
      </x:c>
      <x:c r="R10" s="63" t="str">
        <x:v>WORKING_CAPITAL_CYCLE</x:v>
      </x:c>
      <x:c r="S10" s="63" t="str">
        <x:v>BHP Annual Report 2025</x:v>
      </x:c>
      <x:c r="T10" s="63" t="n">
        <x:v>139</x:v>
      </x:c>
      <x:c r="U10" s="63" t="str">
        <x:v>https://www.bhp.com/-/media/documents/investors/annual-reports/2025/250819_bhpannualreport2025.pdf</x:v>
      </x:c>
      <x:c r="V10" s="63" t="str">
        <x:v>seed-register-hash:BHP-2025-INV-CLOSE</x:v>
      </x:c>
    </x:row>
    <x:row r="11">
      <x:c r="A11" s="63" t="str">
        <x:v>bec:BHP-2025-AP-OPEN</x:v>
      </x:c>
      <x:c r="B11" s="63" t="str">
        <x:v>E01</x:v>
      </x:c>
      <x:c r="C11" s="63" t="str">
        <x:v>trade_payables_open</x:v>
      </x:c>
      <x:c r="D11" s="63" t="str">
        <x:v>MONEY</x:v>
      </x:c>
      <x:c r="E11" s="63" t="str">
        <x:v>OBSERVED</x:v>
      </x:c>
      <x:c r="F11" s="65" t="n">
        <x:v>5338</x:v>
      </x:c>
      <x:c r="G11" s="66"/>
      <x:c r="H11" s="67"/>
      <x:c r="I11" s="63"/>
      <x:c r="J11" s="63" t="str">
        <x:v>USD</x:v>
      </x:c>
      <x:c r="K11" s="63" t="str">
        <x:v>million</x:v>
      </x:c>
      <x:c r="L11" s="63" t="str">
        <x:v>2023-07-01</x:v>
      </x:c>
      <x:c r="M11" s="63" t="str">
        <x:v>2024-06-30</x:v>
      </x:c>
      <x:c r="N11" s="63" t="str">
        <x:v>2025-08-19</x:v>
      </x:c>
      <x:c r="O11" s="63" t="str">
        <x:v>E1</x:v>
      </x:c>
      <x:c r="P11" s="63" t="str">
        <x:v>APPROVED</x:v>
      </x:c>
      <x:c r="Q11" s="64" t="b">
        <x:v>0</x:v>
      </x:c>
      <x:c r="R11" s="63" t="str">
        <x:v>COST_ENGINE, WORKING_CAPITAL_CYCLE</x:v>
      </x:c>
      <x:c r="S11" s="63" t="str">
        <x:v>BHP Annual Report 2025</x:v>
      </x:c>
      <x:c r="T11" s="63" t="n">
        <x:v>139</x:v>
      </x:c>
      <x:c r="U11" s="63" t="str">
        <x:v>https://www.bhp.com/-/media/documents/investors/annual-reports/2025/250819_bhpannualreport2025.pdf</x:v>
      </x:c>
      <x:c r="V11" s="63" t="str">
        <x:v>seed-register-hash:BHP-2025-AP-OPEN</x:v>
      </x:c>
    </x:row>
    <x:row r="12">
      <x:c r="A12" s="63" t="str">
        <x:v>bec:BHP-2025-AP-CLOSE</x:v>
      </x:c>
      <x:c r="B12" s="63" t="str">
        <x:v>E01</x:v>
      </x:c>
      <x:c r="C12" s="63" t="str">
        <x:v>trade_payables_close</x:v>
      </x:c>
      <x:c r="D12" s="63" t="str">
        <x:v>MONEY</x:v>
      </x:c>
      <x:c r="E12" s="63" t="str">
        <x:v>OBSERVED</x:v>
      </x:c>
      <x:c r="F12" s="65" t="n">
        <x:v>5082</x:v>
      </x:c>
      <x:c r="G12" s="66"/>
      <x:c r="H12" s="67"/>
      <x:c r="I12" s="63"/>
      <x:c r="J12" s="63" t="str">
        <x:v>USD</x:v>
      </x:c>
      <x:c r="K12" s="63" t="str">
        <x:v>million</x:v>
      </x:c>
      <x:c r="L12" s="63" t="str">
        <x:v>2024-07-01</x:v>
      </x:c>
      <x:c r="M12" s="63" t="str">
        <x:v>2025-06-30</x:v>
      </x:c>
      <x:c r="N12" s="63" t="str">
        <x:v>2025-08-19</x:v>
      </x:c>
      <x:c r="O12" s="63" t="str">
        <x:v>E1</x:v>
      </x:c>
      <x:c r="P12" s="63" t="str">
        <x:v>APPROVED</x:v>
      </x:c>
      <x:c r="Q12" s="64" t="b">
        <x:v>1</x:v>
      </x:c>
      <x:c r="R12" s="63" t="str">
        <x:v>COST_ENGINE, WORKING_CAPITAL_CYCLE</x:v>
      </x:c>
      <x:c r="S12" s="63" t="str">
        <x:v>BHP Annual Report 2025</x:v>
      </x:c>
      <x:c r="T12" s="63" t="n">
        <x:v>139</x:v>
      </x:c>
      <x:c r="U12" s="63" t="str">
        <x:v>https://www.bhp.com/-/media/documents/investors/annual-reports/2025/250819_bhpannualreport2025.pdf</x:v>
      </x:c>
      <x:c r="V12" s="63" t="str">
        <x:v>seed-register-hash:BHP-2025-AP-CLOSE</x:v>
      </x:c>
    </x:row>
    <x:row r="13">
      <x:c r="A13" s="63" t="str">
        <x:v>bec:BHP-2025-FX</x:v>
      </x:c>
      <x:c r="B13" s="63" t="str">
        <x:v>E01</x:v>
      </x:c>
      <x:c r="C13" s="63" t="str">
        <x:v>fx_exposure</x:v>
      </x:c>
      <x:c r="D13" s="63" t="str">
        <x:v>MONEY</x:v>
      </x:c>
      <x:c r="E13" s="63" t="str">
        <x:v>OBSERVED</x:v>
      </x:c>
      <x:c r="F13" s="65" t="n">
        <x:v>5123</x:v>
      </x:c>
      <x:c r="G13" s="66"/>
      <x:c r="H13" s="67"/>
      <x:c r="I13" s="63"/>
      <x:c r="J13" s="63" t="str">
        <x:v>USD</x:v>
      </x:c>
      <x:c r="K13" s="63" t="str">
        <x:v>million</x:v>
      </x:c>
      <x:c r="L13" s="63" t="str">
        <x:v>2024-07-01</x:v>
      </x:c>
      <x:c r="M13" s="63" t="str">
        <x:v>2025-06-30</x:v>
      </x:c>
      <x:c r="N13" s="63" t="str">
        <x:v>2025-08-19</x:v>
      </x:c>
      <x:c r="O13" s="63" t="str">
        <x:v>E1</x:v>
      </x:c>
      <x:c r="P13" s="63" t="str">
        <x:v>APPROVED</x:v>
      </x:c>
      <x:c r="Q13" s="64" t="b">
        <x:v>1</x:v>
      </x:c>
      <x:c r="R13" s="63" t="str">
        <x:v>CURRENCY_AND_COMMODITY_EXPOSURE</x:v>
      </x:c>
      <x:c r="S13" s="63" t="str">
        <x:v>BHP Annual Report 2025</x:v>
      </x:c>
      <x:c r="T13" s="63" t="n">
        <x:v>160</x:v>
      </x:c>
      <x:c r="U13" s="63" t="str">
        <x:v>https://www.bhp.com/-/media/documents/investors/annual-reports/2025/250819_bhpannualreport2025.pdf</x:v>
      </x:c>
      <x:c r="V13" s="63" t="str">
        <x:v>seed-register-hash:BHP-2025-FX</x:v>
      </x:c>
    </x:row>
    <x:row r="14">
      <x:c r="A14" s="63" t="str">
        <x:v>bec:BHP-2025-DEBT</x:v>
      </x:c>
      <x:c r="B14" s="63" t="str">
        <x:v>E01</x:v>
      </x:c>
      <x:c r="C14" s="63" t="str">
        <x:v>current_debt</x:v>
      </x:c>
      <x:c r="D14" s="63" t="str">
        <x:v>MONEY</x:v>
      </x:c>
      <x:c r="E14" s="63" t="str">
        <x:v>OBSERVED</x:v>
      </x:c>
      <x:c r="F14" s="65" t="n">
        <x:v>2018</x:v>
      </x:c>
      <x:c r="G14" s="66"/>
      <x:c r="H14" s="67"/>
      <x:c r="I14" s="63"/>
      <x:c r="J14" s="63" t="str">
        <x:v>USD</x:v>
      </x:c>
      <x:c r="K14" s="63" t="str">
        <x:v>million</x:v>
      </x:c>
      <x:c r="L14" s="63" t="str">
        <x:v>2024-07-01</x:v>
      </x:c>
      <x:c r="M14" s="63" t="str">
        <x:v>2025-06-30</x:v>
      </x:c>
      <x:c r="N14" s="63" t="str">
        <x:v>2025-08-19</x:v>
      </x:c>
      <x:c r="O14" s="63" t="str">
        <x:v>E1</x:v>
      </x:c>
      <x:c r="P14" s="63" t="str">
        <x:v>APPROVED</x:v>
      </x:c>
      <x:c r="Q14" s="64" t="b">
        <x:v>1</x:v>
      </x:c>
      <x:c r="R14" s="63" t="str">
        <x:v>FUNDING_STRUCTURE</x:v>
      </x:c>
      <x:c r="S14" s="63" t="str">
        <x:v>BHP Annual Report 2025</x:v>
      </x:c>
      <x:c r="T14" s="63" t="n">
        <x:v>119</x:v>
      </x:c>
      <x:c r="U14" s="63" t="str">
        <x:v>https://www.bhp.com/-/media/documents/investors/annual-reports/2025/250819_bhpannualreport2025.pdf</x:v>
      </x:c>
      <x:c r="V14" s="63" t="str">
        <x:v>seed-register-hash:BHP-2025-DEBT</x:v>
      </x:c>
    </x:row>
    <x:row r="15">
      <x:c r="A15" s="63" t="str">
        <x:v>bec:E01:obs:flow:collections</x:v>
      </x:c>
      <x:c r="B15" s="63" t="str">
        <x:v>E01</x:v>
      </x:c>
      <x:c r="C15" s="63" t="str">
        <x:v>bank_observed_collections_ltm</x:v>
      </x:c>
      <x:c r="D15" s="63" t="str">
        <x:v>MONEY</x:v>
      </x:c>
      <x:c r="E15" s="63" t="str">
        <x:v>OBSERVED</x:v>
      </x:c>
      <x:c r="F15" s="65" t="n">
        <x:v>9185914038.405224</x:v>
      </x:c>
      <x:c r="G15" s="66"/>
      <x:c r="H15" s="67"/>
      <x:c r="I15" s="63"/>
      <x:c r="J15" s="63" t="str">
        <x:v>ZAR</x:v>
      </x:c>
      <x:c r="K15" s="63" t="str">
        <x:v>ZAR</x:v>
      </x:c>
      <x:c r="L15" s="63" t="str">
        <x:v>2025-06-01</x:v>
      </x:c>
      <x:c r="M15" s="63" t="str">
        <x:v>2026-06-30</x:v>
      </x:c>
      <x:c r="N15" s="63" t="str">
        <x:v>2026-06-30</x:v>
      </x:c>
      <x:c r="O15" s="63" t="str">
        <x:v>E0</x:v>
      </x:c>
      <x:c r="P15" s="63" t="str">
        <x:v>APPROVED</x:v>
      </x:c>
      <x:c r="Q15" s="64" t="b">
        <x:v>1</x:v>
      </x:c>
      <x:c r="R15" s="63" t="str">
        <x:v>REVENUE_ENGINE, WORKING_CAPITAL_CYCLE</x:v>
      </x:c>
      <x:c r="S15" s="63" t="str">
        <x:v>Syn Bank transaction and relationship simulation</x:v>
      </x:c>
      <x:c r="T15" s="63"/>
      <x:c r="U15" s="63" t="str">
        <x:v>internal://syn-bank/simulation/ltm</x:v>
      </x:c>
      <x:c r="V15" s="63" t="str">
        <x:v>9c1526f7b1a64c704ce28dc4fc8d4730c3c4ccc8f3d82e20bd58967dd1d1f23f</x:v>
      </x:c>
    </x:row>
    <x:row r="16">
      <x:c r="A16" s="63" t="str">
        <x:v>bec:E01:obs:trend:collections</x:v>
      </x:c>
      <x:c r="B16" s="63" t="str">
        <x:v>E01</x:v>
      </x:c>
      <x:c r="C16" s="63" t="str">
        <x:v>bank_observed_collections_yoy_change</x:v>
      </x:c>
      <x:c r="D16" s="63" t="str">
        <x:v>RATIO</x:v>
      </x:c>
      <x:c r="E16" s="63" t="str">
        <x:v>OBSERVED</x:v>
      </x:c>
      <x:c r="F16" s="65"/>
      <x:c r="G16" s="66" t="n">
        <x:v>0.065062</x:v>
      </x:c>
      <x:c r="H16" s="67"/>
      <x:c r="I16" s="63"/>
      <x:c r="J16" s="63"/>
      <x:c r="K16" s="63" t="str">
        <x:v>ratio</x:v>
      </x:c>
      <x:c r="L16" s="63" t="str">
        <x:v>2025-06-01</x:v>
      </x:c>
      <x:c r="M16" s="63" t="str">
        <x:v>2026-06-30</x:v>
      </x:c>
      <x:c r="N16" s="63" t="str">
        <x:v>2026-06-30</x:v>
      </x:c>
      <x:c r="O16" s="63" t="str">
        <x:v>E0</x:v>
      </x:c>
      <x:c r="P16" s="63" t="str">
        <x:v>APPROVED</x:v>
      </x:c>
      <x:c r="Q16" s="64" t="b">
        <x:v>0</x:v>
      </x:c>
      <x:c r="R16" s="63" t="str">
        <x:v>REVENUE_ENGINE, WORKING_CAPITAL_CYCLE</x:v>
      </x:c>
      <x:c r="S16" s="63" t="str">
        <x:v>Syn Bank transaction and relationship simulation</x:v>
      </x:c>
      <x:c r="T16" s="63"/>
      <x:c r="U16" s="63" t="str">
        <x:v>internal://syn-bank/simulation/ltm</x:v>
      </x:c>
      <x:c r="V16" s="63" t="str">
        <x:v>9de7e5e68d7cf030eaabe5fe28c6bbe26b1350a584f792a8d2016c1e19baae86</x:v>
      </x:c>
    </x:row>
    <x:row r="17">
      <x:c r="A17" s="63" t="str">
        <x:v>bec:E01:obs:flow:payments</x:v>
      </x:c>
      <x:c r="B17" s="63" t="str">
        <x:v>E01</x:v>
      </x:c>
      <x:c r="C17" s="63" t="str">
        <x:v>bank_observed_payments_ltm</x:v>
      </x:c>
      <x:c r="D17" s="63" t="str">
        <x:v>MONEY</x:v>
      </x:c>
      <x:c r="E17" s="63" t="str">
        <x:v>OBSERVED</x:v>
      </x:c>
      <x:c r="F17" s="65" t="n">
        <x:v>7135405353.229999</x:v>
      </x:c>
      <x:c r="G17" s="66"/>
      <x:c r="H17" s="67"/>
      <x:c r="I17" s="63"/>
      <x:c r="J17" s="63" t="str">
        <x:v>ZAR</x:v>
      </x:c>
      <x:c r="K17" s="63" t="str">
        <x:v>ZAR</x:v>
      </x:c>
      <x:c r="L17" s="63" t="str">
        <x:v>2025-06-01</x:v>
      </x:c>
      <x:c r="M17" s="63" t="str">
        <x:v>2026-06-30</x:v>
      </x:c>
      <x:c r="N17" s="63" t="str">
        <x:v>2026-06-30</x:v>
      </x:c>
      <x:c r="O17" s="63" t="str">
        <x:v>E0</x:v>
      </x:c>
      <x:c r="P17" s="63" t="str">
        <x:v>APPROVED</x:v>
      </x:c>
      <x:c r="Q17" s="64" t="b">
        <x:v>1</x:v>
      </x:c>
      <x:c r="R17" s="63" t="str">
        <x:v>COST_ENGINE, WORKING_CAPITAL_CYCLE</x:v>
      </x:c>
      <x:c r="S17" s="63" t="str">
        <x:v>Syn Bank transaction and relationship simulation</x:v>
      </x:c>
      <x:c r="T17" s="63"/>
      <x:c r="U17" s="63" t="str">
        <x:v>internal://syn-bank/simulation/ltm</x:v>
      </x:c>
      <x:c r="V17" s="63" t="str">
        <x:v>ffcae5dcd6e17b32285a6eb667e3349a0677c51f5cf9e0ad50111e1e209e63ab</x:v>
      </x:c>
    </x:row>
    <x:row r="18">
      <x:c r="A18" s="63" t="str">
        <x:v>bec:E01:obs:trend:payments</x:v>
      </x:c>
      <x:c r="B18" s="63" t="str">
        <x:v>E01</x:v>
      </x:c>
      <x:c r="C18" s="63" t="str">
        <x:v>bank_observed_payments_yoy_change</x:v>
      </x:c>
      <x:c r="D18" s="63" t="str">
        <x:v>RATIO</x:v>
      </x:c>
      <x:c r="E18" s="63" t="str">
        <x:v>OBSERVED</x:v>
      </x:c>
      <x:c r="F18" s="65"/>
      <x:c r="G18" s="66" t="n">
        <x:v>0.137516</x:v>
      </x:c>
      <x:c r="H18" s="67"/>
      <x:c r="I18" s="63"/>
      <x:c r="J18" s="63"/>
      <x:c r="K18" s="63" t="str">
        <x:v>ratio</x:v>
      </x:c>
      <x:c r="L18" s="63" t="str">
        <x:v>2025-06-01</x:v>
      </x:c>
      <x:c r="M18" s="63" t="str">
        <x:v>2026-06-30</x:v>
      </x:c>
      <x:c r="N18" s="63" t="str">
        <x:v>2026-06-30</x:v>
      </x:c>
      <x:c r="O18" s="63" t="str">
        <x:v>E0</x:v>
      </x:c>
      <x:c r="P18" s="63" t="str">
        <x:v>APPROVED</x:v>
      </x:c>
      <x:c r="Q18" s="64" t="b">
        <x:v>0</x:v>
      </x:c>
      <x:c r="R18" s="63" t="str">
        <x:v>COST_ENGINE, WORKING_CAPITAL_CYCLE</x:v>
      </x:c>
      <x:c r="S18" s="63" t="str">
        <x:v>Syn Bank transaction and relationship simulation</x:v>
      </x:c>
      <x:c r="T18" s="63"/>
      <x:c r="U18" s="63" t="str">
        <x:v>internal://syn-bank/simulation/ltm</x:v>
      </x:c>
      <x:c r="V18" s="63" t="str">
        <x:v>7842a77b1b9df3e94a730c63f2b806e8e932f62efc597055badf2516905885f5</x:v>
      </x:c>
    </x:row>
    <x:row r="19">
      <x:c r="A19" s="63" t="str">
        <x:v>bec:E01:obs:flow:liquidity</x:v>
      </x:c>
      <x:c r="B19" s="63" t="str">
        <x:v>E01</x:v>
      </x:c>
      <x:c r="C19" s="63" t="str">
        <x:v>bank_observed_liquidity_ltm</x:v>
      </x:c>
      <x:c r="D19" s="63" t="str">
        <x:v>MONEY</x:v>
      </x:c>
      <x:c r="E19" s="63" t="str">
        <x:v>OBSERVED</x:v>
      </x:c>
      <x:c r="F19" s="65" t="n">
        <x:v>8160659695.8176155</x:v>
      </x:c>
      <x:c r="G19" s="66"/>
      <x:c r="H19" s="67"/>
      <x:c r="I19" s="63"/>
      <x:c r="J19" s="63" t="str">
        <x:v>ZAR</x:v>
      </x:c>
      <x:c r="K19" s="63" t="str">
        <x:v>ZAR</x:v>
      </x:c>
      <x:c r="L19" s="63" t="str">
        <x:v>2025-06-01</x:v>
      </x:c>
      <x:c r="M19" s="63" t="str">
        <x:v>2026-06-30</x:v>
      </x:c>
      <x:c r="N19" s="63" t="str">
        <x:v>2026-06-30</x:v>
      </x:c>
      <x:c r="O19" s="63" t="str">
        <x:v>E0</x:v>
      </x:c>
      <x:c r="P19" s="63" t="str">
        <x:v>APPROVED</x:v>
      </x:c>
      <x:c r="Q19" s="64" t="b">
        <x:v>1</x:v>
      </x:c>
      <x:c r="R19" s="63" t="str">
        <x:v>LIQUIDITY_AND_BUFFER</x:v>
      </x:c>
      <x:c r="S19" s="63" t="str">
        <x:v>Syn Bank transaction and relationship simulation</x:v>
      </x:c>
      <x:c r="T19" s="63"/>
      <x:c r="U19" s="63" t="str">
        <x:v>internal://syn-bank/simulation/ltm</x:v>
      </x:c>
      <x:c r="V19" s="63" t="str">
        <x:v>7a3a4b2bb57b63c733f987aaa977f6041fca65c85b96a8c9af0f5bd03189a01a</x:v>
      </x:c>
    </x:row>
    <x:row r="20">
      <x:c r="A20" s="63" t="str">
        <x:v>bec:E01:obs:trend:liquidity</x:v>
      </x:c>
      <x:c r="B20" s="63" t="str">
        <x:v>E01</x:v>
      </x:c>
      <x:c r="C20" s="63" t="str">
        <x:v>bank_observed_liquidity_yoy_change</x:v>
      </x:c>
      <x:c r="D20" s="63" t="str">
        <x:v>RATIO</x:v>
      </x:c>
      <x:c r="E20" s="63" t="str">
        <x:v>OBSERVED</x:v>
      </x:c>
      <x:c r="F20" s="65"/>
      <x:c r="G20" s="66" t="n">
        <x:v>0.09557</x:v>
      </x:c>
      <x:c r="H20" s="67"/>
      <x:c r="I20" s="63"/>
      <x:c r="J20" s="63"/>
      <x:c r="K20" s="63" t="str">
        <x:v>ratio</x:v>
      </x:c>
      <x:c r="L20" s="63" t="str">
        <x:v>2025-06-01</x:v>
      </x:c>
      <x:c r="M20" s="63" t="str">
        <x:v>2026-06-30</x:v>
      </x:c>
      <x:c r="N20" s="63" t="str">
        <x:v>2026-06-30</x:v>
      </x:c>
      <x:c r="O20" s="63" t="str">
        <x:v>E0</x:v>
      </x:c>
      <x:c r="P20" s="63" t="str">
        <x:v>APPROVED</x:v>
      </x:c>
      <x:c r="Q20" s="64" t="b">
        <x:v>0</x:v>
      </x:c>
      <x:c r="R20" s="63" t="str">
        <x:v>LIQUIDITY_AND_BUFFER</x:v>
      </x:c>
      <x:c r="S20" s="63" t="str">
        <x:v>Syn Bank transaction and relationship simulation</x:v>
      </x:c>
      <x:c r="T20" s="63"/>
      <x:c r="U20" s="63" t="str">
        <x:v>internal://syn-bank/simulation/ltm</x:v>
      </x:c>
      <x:c r="V20" s="63" t="str">
        <x:v>c7edd9961ec519db56b25b1c0c43ee963be27735a9f56e6712eb00a5a2f76c65</x:v>
      </x:c>
    </x:row>
    <x:row r="21">
      <x:c r="A21" s="63" t="str">
        <x:v>bec:E01:obs:flow:cross-border-fx</x:v>
      </x:c>
      <x:c r="B21" s="63" t="str">
        <x:v>E01</x:v>
      </x:c>
      <x:c r="C21" s="63" t="str">
        <x:v>bank_observed_cross_border_fx_ltm</x:v>
      </x:c>
      <x:c r="D21" s="63" t="str">
        <x:v>MONEY</x:v>
      </x:c>
      <x:c r="E21" s="63" t="str">
        <x:v>OBSERVED</x:v>
      </x:c>
      <x:c r="F21" s="65" t="n">
        <x:v>2079487623.08</x:v>
      </x:c>
      <x:c r="G21" s="66"/>
      <x:c r="H21" s="67"/>
      <x:c r="I21" s="63"/>
      <x:c r="J21" s="63" t="str">
        <x:v>ZAR</x:v>
      </x:c>
      <x:c r="K21" s="63" t="str">
        <x:v>ZAR</x:v>
      </x:c>
      <x:c r="L21" s="63" t="str">
        <x:v>2025-06-01</x:v>
      </x:c>
      <x:c r="M21" s="63" t="str">
        <x:v>2026-06-30</x:v>
      </x:c>
      <x:c r="N21" s="63" t="str">
        <x:v>2026-06-30</x:v>
      </x:c>
      <x:c r="O21" s="63" t="str">
        <x:v>E0</x:v>
      </x:c>
      <x:c r="P21" s="63" t="str">
        <x:v>APPROVED</x:v>
      </x:c>
      <x:c r="Q21" s="64" t="b">
        <x:v>1</x:v>
      </x:c>
      <x:c r="R21" s="63" t="str">
        <x:v>CURRENCY_AND_COMMODITY_EXPOSURE, GEOGRAPHIC_EXPOSURE</x:v>
      </x:c>
      <x:c r="S21" s="63" t="str">
        <x:v>Syn Bank transaction and relationship simulation</x:v>
      </x:c>
      <x:c r="T21" s="63"/>
      <x:c r="U21" s="63" t="str">
        <x:v>internal://syn-bank/simulation/ltm</x:v>
      </x:c>
      <x:c r="V21" s="63" t="str">
        <x:v>4f14412b9b66ff4c8cd119640012fa2cbb72753d1d79924dd98f57d336cddd33</x:v>
      </x:c>
    </x:row>
    <x:row r="22">
      <x:c r="A22" s="63" t="str">
        <x:v>bec:E01:obs:trend:cross-border-fx</x:v>
      </x:c>
      <x:c r="B22" s="63" t="str">
        <x:v>E01</x:v>
      </x:c>
      <x:c r="C22" s="63" t="str">
        <x:v>bank_observed_cross_border_fx_yoy_change</x:v>
      </x:c>
      <x:c r="D22" s="63" t="str">
        <x:v>RATIO</x:v>
      </x:c>
      <x:c r="E22" s="63" t="str">
        <x:v>OBSERVED</x:v>
      </x:c>
      <x:c r="F22" s="65"/>
      <x:c r="G22" s="66" t="n">
        <x:v>-0.041589</x:v>
      </x:c>
      <x:c r="H22" s="67"/>
      <x:c r="I22" s="63"/>
      <x:c r="J22" s="63"/>
      <x:c r="K22" s="63" t="str">
        <x:v>ratio</x:v>
      </x:c>
      <x:c r="L22" s="63" t="str">
        <x:v>2025-06-01</x:v>
      </x:c>
      <x:c r="M22" s="63" t="str">
        <x:v>2026-06-30</x:v>
      </x:c>
      <x:c r="N22" s="63" t="str">
        <x:v>2026-06-30</x:v>
      </x:c>
      <x:c r="O22" s="63" t="str">
        <x:v>E0</x:v>
      </x:c>
      <x:c r="P22" s="63" t="str">
        <x:v>APPROVED</x:v>
      </x:c>
      <x:c r="Q22" s="64" t="b">
        <x:v>0</x:v>
      </x:c>
      <x:c r="R22" s="63" t="str">
        <x:v>CURRENCY_AND_COMMODITY_EXPOSURE, GEOGRAPHIC_EXPOSURE</x:v>
      </x:c>
      <x:c r="S22" s="63" t="str">
        <x:v>Syn Bank transaction and relationship simulation</x:v>
      </x:c>
      <x:c r="T22" s="63"/>
      <x:c r="U22" s="63" t="str">
        <x:v>internal://syn-bank/simulation/ltm</x:v>
      </x:c>
      <x:c r="V22" s="63" t="str">
        <x:v>dccafa8645df7f059cf1f7ef7227815b72d8a55104140a4648e59b3649ce853a</x:v>
      </x:c>
    </x:row>
    <x:row r="23">
      <x:c r="A23" s="63" t="str">
        <x:v>bec:E01:obs:flow:trade-finance</x:v>
      </x:c>
      <x:c r="B23" s="63" t="str">
        <x:v>E01</x:v>
      </x:c>
      <x:c r="C23" s="63" t="str">
        <x:v>bank_observed_trade_finance_ltm</x:v>
      </x:c>
      <x:c r="D23" s="63" t="str">
        <x:v>MONEY</x:v>
      </x:c>
      <x:c r="E23" s="63" t="str">
        <x:v>OBSERVED</x:v>
      </x:c>
      <x:c r="F23" s="65" t="n">
        <x:v>1444550118.15</x:v>
      </x:c>
      <x:c r="G23" s="66"/>
      <x:c r="H23" s="67"/>
      <x:c r="I23" s="63"/>
      <x:c r="J23" s="63" t="str">
        <x:v>ZAR</x:v>
      </x:c>
      <x:c r="K23" s="63" t="str">
        <x:v>ZAR</x:v>
      </x:c>
      <x:c r="L23" s="63" t="str">
        <x:v>2025-06-01</x:v>
      </x:c>
      <x:c r="M23" s="63" t="str">
        <x:v>2026-06-30</x:v>
      </x:c>
      <x:c r="N23" s="63" t="str">
        <x:v>2026-06-30</x:v>
      </x:c>
      <x:c r="O23" s="63" t="str">
        <x:v>E0</x:v>
      </x:c>
      <x:c r="P23" s="63" t="str">
        <x:v>APPROVED</x:v>
      </x:c>
      <x:c r="Q23" s="64" t="b">
        <x:v>1</x:v>
      </x:c>
      <x:c r="R23" s="63" t="str">
        <x:v>WORKING_CAPITAL_CYCLE, OPERATING_MODEL</x:v>
      </x:c>
      <x:c r="S23" s="63" t="str">
        <x:v>Syn Bank transaction and relationship simulation</x:v>
      </x:c>
      <x:c r="T23" s="63"/>
      <x:c r="U23" s="63" t="str">
        <x:v>internal://syn-bank/simulation/ltm</x:v>
      </x:c>
      <x:c r="V23" s="63" t="str">
        <x:v>ff6c26c039b8172ac18b0e7d714532c8e9e6cb1c7e848657ad065628f84cbb08</x:v>
      </x:c>
    </x:row>
    <x:row r="24">
      <x:c r="A24" s="63" t="str">
        <x:v>bec:E01:obs:trend:trade-finance</x:v>
      </x:c>
      <x:c r="B24" s="63" t="str">
        <x:v>E01</x:v>
      </x:c>
      <x:c r="C24" s="63" t="str">
        <x:v>bank_observed_trade_finance_yoy_change</x:v>
      </x:c>
      <x:c r="D24" s="63" t="str">
        <x:v>RATIO</x:v>
      </x:c>
      <x:c r="E24" s="63" t="str">
        <x:v>OBSERVED</x:v>
      </x:c>
      <x:c r="F24" s="65"/>
      <x:c r="G24" s="66" t="n">
        <x:v>0.129696</x:v>
      </x:c>
      <x:c r="H24" s="67"/>
      <x:c r="I24" s="63"/>
      <x:c r="J24" s="63"/>
      <x:c r="K24" s="63" t="str">
        <x:v>ratio</x:v>
      </x:c>
      <x:c r="L24" s="63" t="str">
        <x:v>2025-06-01</x:v>
      </x:c>
      <x:c r="M24" s="63" t="str">
        <x:v>2026-06-30</x:v>
      </x:c>
      <x:c r="N24" s="63" t="str">
        <x:v>2026-06-30</x:v>
      </x:c>
      <x:c r="O24" s="63" t="str">
        <x:v>E0</x:v>
      </x:c>
      <x:c r="P24" s="63" t="str">
        <x:v>APPROVED</x:v>
      </x:c>
      <x:c r="Q24" s="64" t="b">
        <x:v>0</x:v>
      </x:c>
      <x:c r="R24" s="63" t="str">
        <x:v>WORKING_CAPITAL_CYCLE, OPERATING_MODEL</x:v>
      </x:c>
      <x:c r="S24" s="63" t="str">
        <x:v>Syn Bank transaction and relationship simulation</x:v>
      </x:c>
      <x:c r="T24" s="63"/>
      <x:c r="U24" s="63" t="str">
        <x:v>internal://syn-bank/simulation/ltm</x:v>
      </x:c>
      <x:c r="V24" s="63" t="str">
        <x:v>fccbcb24e10e2ce79002adf11b9d52669600b2a7a11a43f7642ff039771836e6</x:v>
      </x:c>
    </x:row>
    <x:row r="25">
      <x:c r="A25" s="63" t="str">
        <x:v>bec:E01:obs:corridor:0</x:v>
      </x:c>
      <x:c r="B25" s="63" t="str">
        <x:v>E01</x:v>
      </x:c>
      <x:c r="C25" s="63" t="str">
        <x:v>bank_observed_corridor_value</x:v>
      </x:c>
      <x:c r="D25" s="63" t="str">
        <x:v>MONEY</x:v>
      </x:c>
      <x:c r="E25" s="63" t="str">
        <x:v>OBSERVED</x:v>
      </x:c>
      <x:c r="F25" s="65" t="n">
        <x:v>1165001591.04</x:v>
      </x:c>
      <x:c r="G25" s="66"/>
      <x:c r="H25" s="67"/>
      <x:c r="I25" s="63"/>
      <x:c r="J25" s="63" t="str">
        <x:v>ZAR</x:v>
      </x:c>
      <x:c r="K25" s="63" t="str">
        <x:v>ZAR</x:v>
      </x:c>
      <x:c r="L25" s="63" t="str">
        <x:v>2025-06-01</x:v>
      </x:c>
      <x:c r="M25" s="63" t="str">
        <x:v>2026-06-30</x:v>
      </x:c>
      <x:c r="N25" s="63" t="str">
        <x:v>2026-06-30</x:v>
      </x:c>
      <x:c r="O25" s="63" t="str">
        <x:v>E0</x:v>
      </x:c>
      <x:c r="P25" s="63" t="str">
        <x:v>APPROVED</x:v>
      </x:c>
      <x:c r="Q25" s="64" t="b">
        <x:v>1</x:v>
      </x:c>
      <x:c r="R25" s="63" t="str">
        <x:v>GEOGRAPHIC_EXPOSURE</x:v>
      </x:c>
      <x:c r="S25" s="63" t="str">
        <x:v>Syn Bank transaction and relationship simulation</x:v>
      </x:c>
      <x:c r="T25" s="63"/>
      <x:c r="U25" s="63" t="str">
        <x:v>internal://syn-bank/simulation/ltm</x:v>
      </x:c>
      <x:c r="V25" s="63" t="str">
        <x:v>c90edde071643f6bc44c7dad06f0a6fbfe54b4c6d3e069a81d5065dc03a4d327</x:v>
      </x:c>
    </x:row>
    <x:row r="26">
      <x:c r="A26" s="63" t="str">
        <x:v>bec:E01:obs:corridor-name:0</x:v>
      </x:c>
      <x:c r="B26" s="63" t="str">
        <x:v>E01</x:v>
      </x:c>
      <x:c r="C26" s="63" t="str">
        <x:v>bank_observed_corridor_country</x:v>
      </x:c>
      <x:c r="D26" s="63" t="str">
        <x:v>CATEGORICAL</x:v>
      </x:c>
      <x:c r="E26" s="63" t="str">
        <x:v>OBSERVED</x:v>
      </x:c>
      <x:c r="F26" s="65"/>
      <x:c r="G26" s="66"/>
      <x:c r="H26" s="67"/>
      <x:c r="I26" s="63" t="str">
        <x:v>China</x:v>
      </x:c>
      <x:c r="J26" s="63"/>
      <x:c r="K26" s="63" t="str">
        <x:v>country</x:v>
      </x:c>
      <x:c r="L26" s="63" t="str">
        <x:v>2025-06-01</x:v>
      </x:c>
      <x:c r="M26" s="63" t="str">
        <x:v>2026-06-30</x:v>
      </x:c>
      <x:c r="N26" s="63" t="str">
        <x:v>2026-06-30</x:v>
      </x:c>
      <x:c r="O26" s="63" t="str">
        <x:v>E0</x:v>
      </x:c>
      <x:c r="P26" s="63" t="str">
        <x:v>APPROVED</x:v>
      </x:c>
      <x:c r="Q26" s="64" t="b">
        <x:v>0</x:v>
      </x:c>
      <x:c r="R26" s="63" t="str">
        <x:v>GEOGRAPHIC_EXPOSURE</x:v>
      </x:c>
      <x:c r="S26" s="63" t="str">
        <x:v>Syn Bank transaction and relationship simulation</x:v>
      </x:c>
      <x:c r="T26" s="63"/>
      <x:c r="U26" s="63" t="str">
        <x:v>internal://syn-bank/simulation/ltm</x:v>
      </x:c>
      <x:c r="V26" s="63" t="str">
        <x:v>97d30bc35e5d1ff8503bde1ffa348d3a8e270dd2c3380675ba06486bddcd88a7</x:v>
      </x:c>
    </x:row>
    <x:row r="27">
      <x:c r="A27" s="63" t="str">
        <x:v>bec:E01:obs:corridor:1</x:v>
      </x:c>
      <x:c r="B27" s="63" t="str">
        <x:v>E01</x:v>
      </x:c>
      <x:c r="C27" s="63" t="str">
        <x:v>bank_observed_corridor_value</x:v>
      </x:c>
      <x:c r="D27" s="63" t="str">
        <x:v>MONEY</x:v>
      </x:c>
      <x:c r="E27" s="63" t="str">
        <x:v>OBSERVED</x:v>
      </x:c>
      <x:c r="F27" s="65" t="n">
        <x:v>1093915013.569999</x:v>
      </x:c>
      <x:c r="G27" s="66"/>
      <x:c r="H27" s="67"/>
      <x:c r="I27" s="63"/>
      <x:c r="J27" s="63" t="str">
        <x:v>ZAR</x:v>
      </x:c>
      <x:c r="K27" s="63" t="str">
        <x:v>ZAR</x:v>
      </x:c>
      <x:c r="L27" s="63" t="str">
        <x:v>2025-06-01</x:v>
      </x:c>
      <x:c r="M27" s="63" t="str">
        <x:v>2026-06-30</x:v>
      </x:c>
      <x:c r="N27" s="63" t="str">
        <x:v>2026-06-30</x:v>
      </x:c>
      <x:c r="O27" s="63" t="str">
        <x:v>E0</x:v>
      </x:c>
      <x:c r="P27" s="63" t="str">
        <x:v>APPROVED</x:v>
      </x:c>
      <x:c r="Q27" s="64" t="b">
        <x:v>0</x:v>
      </x:c>
      <x:c r="R27" s="63" t="str">
        <x:v>GEOGRAPHIC_EXPOSURE</x:v>
      </x:c>
      <x:c r="S27" s="63" t="str">
        <x:v>Syn Bank transaction and relationship simulation</x:v>
      </x:c>
      <x:c r="T27" s="63"/>
      <x:c r="U27" s="63" t="str">
        <x:v>internal://syn-bank/simulation/ltm</x:v>
      </x:c>
      <x:c r="V27" s="63" t="str">
        <x:v>c6b181e21db4f96ee0ba3392dc8de40c45963bdd88f551495f3209d9924fcc1a</x:v>
      </x:c>
    </x:row>
    <x:row r="28">
      <x:c r="A28" s="63" t="str">
        <x:v>bec:E01:obs:corridor-name:1</x:v>
      </x:c>
      <x:c r="B28" s="63" t="str">
        <x:v>E01</x:v>
      </x:c>
      <x:c r="C28" s="63" t="str">
        <x:v>bank_observed_corridor_country</x:v>
      </x:c>
      <x:c r="D28" s="63" t="str">
        <x:v>CATEGORICAL</x:v>
      </x:c>
      <x:c r="E28" s="63" t="str">
        <x:v>OBSERVED</x:v>
      </x:c>
      <x:c r="F28" s="65"/>
      <x:c r="G28" s="66"/>
      <x:c r="H28" s="67"/>
      <x:c r="I28" s="63" t="str">
        <x:v>Switzerland</x:v>
      </x:c>
      <x:c r="J28" s="63"/>
      <x:c r="K28" s="63" t="str">
        <x:v>country</x:v>
      </x:c>
      <x:c r="L28" s="63" t="str">
        <x:v>2025-06-01</x:v>
      </x:c>
      <x:c r="M28" s="63" t="str">
        <x:v>2026-06-30</x:v>
      </x:c>
      <x:c r="N28" s="63" t="str">
        <x:v>2026-06-30</x:v>
      </x:c>
      <x:c r="O28" s="63" t="str">
        <x:v>E0</x:v>
      </x:c>
      <x:c r="P28" s="63" t="str">
        <x:v>APPROVED</x:v>
      </x:c>
      <x:c r="Q28" s="64" t="b">
        <x:v>0</x:v>
      </x:c>
      <x:c r="R28" s="63" t="str">
        <x:v>GEOGRAPHIC_EXPOSURE</x:v>
      </x:c>
      <x:c r="S28" s="63" t="str">
        <x:v>Syn Bank transaction and relationship simulation</x:v>
      </x:c>
      <x:c r="T28" s="63"/>
      <x:c r="U28" s="63" t="str">
        <x:v>internal://syn-bank/simulation/ltm</x:v>
      </x:c>
      <x:c r="V28" s="63" t="str">
        <x:v>aadc00930e969e973f3b072e078245f0c29e4303e4d3f570b47f1173e756f2e9</x:v>
      </x:c>
    </x:row>
    <x:row r="29">
      <x:c r="A29" s="63" t="str">
        <x:v>bec:E01:obs:corridor:2</x:v>
      </x:c>
      <x:c r="B29" s="63" t="str">
        <x:v>E01</x:v>
      </x:c>
      <x:c r="C29" s="63" t="str">
        <x:v>bank_observed_corridor_value</x:v>
      </x:c>
      <x:c r="D29" s="63" t="str">
        <x:v>MONEY</x:v>
      </x:c>
      <x:c r="E29" s="63" t="str">
        <x:v>OBSERVED</x:v>
      </x:c>
      <x:c r="F29" s="65" t="n">
        <x:v>1081543005.710001</x:v>
      </x:c>
      <x:c r="G29" s="66"/>
      <x:c r="H29" s="67"/>
      <x:c r="I29" s="63"/>
      <x:c r="J29" s="63" t="str">
        <x:v>ZAR</x:v>
      </x:c>
      <x:c r="K29" s="63" t="str">
        <x:v>ZAR</x:v>
      </x:c>
      <x:c r="L29" s="63" t="str">
        <x:v>2025-06-01</x:v>
      </x:c>
      <x:c r="M29" s="63" t="str">
        <x:v>2026-06-30</x:v>
      </x:c>
      <x:c r="N29" s="63" t="str">
        <x:v>2026-06-30</x:v>
      </x:c>
      <x:c r="O29" s="63" t="str">
        <x:v>E0</x:v>
      </x:c>
      <x:c r="P29" s="63" t="str">
        <x:v>APPROVED</x:v>
      </x:c>
      <x:c r="Q29" s="64" t="b">
        <x:v>0</x:v>
      </x:c>
      <x:c r="R29" s="63" t="str">
        <x:v>GEOGRAPHIC_EXPOSURE</x:v>
      </x:c>
      <x:c r="S29" s="63" t="str">
        <x:v>Syn Bank transaction and relationship simulation</x:v>
      </x:c>
      <x:c r="T29" s="63"/>
      <x:c r="U29" s="63" t="str">
        <x:v>internal://syn-bank/simulation/ltm</x:v>
      </x:c>
      <x:c r="V29" s="63" t="str">
        <x:v>98e749bf4f7267238acc6b9f76f5431e5d5b80f5d990dc7fd2d6db51114d3d35</x:v>
      </x:c>
    </x:row>
    <x:row r="30">
      <x:c r="A30" s="63" t="str">
        <x:v>bec:E01:obs:corridor-name:2</x:v>
      </x:c>
      <x:c r="B30" s="63" t="str">
        <x:v>E01</x:v>
      </x:c>
      <x:c r="C30" s="63" t="str">
        <x:v>bank_observed_corridor_country</x:v>
      </x:c>
      <x:c r="D30" s="63" t="str">
        <x:v>CATEGORICAL</x:v>
      </x:c>
      <x:c r="E30" s="63" t="str">
        <x:v>OBSERVED</x:v>
      </x:c>
      <x:c r="F30" s="65"/>
      <x:c r="G30" s="66"/>
      <x:c r="H30" s="67"/>
      <x:c r="I30" s="63" t="str">
        <x:v>United Kingdom</x:v>
      </x:c>
      <x:c r="J30" s="63"/>
      <x:c r="K30" s="63" t="str">
        <x:v>country</x:v>
      </x:c>
      <x:c r="L30" s="63" t="str">
        <x:v>2025-06-01</x:v>
      </x:c>
      <x:c r="M30" s="63" t="str">
        <x:v>2026-06-30</x:v>
      </x:c>
      <x:c r="N30" s="63" t="str">
        <x:v>2026-06-30</x:v>
      </x:c>
      <x:c r="O30" s="63" t="str">
        <x:v>E0</x:v>
      </x:c>
      <x:c r="P30" s="63" t="str">
        <x:v>APPROVED</x:v>
      </x:c>
      <x:c r="Q30" s="64" t="b">
        <x:v>0</x:v>
      </x:c>
      <x:c r="R30" s="63" t="str">
        <x:v>GEOGRAPHIC_EXPOSURE</x:v>
      </x:c>
      <x:c r="S30" s="63" t="str">
        <x:v>Syn Bank transaction and relationship simulation</x:v>
      </x:c>
      <x:c r="T30" s="63"/>
      <x:c r="U30" s="63" t="str">
        <x:v>internal://syn-bank/simulation/ltm</x:v>
      </x:c>
      <x:c r="V30" s="63" t="str">
        <x:v>d65941a3a6e2d5e80508b8f7b4b09d99fc1b5675ae3c7c8b7fe86bbfddd38681</x:v>
      </x:c>
    </x:row>
    <x:row r="31">
      <x:c r="A31" s="63" t="str">
        <x:v>bec:E01:obs:currency:0</x:v>
      </x:c>
      <x:c r="B31" s="63" t="str">
        <x:v>E01</x:v>
      </x:c>
      <x:c r="C31" s="63" t="str">
        <x:v>bank_observed_currency_pair_value</x:v>
      </x:c>
      <x:c r="D31" s="63" t="str">
        <x:v>MONEY</x:v>
      </x:c>
      <x:c r="E31" s="63" t="str">
        <x:v>OBSERVED</x:v>
      </x:c>
      <x:c r="F31" s="65" t="n">
        <x:v>1348024768.13</x:v>
      </x:c>
      <x:c r="G31" s="66"/>
      <x:c r="H31" s="67"/>
      <x:c r="I31" s="63"/>
      <x:c r="J31" s="63" t="str">
        <x:v>ZAR</x:v>
      </x:c>
      <x:c r="K31" s="63" t="str">
        <x:v>ZAR</x:v>
      </x:c>
      <x:c r="L31" s="63" t="str">
        <x:v>2025-06-01</x:v>
      </x:c>
      <x:c r="M31" s="63" t="str">
        <x:v>2026-06-30</x:v>
      </x:c>
      <x:c r="N31" s="63" t="str">
        <x:v>2026-06-30</x:v>
      </x:c>
      <x:c r="O31" s="63" t="str">
        <x:v>E0</x:v>
      </x:c>
      <x:c r="P31" s="63" t="str">
        <x:v>APPROVED</x:v>
      </x:c>
      <x:c r="Q31" s="64" t="b">
        <x:v>1</x:v>
      </x:c>
      <x:c r="R31" s="63" t="str">
        <x:v>CURRENCY_AND_COMMODITY_EXPOSURE</x:v>
      </x:c>
      <x:c r="S31" s="63" t="str">
        <x:v>Syn Bank transaction and relationship simulation</x:v>
      </x:c>
      <x:c r="T31" s="63"/>
      <x:c r="U31" s="63" t="str">
        <x:v>internal://syn-bank/simulation/ltm</x:v>
      </x:c>
      <x:c r="V31" s="63" t="str">
        <x:v>21900debf39dca4c8cb011f7d53f17a8726342d662c7105453c135300d38bf0a</x:v>
      </x:c>
    </x:row>
    <x:row r="32">
      <x:c r="A32" s="63" t="str">
        <x:v>bec:E01:obs:currency-pair:0</x:v>
      </x:c>
      <x:c r="B32" s="63" t="str">
        <x:v>E01</x:v>
      </x:c>
      <x:c r="C32" s="63" t="str">
        <x:v>bank_observed_currency_pair</x:v>
      </x:c>
      <x:c r="D32" s="63" t="str">
        <x:v>CATEGORICAL</x:v>
      </x:c>
      <x:c r="E32" s="63" t="str">
        <x:v>OBSERVED</x:v>
      </x:c>
      <x:c r="F32" s="65"/>
      <x:c r="G32" s="66"/>
      <x:c r="H32" s="67"/>
      <x:c r="I32" s="63" t="str">
        <x:v>CNY/ZAR</x:v>
      </x:c>
      <x:c r="J32" s="63"/>
      <x:c r="K32" s="63" t="str">
        <x:v>currency_pair</x:v>
      </x:c>
      <x:c r="L32" s="63" t="str">
        <x:v>2025-06-01</x:v>
      </x:c>
      <x:c r="M32" s="63" t="str">
        <x:v>2026-06-30</x:v>
      </x:c>
      <x:c r="N32" s="63" t="str">
        <x:v>2026-06-30</x:v>
      </x:c>
      <x:c r="O32" s="63" t="str">
        <x:v>E0</x:v>
      </x:c>
      <x:c r="P32" s="63" t="str">
        <x:v>APPROVED</x:v>
      </x:c>
      <x:c r="Q32" s="64" t="b">
        <x:v>0</x:v>
      </x:c>
      <x:c r="R32" s="63" t="str">
        <x:v>CURRENCY_AND_COMMODITY_EXPOSURE</x:v>
      </x:c>
      <x:c r="S32" s="63" t="str">
        <x:v>Syn Bank transaction and relationship simulation</x:v>
      </x:c>
      <x:c r="T32" s="63"/>
      <x:c r="U32" s="63" t="str">
        <x:v>internal://syn-bank/simulation/ltm</x:v>
      </x:c>
      <x:c r="V32" s="63" t="str">
        <x:v>ec41fb3ece5b01e94b3ae72cb668bbc358f85e76e4f10331b2cc47b7f272c8ae</x:v>
      </x:c>
    </x:row>
    <x:row r="33">
      <x:c r="A33" s="63" t="str">
        <x:v>bec:E01:obs:currency:1</x:v>
      </x:c>
      <x:c r="B33" s="63" t="str">
        <x:v>E01</x:v>
      </x:c>
      <x:c r="C33" s="63" t="str">
        <x:v>bank_observed_currency_pair_value</x:v>
      </x:c>
      <x:c r="D33" s="63" t="str">
        <x:v>MONEY</x:v>
      </x:c>
      <x:c r="E33" s="63" t="str">
        <x:v>OBSERVED</x:v>
      </x:c>
      <x:c r="F33" s="65" t="n">
        <x:v>1284898897.3800006</x:v>
      </x:c>
      <x:c r="G33" s="66"/>
      <x:c r="H33" s="67"/>
      <x:c r="I33" s="63"/>
      <x:c r="J33" s="63" t="str">
        <x:v>ZAR</x:v>
      </x:c>
      <x:c r="K33" s="63" t="str">
        <x:v>ZAR</x:v>
      </x:c>
      <x:c r="L33" s="63" t="str">
        <x:v>2025-06-01</x:v>
      </x:c>
      <x:c r="M33" s="63" t="str">
        <x:v>2026-06-30</x:v>
      </x:c>
      <x:c r="N33" s="63" t="str">
        <x:v>2026-06-30</x:v>
      </x:c>
      <x:c r="O33" s="63" t="str">
        <x:v>E0</x:v>
      </x:c>
      <x:c r="P33" s="63" t="str">
        <x:v>APPROVED</x:v>
      </x:c>
      <x:c r="Q33" s="64" t="b">
        <x:v>0</x:v>
      </x:c>
      <x:c r="R33" s="63" t="str">
        <x:v>CURRENCY_AND_COMMODITY_EXPOSURE</x:v>
      </x:c>
      <x:c r="S33" s="63" t="str">
        <x:v>Syn Bank transaction and relationship simulation</x:v>
      </x:c>
      <x:c r="T33" s="63"/>
      <x:c r="U33" s="63" t="str">
        <x:v>internal://syn-bank/simulation/ltm</x:v>
      </x:c>
      <x:c r="V33" s="63" t="str">
        <x:v>8773f0c59c32e6a7da2b49b745dcd8a8abd6f14415c96148b06a4f747e4de942</x:v>
      </x:c>
    </x:row>
    <x:row r="34">
      <x:c r="A34" s="63" t="str">
        <x:v>bec:E01:obs:currency-pair:1</x:v>
      </x:c>
      <x:c r="B34" s="63" t="str">
        <x:v>E01</x:v>
      </x:c>
      <x:c r="C34" s="63" t="str">
        <x:v>bank_observed_currency_pair</x:v>
      </x:c>
      <x:c r="D34" s="63" t="str">
        <x:v>CATEGORICAL</x:v>
      </x:c>
      <x:c r="E34" s="63" t="str">
        <x:v>OBSERVED</x:v>
      </x:c>
      <x:c r="F34" s="65"/>
      <x:c r="G34" s="66"/>
      <x:c r="H34" s="67"/>
      <x:c r="I34" s="63" t="str">
        <x:v>EUR/ZAR</x:v>
      </x:c>
      <x:c r="J34" s="63"/>
      <x:c r="K34" s="63" t="str">
        <x:v>currency_pair</x:v>
      </x:c>
      <x:c r="L34" s="63" t="str">
        <x:v>2025-06-01</x:v>
      </x:c>
      <x:c r="M34" s="63" t="str">
        <x:v>2026-06-30</x:v>
      </x:c>
      <x:c r="N34" s="63" t="str">
        <x:v>2026-06-30</x:v>
      </x:c>
      <x:c r="O34" s="63" t="str">
        <x:v>E0</x:v>
      </x:c>
      <x:c r="P34" s="63" t="str">
        <x:v>APPROVED</x:v>
      </x:c>
      <x:c r="Q34" s="64" t="b">
        <x:v>0</x:v>
      </x:c>
      <x:c r="R34" s="63" t="str">
        <x:v>CURRENCY_AND_COMMODITY_EXPOSURE</x:v>
      </x:c>
      <x:c r="S34" s="63" t="str">
        <x:v>Syn Bank transaction and relationship simulation</x:v>
      </x:c>
      <x:c r="T34" s="63"/>
      <x:c r="U34" s="63" t="str">
        <x:v>internal://syn-bank/simulation/ltm</x:v>
      </x:c>
      <x:c r="V34" s="63" t="str">
        <x:v>40b014661d9b4976ebb6e5a314d5ebd4b20706a8db87f1152a01d62577395fa7</x:v>
      </x:c>
    </x:row>
    <x:row r="35">
      <x:c r="A35" s="63" t="str">
        <x:v>bec:E01:obs:currency:2</x:v>
      </x:c>
      <x:c r="B35" s="63" t="str">
        <x:v>E01</x:v>
      </x:c>
      <x:c r="C35" s="63" t="str">
        <x:v>bank_observed_currency_pair_value</x:v>
      </x:c>
      <x:c r="D35" s="63" t="str">
        <x:v>MONEY</x:v>
      </x:c>
      <x:c r="E35" s="63" t="str">
        <x:v>OBSERVED</x:v>
      </x:c>
      <x:c r="F35" s="65" t="n">
        <x:v>1266182159.4200003</x:v>
      </x:c>
      <x:c r="G35" s="66"/>
      <x:c r="H35" s="67"/>
      <x:c r="I35" s="63"/>
      <x:c r="J35" s="63" t="str">
        <x:v>ZAR</x:v>
      </x:c>
      <x:c r="K35" s="63" t="str">
        <x:v>ZAR</x:v>
      </x:c>
      <x:c r="L35" s="63" t="str">
        <x:v>2025-06-01</x:v>
      </x:c>
      <x:c r="M35" s="63" t="str">
        <x:v>2026-06-30</x:v>
      </x:c>
      <x:c r="N35" s="63" t="str">
        <x:v>2026-06-30</x:v>
      </x:c>
      <x:c r="O35" s="63" t="str">
        <x:v>E0</x:v>
      </x:c>
      <x:c r="P35" s="63" t="str">
        <x:v>APPROVED</x:v>
      </x:c>
      <x:c r="Q35" s="64" t="b">
        <x:v>0</x:v>
      </x:c>
      <x:c r="R35" s="63" t="str">
        <x:v>CURRENCY_AND_COMMODITY_EXPOSURE</x:v>
      </x:c>
      <x:c r="S35" s="63" t="str">
        <x:v>Syn Bank transaction and relationship simulation</x:v>
      </x:c>
      <x:c r="T35" s="63"/>
      <x:c r="U35" s="63" t="str">
        <x:v>internal://syn-bank/simulation/ltm</x:v>
      </x:c>
      <x:c r="V35" s="63" t="str">
        <x:v>3af47621f9b70de6b42b80142fb66d91c18841bd6f546495c4064ff7406ce39a</x:v>
      </x:c>
    </x:row>
    <x:row r="36">
      <x:c r="A36" s="63" t="str">
        <x:v>bec:E01:obs:currency-pair:2</x:v>
      </x:c>
      <x:c r="B36" s="63" t="str">
        <x:v>E01</x:v>
      </x:c>
      <x:c r="C36" s="63" t="str">
        <x:v>bank_observed_currency_pair</x:v>
      </x:c>
      <x:c r="D36" s="63" t="str">
        <x:v>CATEGORICAL</x:v>
      </x:c>
      <x:c r="E36" s="63" t="str">
        <x:v>OBSERVED</x:v>
      </x:c>
      <x:c r="F36" s="65"/>
      <x:c r="G36" s="66"/>
      <x:c r="H36" s="67"/>
      <x:c r="I36" s="63" t="str">
        <x:v>USD/ZAR</x:v>
      </x:c>
      <x:c r="J36" s="63"/>
      <x:c r="K36" s="63" t="str">
        <x:v>currency_pair</x:v>
      </x:c>
      <x:c r="L36" s="63" t="str">
        <x:v>2025-06-01</x:v>
      </x:c>
      <x:c r="M36" s="63" t="str">
        <x:v>2026-06-30</x:v>
      </x:c>
      <x:c r="N36" s="63" t="str">
        <x:v>2026-06-30</x:v>
      </x:c>
      <x:c r="O36" s="63" t="str">
        <x:v>E0</x:v>
      </x:c>
      <x:c r="P36" s="63" t="str">
        <x:v>APPROVED</x:v>
      </x:c>
      <x:c r="Q36" s="64" t="b">
        <x:v>0</x:v>
      </x:c>
      <x:c r="R36" s="63" t="str">
        <x:v>CURRENCY_AND_COMMODITY_EXPOSURE</x:v>
      </x:c>
      <x:c r="S36" s="63" t="str">
        <x:v>Syn Bank transaction and relationship simulation</x:v>
      </x:c>
      <x:c r="T36" s="63"/>
      <x:c r="U36" s="63" t="str">
        <x:v>internal://syn-bank/simulation/ltm</x:v>
      </x:c>
      <x:c r="V36" s="63" t="str">
        <x:v>7e2c1d09762a255f7511a45534a2c7fe4928054e16136f2180eef87a108df8b3</x:v>
      </x:c>
    </x:row>
    <x:row r="37">
      <x:c r="A37" s="63" t="str">
        <x:v>bec:E01:obs:country-count</x:v>
      </x:c>
      <x:c r="B37" s="63" t="str">
        <x:v>E01</x:v>
      </x:c>
      <x:c r="C37" s="63" t="str">
        <x:v>bank_observed_active_country_count</x:v>
      </x:c>
      <x:c r="D37" s="63" t="str">
        <x:v>COUNT</x:v>
      </x:c>
      <x:c r="E37" s="63" t="str">
        <x:v>OBSERVED</x:v>
      </x:c>
      <x:c r="F37" s="65"/>
      <x:c r="G37" s="66"/>
      <x:c r="H37" s="67" t="n">
        <x:v>10</x:v>
      </x:c>
      <x:c r="I37" s="63"/>
      <x:c r="J37" s="63"/>
      <x:c r="K37" s="63" t="str">
        <x:v>countries</x:v>
      </x:c>
      <x:c r="L37" s="63" t="str">
        <x:v>2025-06-01</x:v>
      </x:c>
      <x:c r="M37" s="63" t="str">
        <x:v>2026-06-30</x:v>
      </x:c>
      <x:c r="N37" s="63" t="str">
        <x:v>2026-06-30</x:v>
      </x:c>
      <x:c r="O37" s="63" t="str">
        <x:v>E0</x:v>
      </x:c>
      <x:c r="P37" s="63" t="str">
        <x:v>APPROVED</x:v>
      </x:c>
      <x:c r="Q37" s="64" t="b">
        <x:v>1</x:v>
      </x:c>
      <x:c r="R37" s="63" t="str">
        <x:v>GEOGRAPHIC_EXPOSURE</x:v>
      </x:c>
      <x:c r="S37" s="63" t="str">
        <x:v>Syn Bank transaction and relationship simulation</x:v>
      </x:c>
      <x:c r="T37" s="63"/>
      <x:c r="U37" s="63" t="str">
        <x:v>internal://syn-bank/simulation/ltm</x:v>
      </x:c>
      <x:c r="V37" s="63" t="str">
        <x:v>6dfd1aa0f572d6d99e06a7170771f4caeba59e24ad249734cd91c59a35aae873</x:v>
      </x:c>
    </x:row>
    <x:row r="38">
      <x:c r="A38" s="63" t="str">
        <x:v>bec:E01:obs:relationship-breadth</x:v>
      </x:c>
      <x:c r="B38" s="63" t="str">
        <x:v>E01</x:v>
      </x:c>
      <x:c r="C38" s="63" t="str">
        <x:v>bank_observed_product_relationship_breadth</x:v>
      </x:c>
      <x:c r="D38" s="63" t="str">
        <x:v>COUNT</x:v>
      </x:c>
      <x:c r="E38" s="63" t="str">
        <x:v>OBSERVED</x:v>
      </x:c>
      <x:c r="F38" s="65"/>
      <x:c r="G38" s="66"/>
      <x:c r="H38" s="67" t="n">
        <x:v>5</x:v>
      </x:c>
      <x:c r="I38" s="63"/>
      <x:c r="J38" s="63"/>
      <x:c r="K38" s="63" t="str">
        <x:v>products</x:v>
      </x:c>
      <x:c r="L38" s="63" t="str">
        <x:v>2025-06-01</x:v>
      </x:c>
      <x:c r="M38" s="63" t="str">
        <x:v>2026-06-30</x:v>
      </x:c>
      <x:c r="N38" s="63" t="str">
        <x:v>2026-06-30</x:v>
      </x:c>
      <x:c r="O38" s="63" t="str">
        <x:v>E0</x:v>
      </x:c>
      <x:c r="P38" s="63" t="str">
        <x:v>APPROVED</x:v>
      </x:c>
      <x:c r="Q38" s="64" t="b">
        <x:v>1</x:v>
      </x:c>
      <x:c r="R38" s="63" t="str">
        <x:v>OPERATING_MODEL</x:v>
      </x:c>
      <x:c r="S38" s="63" t="str">
        <x:v>Syn Bank transaction and relationship simulation</x:v>
      </x:c>
      <x:c r="T38" s="63"/>
      <x:c r="U38" s="63" t="str">
        <x:v>internal://syn-bank/simulation/ltm</x:v>
      </x:c>
      <x:c r="V38" s="63" t="str">
        <x:v>f45acc4eb454e5243ac0a87e77415d8fef76e384aff3c8bb882cbb1bcd065993</x:v>
      </x:c>
    </x:row>
    <x:row r="39">
      <x:c r="A39" s="63" t="str">
        <x:v>bec:E01:obs:latent:operating_scale</x:v>
      </x:c>
      <x:c r="B39" s="63" t="str">
        <x:v>E01</x:v>
      </x:c>
      <x:c r="C39" s="63" t="str">
        <x:v>bank_observed_operating_scale_index</x:v>
      </x:c>
      <x:c r="D39" s="63" t="str">
        <x:v>RATIO</x:v>
      </x:c>
      <x:c r="E39" s="63" t="str">
        <x:v>OBSERVED</x:v>
      </x:c>
      <x:c r="F39" s="65"/>
      <x:c r="G39" s="66" t="n">
        <x:v>0.85</x:v>
      </x:c>
      <x:c r="H39" s="67"/>
      <x:c r="I39" s="63"/>
      <x:c r="J39" s="63"/>
      <x:c r="K39" s="63" t="str">
        <x:v>index_0_1</x:v>
      </x:c>
      <x:c r="L39" s="63" t="str">
        <x:v>2025-06-01</x:v>
      </x:c>
      <x:c r="M39" s="63" t="str">
        <x:v>2026-06-30</x:v>
      </x:c>
      <x:c r="N39" s="63" t="str">
        <x:v>2026-06-30</x:v>
      </x:c>
      <x:c r="O39" s="63" t="str">
        <x:v>E0</x:v>
      </x:c>
      <x:c r="P39" s="63" t="str">
        <x:v>APPROVED</x:v>
      </x:c>
      <x:c r="Q39" s="64" t="b">
        <x:v>0</x:v>
      </x:c>
      <x:c r="R39" s="63" t="str">
        <x:v>OPERATING_MODEL</x:v>
      </x:c>
      <x:c r="S39" s="63" t="str">
        <x:v>Syn Bank transaction and relationship simulation</x:v>
      </x:c>
      <x:c r="T39" s="63"/>
      <x:c r="U39" s="63" t="str">
        <x:v>internal://syn-bank/simulation/ltm</x:v>
      </x:c>
      <x:c r="V39" s="63" t="str">
        <x:v>766d60f1451f261e56083dc91e5a206f1f3628f0e1a67e70c15de98f3dc145c4</x:v>
      </x:c>
    </x:row>
    <x:row r="40">
      <x:c r="A40" s="63" t="str">
        <x:v>bec:E01:obs:latent:working_capital_intensity</x:v>
      </x:c>
      <x:c r="B40" s="63" t="str">
        <x:v>E01</x:v>
      </x:c>
      <x:c r="C40" s="63" t="str">
        <x:v>bank_observed_working_capital_intensity_index</x:v>
      </x:c>
      <x:c r="D40" s="63" t="str">
        <x:v>RATIO</x:v>
      </x:c>
      <x:c r="E40" s="63" t="str">
        <x:v>OBSERVED</x:v>
      </x:c>
      <x:c r="F40" s="65"/>
      <x:c r="G40" s="66" t="n">
        <x:v>0.822</x:v>
      </x:c>
      <x:c r="H40" s="67"/>
      <x:c r="I40" s="63"/>
      <x:c r="J40" s="63"/>
      <x:c r="K40" s="63" t="str">
        <x:v>index_0_1</x:v>
      </x:c>
      <x:c r="L40" s="63" t="str">
        <x:v>2025-06-01</x:v>
      </x:c>
      <x:c r="M40" s="63" t="str">
        <x:v>2026-06-30</x:v>
      </x:c>
      <x:c r="N40" s="63" t="str">
        <x:v>2026-06-30</x:v>
      </x:c>
      <x:c r="O40" s="63" t="str">
        <x:v>E0</x:v>
      </x:c>
      <x:c r="P40" s="63" t="str">
        <x:v>APPROVED</x:v>
      </x:c>
      <x:c r="Q40" s="64" t="b">
        <x:v>0</x:v>
      </x:c>
      <x:c r="R40" s="63" t="str">
        <x:v>WORKING_CAPITAL_CYCLE</x:v>
      </x:c>
      <x:c r="S40" s="63" t="str">
        <x:v>Syn Bank transaction and relationship simulation</x:v>
      </x:c>
      <x:c r="T40" s="63"/>
      <x:c r="U40" s="63" t="str">
        <x:v>internal://syn-bank/simulation/ltm</x:v>
      </x:c>
      <x:c r="V40" s="63" t="str">
        <x:v>f71d62ee89d3bf888ae275ac60b7b8174860b109f56bccfbdd8080ce05db7dd6</x:v>
      </x:c>
    </x:row>
    <x:row r="41">
      <x:c r="A41" s="63" t="str">
        <x:v>bec:E01:obs:latent:liquidity_volatility</x:v>
      </x:c>
      <x:c r="B41" s="63" t="str">
        <x:v>E01</x:v>
      </x:c>
      <x:c r="C41" s="63" t="str">
        <x:v>bank_observed_liquidity_volatility_index</x:v>
      </x:c>
      <x:c r="D41" s="63" t="str">
        <x:v>RATIO</x:v>
      </x:c>
      <x:c r="E41" s="63" t="str">
        <x:v>OBSERVED</x:v>
      </x:c>
      <x:c r="F41" s="65"/>
      <x:c r="G41" s="66" t="n">
        <x:v>0.068</x:v>
      </x:c>
      <x:c r="H41" s="67"/>
      <x:c r="I41" s="63"/>
      <x:c r="J41" s="63"/>
      <x:c r="K41" s="63" t="str">
        <x:v>index_0_1</x:v>
      </x:c>
      <x:c r="L41" s="63" t="str">
        <x:v>2025-06-01</x:v>
      </x:c>
      <x:c r="M41" s="63" t="str">
        <x:v>2026-06-30</x:v>
      </x:c>
      <x:c r="N41" s="63" t="str">
        <x:v>2026-06-30</x:v>
      </x:c>
      <x:c r="O41" s="63" t="str">
        <x:v>E0</x:v>
      </x:c>
      <x:c r="P41" s="63" t="str">
        <x:v>APPROVED</x:v>
      </x:c>
      <x:c r="Q41" s="64" t="b">
        <x:v>0</x:v>
      </x:c>
      <x:c r="R41" s="63" t="str">
        <x:v>LIQUIDITY_AND_BUFFER</x:v>
      </x:c>
      <x:c r="S41" s="63" t="str">
        <x:v>Syn Bank transaction and relationship simulation</x:v>
      </x:c>
      <x:c r="T41" s="63"/>
      <x:c r="U41" s="63" t="str">
        <x:v>internal://syn-bank/simulation/ltm</x:v>
      </x:c>
      <x:c r="V41" s="63" t="str">
        <x:v>18edd64b74508b179577f43d1366f7abee56a4b0fb8af7f1320ce11b593df3cc</x:v>
      </x:c>
    </x:row>
    <x:row r="42">
      <x:c r="A42" s="63" t="str">
        <x:v>bec:E01:obs:latent:international_exposure</x:v>
      </x:c>
      <x:c r="B42" s="63" t="str">
        <x:v>E01</x:v>
      </x:c>
      <x:c r="C42" s="63" t="str">
        <x:v>bank_observed_international_exposure_index</x:v>
      </x:c>
      <x:c r="D42" s="63" t="str">
        <x:v>RATIO</x:v>
      </x:c>
      <x:c r="E42" s="63" t="str">
        <x:v>OBSERVED</x:v>
      </x:c>
      <x:c r="F42" s="65"/>
      <x:c r="G42" s="66" t="n">
        <x:v>0.178</x:v>
      </x:c>
      <x:c r="H42" s="67"/>
      <x:c r="I42" s="63"/>
      <x:c r="J42" s="63"/>
      <x:c r="K42" s="63" t="str">
        <x:v>index_0_1</x:v>
      </x:c>
      <x:c r="L42" s="63" t="str">
        <x:v>2025-06-01</x:v>
      </x:c>
      <x:c r="M42" s="63" t="str">
        <x:v>2026-06-30</x:v>
      </x:c>
      <x:c r="N42" s="63" t="str">
        <x:v>2026-06-30</x:v>
      </x:c>
      <x:c r="O42" s="63" t="str">
        <x:v>E0</x:v>
      </x:c>
      <x:c r="P42" s="63" t="str">
        <x:v>APPROVED</x:v>
      </x:c>
      <x:c r="Q42" s="64" t="b">
        <x:v>0</x:v>
      </x:c>
      <x:c r="R42" s="63" t="str">
        <x:v>GEOGRAPHIC_EXPOSURE</x:v>
      </x:c>
      <x:c r="S42" s="63" t="str">
        <x:v>Syn Bank transaction and relationship simulation</x:v>
      </x:c>
      <x:c r="T42" s="63"/>
      <x:c r="U42" s="63" t="str">
        <x:v>internal://syn-bank/simulation/ltm</x:v>
      </x:c>
      <x:c r="V42" s="63" t="str">
        <x:v>dd2955820b9256457e860fcd740423ad4603c582047bbc5238bb38026d6ec3d3</x:v>
      </x:c>
    </x:row>
    <x:row r="43">
      <x:c r="A43" s="63" t="str">
        <x:v>bec:E01:obs:latent:financing_need</x:v>
      </x:c>
      <x:c r="B43" s="63" t="str">
        <x:v>E01</x:v>
      </x:c>
      <x:c r="C43" s="63" t="str">
        <x:v>bank_observed_financing_need_index</x:v>
      </x:c>
      <x:c r="D43" s="63" t="str">
        <x:v>RATIO</x:v>
      </x:c>
      <x:c r="E43" s="63" t="str">
        <x:v>OBSERVED</x:v>
      </x:c>
      <x:c r="F43" s="65"/>
      <x:c r="G43" s="66" t="n">
        <x:v>0.594</x:v>
      </x:c>
      <x:c r="H43" s="67"/>
      <x:c r="I43" s="63"/>
      <x:c r="J43" s="63"/>
      <x:c r="K43" s="63" t="str">
        <x:v>index_0_1</x:v>
      </x:c>
      <x:c r="L43" s="63" t="str">
        <x:v>2025-06-01</x:v>
      </x:c>
      <x:c r="M43" s="63" t="str">
        <x:v>2026-06-30</x:v>
      </x:c>
      <x:c r="N43" s="63" t="str">
        <x:v>2026-06-30</x:v>
      </x:c>
      <x:c r="O43" s="63" t="str">
        <x:v>E0</x:v>
      </x:c>
      <x:c r="P43" s="63" t="str">
        <x:v>APPROVED</x:v>
      </x:c>
      <x:c r="Q43" s="64" t="b">
        <x:v>0</x:v>
      </x:c>
      <x:c r="R43" s="63" t="str">
        <x:v>FUNDING_STRUCTURE</x:v>
      </x:c>
      <x:c r="S43" s="63" t="str">
        <x:v>Syn Bank transaction and relationship simulation</x:v>
      </x:c>
      <x:c r="T43" s="63"/>
      <x:c r="U43" s="63" t="str">
        <x:v>internal://syn-bank/simulation/ltm</x:v>
      </x:c>
      <x:c r="V43" s="63" t="str">
        <x:v>10fd529144237357c9102a32230a1a35d28826550a049b121744ff100ed4c4e4</x:v>
      </x:c>
    </x:row>
    <x:row r="44">
      <x:c r="A44" s="63" t="str">
        <x:v>bec:E01:obs:latent:event_intensity</x:v>
      </x:c>
      <x:c r="B44" s="63" t="str">
        <x:v>E01</x:v>
      </x:c>
      <x:c r="C44" s="63" t="str">
        <x:v>bank_observed_event_intensity_index</x:v>
      </x:c>
      <x:c r="D44" s="63" t="str">
        <x:v>RATIO</x:v>
      </x:c>
      <x:c r="E44" s="63" t="str">
        <x:v>OBSERVED</x:v>
      </x:c>
      <x:c r="F44" s="65"/>
      <x:c r="G44" s="66" t="n">
        <x:v>1</x:v>
      </x:c>
      <x:c r="H44" s="67"/>
      <x:c r="I44" s="63"/>
      <x:c r="J44" s="63"/>
      <x:c r="K44" s="63" t="str">
        <x:v>index_0_1</x:v>
      </x:c>
      <x:c r="L44" s="63" t="str">
        <x:v>2025-06-01</x:v>
      </x:c>
      <x:c r="M44" s="63" t="str">
        <x:v>2026-06-30</x:v>
      </x:c>
      <x:c r="N44" s="63" t="str">
        <x:v>2026-06-30</x:v>
      </x:c>
      <x:c r="O44" s="63" t="str">
        <x:v>E0</x:v>
      </x:c>
      <x:c r="P44" s="63" t="str">
        <x:v>APPROVED</x:v>
      </x:c>
      <x:c r="Q44" s="64" t="b">
        <x:v>0</x:v>
      </x:c>
      <x:c r="R44" s="63" t="str">
        <x:v>STRATEGY_ACTIONS_AND_ESG</x:v>
      </x:c>
      <x:c r="S44" s="63" t="str">
        <x:v>Syn Bank transaction and relationship simulation</x:v>
      </x:c>
      <x:c r="T44" s="63"/>
      <x:c r="U44" s="63" t="str">
        <x:v>internal://syn-bank/simulation/ltm</x:v>
      </x:c>
      <x:c r="V44" s="63" t="str">
        <x:v>a1f40b3af443b3932223837d580e070e01bb72edfa5bc126e3c649c6be5516db</x:v>
      </x:c>
    </x:row>
    <x:row r="45">
      <x:c r="A45" s="63" t="str">
        <x:v>bec:E01:obs:latent:relationship_complexity</x:v>
      </x:c>
      <x:c r="B45" s="63" t="str">
        <x:v>E01</x:v>
      </x:c>
      <x:c r="C45" s="63" t="str">
        <x:v>bank_observed_relationship_complexity_index</x:v>
      </x:c>
      <x:c r="D45" s="63" t="str">
        <x:v>RATIO</x:v>
      </x:c>
      <x:c r="E45" s="63" t="str">
        <x:v>OBSERVED</x:v>
      </x:c>
      <x:c r="F45" s="65"/>
      <x:c r="G45" s="66" t="n">
        <x:v>0.942</x:v>
      </x:c>
      <x:c r="H45" s="67"/>
      <x:c r="I45" s="63"/>
      <x:c r="J45" s="63"/>
      <x:c r="K45" s="63" t="str">
        <x:v>index_0_1</x:v>
      </x:c>
      <x:c r="L45" s="63" t="str">
        <x:v>2025-06-01</x:v>
      </x:c>
      <x:c r="M45" s="63" t="str">
        <x:v>2026-06-30</x:v>
      </x:c>
      <x:c r="N45" s="63" t="str">
        <x:v>2026-06-30</x:v>
      </x:c>
      <x:c r="O45" s="63" t="str">
        <x:v>E0</x:v>
      </x:c>
      <x:c r="P45" s="63" t="str">
        <x:v>APPROVED</x:v>
      </x:c>
      <x:c r="Q45" s="64" t="b">
        <x:v>0</x:v>
      </x:c>
      <x:c r="R45" s="63" t="str">
        <x:v>OPERATING_MODEL</x:v>
      </x:c>
      <x:c r="S45" s="63" t="str">
        <x:v>Syn Bank transaction and relationship simulation</x:v>
      </x:c>
      <x:c r="T45" s="63"/>
      <x:c r="U45" s="63" t="str">
        <x:v>internal://syn-bank/simulation/ltm</x:v>
      </x:c>
      <x:c r="V45" s="63" t="str">
        <x:v>624c7cf1e6968fe6a93dcf10283aab145367bd989dd58ad27a30f02a61438255</x:v>
      </x:c>
    </x:row>
    <x:row r="46">
      <x:c r="A46" s="63" t="str">
        <x:v>bec:E01:obs:events:trade-90d</x:v>
      </x:c>
      <x:c r="B46" s="63" t="str">
        <x:v>E01</x:v>
      </x:c>
      <x:c r="C46" s="63" t="str">
        <x:v>bank_observed_trade_events_next_90d</x:v>
      </x:c>
      <x:c r="D46" s="63" t="str">
        <x:v>COUNT</x:v>
      </x:c>
      <x:c r="E46" s="63" t="str">
        <x:v>OBSERVED</x:v>
      </x:c>
      <x:c r="F46" s="65"/>
      <x:c r="G46" s="66"/>
      <x:c r="H46" s="67" t="n">
        <x:v>106</x:v>
      </x:c>
      <x:c r="I46" s="63"/>
      <x:c r="J46" s="63"/>
      <x:c r="K46" s="63" t="str">
        <x:v>events</x:v>
      </x:c>
      <x:c r="L46" s="63" t="str">
        <x:v>2025-06-01</x:v>
      </x:c>
      <x:c r="M46" s="63" t="str">
        <x:v>2026-06-30</x:v>
      </x:c>
      <x:c r="N46" s="63" t="str">
        <x:v>2026-06-30</x:v>
      </x:c>
      <x:c r="O46" s="63" t="str">
        <x:v>E0</x:v>
      </x:c>
      <x:c r="P46" s="63" t="str">
        <x:v>APPROVED</x:v>
      </x:c>
      <x:c r="Q46" s="64" t="b">
        <x:v>1</x:v>
      </x:c>
      <x:c r="R46" s="63" t="str">
        <x:v>OPERATING_MODEL, WORKING_CAPITAL_CYCLE</x:v>
      </x:c>
      <x:c r="S46" s="63" t="str">
        <x:v>Syn Bank transaction and relationship simulation</x:v>
      </x:c>
      <x:c r="T46" s="63"/>
      <x:c r="U46" s="63" t="str">
        <x:v>internal://syn-bank/simulation/ltm</x:v>
      </x:c>
      <x:c r="V46" s="63" t="str">
        <x:v>e024004f0b96c6c962a02a7f1d34b6cfeca71fc0679498c6d9130bba56758023</x:v>
      </x:c>
    </x:row>
    <x:row r="47">
      <x:c r="A47" s="63" t="str">
        <x:v>bec:E01:obs:events:trade-90d-value</x:v>
      </x:c>
      <x:c r="B47" s="63" t="str">
        <x:v>E01</x:v>
      </x:c>
      <x:c r="C47" s="63" t="str">
        <x:v>bank_observed_trade_events_value_next_90d</x:v>
      </x:c>
      <x:c r="D47" s="63" t="str">
        <x:v>MONEY</x:v>
      </x:c>
      <x:c r="E47" s="63" t="str">
        <x:v>OBSERVED</x:v>
      </x:c>
      <x:c r="F47" s="65" t="n">
        <x:v>312911296.54</x:v>
      </x:c>
      <x:c r="G47" s="66"/>
      <x:c r="H47" s="67"/>
      <x:c r="I47" s="63"/>
      <x:c r="J47" s="63" t="str">
        <x:v>ZAR</x:v>
      </x:c>
      <x:c r="K47" s="63" t="str">
        <x:v>ZAR</x:v>
      </x:c>
      <x:c r="L47" s="63" t="str">
        <x:v>2025-06-01</x:v>
      </x:c>
      <x:c r="M47" s="63" t="str">
        <x:v>2026-06-30</x:v>
      </x:c>
      <x:c r="N47" s="63" t="str">
        <x:v>2026-06-30</x:v>
      </x:c>
      <x:c r="O47" s="63" t="str">
        <x:v>E0</x:v>
      </x:c>
      <x:c r="P47" s="63" t="str">
        <x:v>APPROVED</x:v>
      </x:c>
      <x:c r="Q47" s="64" t="b">
        <x:v>0</x:v>
      </x:c>
      <x:c r="R47" s="63" t="str">
        <x:v>WORKING_CAPITAL_CYCLE</x:v>
      </x:c>
      <x:c r="S47" s="63" t="str">
        <x:v>Syn Bank transaction and relationship simulation</x:v>
      </x:c>
      <x:c r="T47" s="63"/>
      <x:c r="U47" s="63" t="str">
        <x:v>internal://syn-bank/simulation/ltm</x:v>
      </x:c>
      <x:c r="V47" s="63" t="str">
        <x:v>486d9e12881c63165b4d120d87eefcca51c7ba2780c028aef5edaa2532c6a85f</x:v>
      </x:c>
    </x:row>
    <x:row r="48">
      <x:c r="A48" s="63" t="str">
        <x:v>bec:E01:maturity:current-debt</x:v>
      </x:c>
      <x:c r="B48" s="63" t="str">
        <x:v>E01</x:v>
      </x:c>
      <x:c r="C48" s="63" t="str">
        <x:v>current_debt_maturity_window</x:v>
      </x:c>
      <x:c r="D48" s="63" t="str">
        <x:v>DATE_OR_MATURITY</x:v>
      </x:c>
      <x:c r="E48" s="63" t="str">
        <x:v>IDENTIFIED_BOUND</x:v>
      </x:c>
      <x:c r="F48" s="65" t="n">
        <x:v>36041480000</x:v>
      </x:c>
      <x:c r="G48" s="66"/>
      <x:c r="H48" s="67"/>
      <x:c r="I48" s="63" t="str">
        <x:v>2025-06-30</x:v>
      </x:c>
      <x:c r="J48" s="63" t="str">
        <x:v>ZAR</x:v>
      </x:c>
      <x:c r="K48" s="63" t="str">
        <x:v>ZAR</x:v>
      </x:c>
      <x:c r="L48" s="63" t="str">
        <x:v>2024-06-01</x:v>
      </x:c>
      <x:c r="M48" s="63" t="str">
        <x:v>2025-06-30</x:v>
      </x:c>
      <x:c r="N48" s="63" t="str">
        <x:v>2025-08-19</x:v>
      </x:c>
      <x:c r="O48" s="63" t="str">
        <x:v>E1</x:v>
      </x:c>
      <x:c r="P48" s="63" t="str">
        <x:v>APPROVED</x:v>
      </x:c>
      <x:c r="Q48" s="64" t="b">
        <x:v>1</x:v>
      </x:c>
      <x:c r="R48" s="63" t="str">
        <x:v>FUNDING_STRUCTURE, LIQUIDITY_AND_BUFFER</x:v>
      </x:c>
      <x:c r="S48" s="63" t="str">
        <x:v>Audited current debt-maturity/refinancing anchor</x:v>
      </x:c>
      <x:c r="T48" s="63" t="n">
        <x:v>119</x:v>
      </x:c>
      <x:c r="U48" s="63" t="str">
        <x:v>https://www.bhp.com/-/media/documents/investors/annual-reports/2025/250819_bhpannualreport2025.pdf</x:v>
      </x:c>
      <x:c r="V48" s="63" t="str">
        <x:v>seed-register-hash:BHP-2025-DEBT</x:v>
      </x:c>
    </x:row>
    <x:row r="49">
      <x:c r="A49" s="63" t="str">
        <x:v>bec:E01:struct:operating-model</x:v>
      </x:c>
      <x:c r="B49" s="63" t="str">
        <x:v>E01</x:v>
      </x:c>
      <x:c r="C49" s="63" t="str">
        <x:v>sector_operating_model</x:v>
      </x:c>
      <x:c r="D49" s="63" t="str">
        <x:v>TEXTUAL</x:v>
      </x:c>
      <x:c r="E49" s="63" t="str">
        <x:v>SCENARIO</x:v>
      </x:c>
      <x:c r="F49" s="65"/>
      <x:c r="G49" s="66"/>
      <x:c r="H49" s="67"/>
      <x:c r="I49" s="63" t="str">
        <x:v>Multi-jurisdiction extractive operator with commodity-linked revenue, long-cycle capex and joint-venture structures.</x:v>
      </x:c>
      <x:c r="J49" s="63"/>
      <x:c r="K49" s="63" t="str">
        <x:v>statement</x:v>
      </x:c>
      <x:c r="L49" s="63" t="str">
        <x:v>2025-06-01</x:v>
      </x:c>
      <x:c r="M49" s="63" t="str">
        <x:v>2026-06-30</x:v>
      </x:c>
      <x:c r="N49" s="63" t="str">
        <x:v>2026-06-30</x:v>
      </x:c>
      <x:c r="O49" s="63" t="str">
        <x:v>E0</x:v>
      </x:c>
      <x:c r="P49" s="63" t="str">
        <x:v>APPROVED</x:v>
      </x:c>
      <x:c r="Q49" s="64" t="b">
        <x:v>0</x:v>
      </x:c>
      <x:c r="R49" s="63" t="str">
        <x:v>OPERATING_MODEL</x:v>
      </x:c>
      <x:c r="S49" s="63" t="str">
        <x:v>Governed sector operating-model and responsibility policy</x:v>
      </x:c>
      <x:c r="T49" s="63"/>
      <x:c r="U49" s="63" t="str">
        <x:v>internal://v31/governed-policy</x:v>
      </x:c>
      <x:c r="V49" s="63" t="str">
        <x:v>6b3cf2576a64ad39321d33dbf036383dd3812ce4cd79be14345dcd416ab5b199</x:v>
      </x:c>
    </x:row>
    <x:row r="50">
      <x:c r="A50" s="63" t="str">
        <x:v>bec:E01:struct:risk:0</x:v>
      </x:c>
      <x:c r="B50" s="63" t="str">
        <x:v>E01</x:v>
      </x:c>
      <x:c r="C50" s="63" t="str">
        <x:v>sector_primary_risk</x:v>
      </x:c>
      <x:c r="D50" s="63" t="str">
        <x:v>CATEGORICAL</x:v>
      </x:c>
      <x:c r="E50" s="63" t="str">
        <x:v>SCENARIO</x:v>
      </x:c>
      <x:c r="F50" s="65"/>
      <x:c r="G50" s="66"/>
      <x:c r="H50" s="67"/>
      <x:c r="I50" s="63" t="str">
        <x:v>commodity price volatility</x:v>
      </x:c>
      <x:c r="J50" s="63"/>
      <x:c r="K50" s="63" t="str">
        <x:v>statement</x:v>
      </x:c>
      <x:c r="L50" s="63" t="str">
        <x:v>2025-06-01</x:v>
      </x:c>
      <x:c r="M50" s="63" t="str">
        <x:v>2026-06-30</x:v>
      </x:c>
      <x:c r="N50" s="63" t="str">
        <x:v>2026-06-30</x:v>
      </x:c>
      <x:c r="O50" s="63" t="str">
        <x:v>E0</x:v>
      </x:c>
      <x:c r="P50" s="63" t="str">
        <x:v>APPROVED</x:v>
      </x:c>
      <x:c r="Q50" s="64" t="b">
        <x:v>0</x:v>
      </x:c>
      <x:c r="R50" s="63" t="str">
        <x:v>BUSINESS_AND_FINANCIAL_RISKS</x:v>
      </x:c>
      <x:c r="S50" s="63" t="str">
        <x:v>Governed sector operating-model and responsibility policy</x:v>
      </x:c>
      <x:c r="T50" s="63"/>
      <x:c r="U50" s="63" t="str">
        <x:v>internal://v31/governed-policy</x:v>
      </x:c>
      <x:c r="V50" s="63" t="str">
        <x:v>427cbd0148b995c80cb17387597ad6b5b9fae3475a514c298eb6e7dac6261a33</x:v>
      </x:c>
    </x:row>
    <x:row r="51">
      <x:c r="A51" s="63" t="str">
        <x:v>bec:E01:struct:risk:1</x:v>
      </x:c>
      <x:c r="B51" s="63" t="str">
        <x:v>E01</x:v>
      </x:c>
      <x:c r="C51" s="63" t="str">
        <x:v>sector_primary_risk</x:v>
      </x:c>
      <x:c r="D51" s="63" t="str">
        <x:v>CATEGORICAL</x:v>
      </x:c>
      <x:c r="E51" s="63" t="str">
        <x:v>SCENARIO</x:v>
      </x:c>
      <x:c r="F51" s="65"/>
      <x:c r="G51" s="66"/>
      <x:c r="H51" s="67"/>
      <x:c r="I51" s="63" t="str">
        <x:v>jurisdictional and permitting risk</x:v>
      </x:c>
      <x:c r="J51" s="63"/>
      <x:c r="K51" s="63" t="str">
        <x:v>statement</x:v>
      </x:c>
      <x:c r="L51" s="63" t="str">
        <x:v>2025-06-01</x:v>
      </x:c>
      <x:c r="M51" s="63" t="str">
        <x:v>2026-06-30</x:v>
      </x:c>
      <x:c r="N51" s="63" t="str">
        <x:v>2026-06-30</x:v>
      </x:c>
      <x:c r="O51" s="63" t="str">
        <x:v>E0</x:v>
      </x:c>
      <x:c r="P51" s="63" t="str">
        <x:v>APPROVED</x:v>
      </x:c>
      <x:c r="Q51" s="64" t="b">
        <x:v>0</x:v>
      </x:c>
      <x:c r="R51" s="63" t="str">
        <x:v>BUSINESS_AND_FINANCIAL_RISKS</x:v>
      </x:c>
      <x:c r="S51" s="63" t="str">
        <x:v>Governed sector operating-model and responsibility policy</x:v>
      </x:c>
      <x:c r="T51" s="63"/>
      <x:c r="U51" s="63" t="str">
        <x:v>internal://v31/governed-policy</x:v>
      </x:c>
      <x:c r="V51" s="63" t="str">
        <x:v>2e32793990111b663cdbe3a940b14ad0aafbe72ac67440dbc5c929934bc6e550</x:v>
      </x:c>
    </x:row>
    <x:row r="52">
      <x:c r="A52" s="63" t="str">
        <x:v>bec:E01:struct:risk:2</x:v>
      </x:c>
      <x:c r="B52" s="63" t="str">
        <x:v>E01</x:v>
      </x:c>
      <x:c r="C52" s="63" t="str">
        <x:v>sector_primary_risk</x:v>
      </x:c>
      <x:c r="D52" s="63" t="str">
        <x:v>CATEGORICAL</x:v>
      </x:c>
      <x:c r="E52" s="63" t="str">
        <x:v>SCENARIO</x:v>
      </x:c>
      <x:c r="F52" s="65"/>
      <x:c r="G52" s="66"/>
      <x:c r="H52" s="67"/>
      <x:c r="I52" s="63" t="str">
        <x:v>capex overrun</x:v>
      </x:c>
      <x:c r="J52" s="63"/>
      <x:c r="K52" s="63" t="str">
        <x:v>statement</x:v>
      </x:c>
      <x:c r="L52" s="63" t="str">
        <x:v>2025-06-01</x:v>
      </x:c>
      <x:c r="M52" s="63" t="str">
        <x:v>2026-06-30</x:v>
      </x:c>
      <x:c r="N52" s="63" t="str">
        <x:v>2026-06-30</x:v>
      </x:c>
      <x:c r="O52" s="63" t="str">
        <x:v>E0</x:v>
      </x:c>
      <x:c r="P52" s="63" t="str">
        <x:v>APPROVED</x:v>
      </x:c>
      <x:c r="Q52" s="64" t="b">
        <x:v>0</x:v>
      </x:c>
      <x:c r="R52" s="63" t="str">
        <x:v>BUSINESS_AND_FINANCIAL_RISKS</x:v>
      </x:c>
      <x:c r="S52" s="63" t="str">
        <x:v>Governed sector operating-model and responsibility policy</x:v>
      </x:c>
      <x:c r="T52" s="63"/>
      <x:c r="U52" s="63" t="str">
        <x:v>internal://v31/governed-policy</x:v>
      </x:c>
      <x:c r="V52" s="63" t="str">
        <x:v>48b7a148ff07b562f3d2a1d96fb15117da87d376c0215daba7732f574e30d215</x:v>
      </x:c>
    </x:row>
    <x:row r="53">
      <x:c r="A53" s="63" t="str">
        <x:v>bec:E01:struct:responsibility-model</x:v>
      </x:c>
      <x:c r="B53" s="63" t="str">
        <x:v>E01</x:v>
      </x:c>
      <x:c r="C53" s="63" t="str">
        <x:v>stakeholder_responsibility_model</x:v>
      </x:c>
      <x:c r="D53" s="63" t="str">
        <x:v>TEXTUAL</x:v>
      </x:c>
      <x:c r="E53" s="63" t="str">
        <x:v>SCENARIO</x:v>
      </x:c>
      <x:c r="F53" s="65"/>
      <x:c r="G53" s="66"/>
      <x:c r="H53" s="67"/>
      <x:c r="I53" s="63" t="str">
        <x:v>Responsibility is assigned by role persona using governed matrix v31-stakeholder-responsibility-3.1.0. Named individuals are not resolved in the demonstration and require CRM entitlement checks in production.</x:v>
      </x:c>
      <x:c r="J53" s="63"/>
      <x:c r="K53" s="63" t="str">
        <x:v>statement</x:v>
      </x:c>
      <x:c r="L53" s="63" t="str">
        <x:v>2025-06-01</x:v>
      </x:c>
      <x:c r="M53" s="63" t="str">
        <x:v>2026-06-30</x:v>
      </x:c>
      <x:c r="N53" s="63" t="str">
        <x:v>2026-06-30</x:v>
      </x:c>
      <x:c r="O53" s="63" t="str">
        <x:v>E0</x:v>
      </x:c>
      <x:c r="P53" s="63" t="str">
        <x:v>APPROVED</x:v>
      </x:c>
      <x:c r="Q53" s="64" t="b">
        <x:v>0</x:v>
      </x:c>
      <x:c r="R53" s="63" t="str">
        <x:v>STAKEHOLDER_RESPONSIBILITY</x:v>
      </x:c>
      <x:c r="S53" s="63" t="str">
        <x:v>Governed sector operating-model and responsibility policy</x:v>
      </x:c>
      <x:c r="T53" s="63"/>
      <x:c r="U53" s="63" t="str">
        <x:v>internal://v31/governed-policy</x:v>
      </x:c>
      <x:c r="V53" s="63" t="str">
        <x:v>dda4c6fee85f0f2e46812a04503e56779b1fdfac9e167c03ff1ae1a2fe8cb731</x:v>
      </x:c>
    </x:row>
    <x:row r="54">
      <x:c r="A54" s="63" t="str">
        <x:v>bec:E01:struct:responsibility:fx_exposure</x:v>
      </x:c>
      <x:c r="B54" s="63" t="str">
        <x:v>E01</x:v>
      </x:c>
      <x:c r="C54" s="63" t="str">
        <x:v>problem_role_ownership</x:v>
      </x:c>
      <x:c r="D54" s="63" t="str">
        <x:v>STRUCTURE_RELATIONSHIP</x:v>
      </x:c>
      <x:c r="E54" s="63" t="str">
        <x:v>SCENARIO</x:v>
      </x:c>
      <x:c r="F54" s="65"/>
      <x:c r="G54" s="66"/>
      <x:c r="H54" s="67"/>
      <x:c r="I54" s="63"/>
      <x:c r="J54" s="63"/>
      <x:c r="K54" s="63" t="str">
        <x:v>statement</x:v>
      </x:c>
      <x:c r="L54" s="63" t="str">
        <x:v>2025-06-01</x:v>
      </x:c>
      <x:c r="M54" s="63" t="str">
        <x:v>2026-06-30</x:v>
      </x:c>
      <x:c r="N54" s="63" t="str">
        <x:v>2026-06-30</x:v>
      </x:c>
      <x:c r="O54" s="63" t="str">
        <x:v>E0</x:v>
      </x:c>
      <x:c r="P54" s="63" t="str">
        <x:v>APPROVED</x:v>
      </x:c>
      <x:c r="Q54" s="64" t="b">
        <x:v>0</x:v>
      </x:c>
      <x:c r="R54" s="63" t="str">
        <x:v>STAKEHOLDER_RESPONSIBILITY</x:v>
      </x:c>
      <x:c r="S54" s="63" t="str">
        <x:v>Governed sector operating-model and responsibility policy</x:v>
      </x:c>
      <x:c r="T54" s="63"/>
      <x:c r="U54" s="63" t="str">
        <x:v>internal://v31/governed-policy</x:v>
      </x:c>
      <x:c r="V54" s="63" t="str">
        <x:v>4b2333d801d3cff741a577c6a272ab17f37f835b5746d2175fe29663fdd41412</x:v>
      </x:c>
    </x:row>
    <x:row r="55">
      <x:c r="A55" s="63" t="str">
        <x:v>bec:E01:struct:responsibility:refinancing_cliff</x:v>
      </x:c>
      <x:c r="B55" s="63" t="str">
        <x:v>E01</x:v>
      </x:c>
      <x:c r="C55" s="63" t="str">
        <x:v>problem_role_ownership</x:v>
      </x:c>
      <x:c r="D55" s="63" t="str">
        <x:v>STRUCTURE_RELATIONSHIP</x:v>
      </x:c>
      <x:c r="E55" s="63" t="str">
        <x:v>SCENARIO</x:v>
      </x:c>
      <x:c r="F55" s="65"/>
      <x:c r="G55" s="66"/>
      <x:c r="H55" s="67"/>
      <x:c r="I55" s="63"/>
      <x:c r="J55" s="63"/>
      <x:c r="K55" s="63" t="str">
        <x:v>statement</x:v>
      </x:c>
      <x:c r="L55" s="63" t="str">
        <x:v>2025-06-01</x:v>
      </x:c>
      <x:c r="M55" s="63" t="str">
        <x:v>2026-06-30</x:v>
      </x:c>
      <x:c r="N55" s="63" t="str">
        <x:v>2026-06-30</x:v>
      </x:c>
      <x:c r="O55" s="63" t="str">
        <x:v>E0</x:v>
      </x:c>
      <x:c r="P55" s="63" t="str">
        <x:v>APPROVED</x:v>
      </x:c>
      <x:c r="Q55" s="64" t="b">
        <x:v>0</x:v>
      </x:c>
      <x:c r="R55" s="63" t="str">
        <x:v>STAKEHOLDER_RESPONSIBILITY</x:v>
      </x:c>
      <x:c r="S55" s="63" t="str">
        <x:v>Governed sector operating-model and responsibility policy</x:v>
      </x:c>
      <x:c r="T55" s="63"/>
      <x:c r="U55" s="63" t="str">
        <x:v>internal://v31/governed-policy</x:v>
      </x:c>
      <x:c r="V55" s="63" t="str">
        <x:v>864d2cc391e4b4c4e947185f9f34fc8a3917e19cc7ee22aa5c4c7f3afacd3431</x:v>
      </x:c>
    </x:row>
    <x:row r="56">
      <x:c r="A56" s="63" t="str">
        <x:v>bec:E01:struct:responsibility:working_capital_pressure</x:v>
      </x:c>
      <x:c r="B56" s="63" t="str">
        <x:v>E01</x:v>
      </x:c>
      <x:c r="C56" s="63" t="str">
        <x:v>problem_role_ownership</x:v>
      </x:c>
      <x:c r="D56" s="63" t="str">
        <x:v>STRUCTURE_RELATIONSHIP</x:v>
      </x:c>
      <x:c r="E56" s="63" t="str">
        <x:v>SCENARIO</x:v>
      </x:c>
      <x:c r="F56" s="65"/>
      <x:c r="G56" s="66"/>
      <x:c r="H56" s="67"/>
      <x:c r="I56" s="63"/>
      <x:c r="J56" s="63"/>
      <x:c r="K56" s="63" t="str">
        <x:v>statement</x:v>
      </x:c>
      <x:c r="L56" s="63" t="str">
        <x:v>2025-06-01</x:v>
      </x:c>
      <x:c r="M56" s="63" t="str">
        <x:v>2026-06-30</x:v>
      </x:c>
      <x:c r="N56" s="63" t="str">
        <x:v>2026-06-30</x:v>
      </x:c>
      <x:c r="O56" s="63" t="str">
        <x:v>E0</x:v>
      </x:c>
      <x:c r="P56" s="63" t="str">
        <x:v>APPROVED</x:v>
      </x:c>
      <x:c r="Q56" s="64" t="b">
        <x:v>0</x:v>
      </x:c>
      <x:c r="R56" s="63" t="str">
        <x:v>STAKEHOLDER_RESPONSIBILITY</x:v>
      </x:c>
      <x:c r="S56" s="63" t="str">
        <x:v>Governed sector operating-model and responsibility policy</x:v>
      </x:c>
      <x:c r="T56" s="63"/>
      <x:c r="U56" s="63" t="str">
        <x:v>internal://v31/governed-policy</x:v>
      </x:c>
      <x:c r="V56" s="63" t="str">
        <x:v>6e0ca7cfdf5cb408bb16cc9c00798a8305c2e538d9737b84fded572d7e9fc6a9</x:v>
      </x:c>
    </x:row>
    <x:row r="57">
      <x:c r="A57" s="63" t="str">
        <x:v>bec:GLEN-2025-REV</x:v>
      </x:c>
      <x:c r="B57" s="63" t="str">
        <x:v>E02</x:v>
      </x:c>
      <x:c r="C57" s="63" t="str">
        <x:v>revenue</x:v>
      </x:c>
      <x:c r="D57" s="63" t="str">
        <x:v>MONEY</x:v>
      </x:c>
      <x:c r="E57" s="63" t="str">
        <x:v>OBSERVED</x:v>
      </x:c>
      <x:c r="F57" s="65" t="n">
        <x:v>247535</x:v>
      </x:c>
      <x:c r="G57" s="66"/>
      <x:c r="H57" s="67"/>
      <x:c r="I57" s="63"/>
      <x:c r="J57" s="63" t="str">
        <x:v>USD</x:v>
      </x:c>
      <x:c r="K57" s="63" t="str">
        <x:v>million</x:v>
      </x:c>
      <x:c r="L57" s="63" t="str">
        <x:v>2025-01-01</x:v>
      </x:c>
      <x:c r="M57" s="63" t="str">
        <x:v>2025-12-31</x:v>
      </x:c>
      <x:c r="N57" s="63" t="str">
        <x:v>2026-03-10</x:v>
      </x:c>
      <x:c r="O57" s="63" t="str">
        <x:v>E1</x:v>
      </x:c>
      <x:c r="P57" s="63" t="str">
        <x:v>APPROVED</x:v>
      </x:c>
      <x:c r="Q57" s="64" t="b">
        <x:v>1</x:v>
      </x:c>
      <x:c r="R57" s="63" t="str">
        <x:v>REVENUE_ENGINE</x:v>
      </x:c>
      <x:c r="S57" s="63" t="str">
        <x:v>Glencore Annual Report 2025</x:v>
      </x:c>
      <x:c r="T57" s="63" t="n">
        <x:v>136</x:v>
      </x:c>
      <x:c r="U57" s="63" t="str">
        <x:v>https://www.glencore.com/.rest/api/v1/documents/static/9b103e11-72e7-40bf-ae7c-eabe57361522/GLEN-2025-Annual-Report.pdf</x:v>
      </x:c>
      <x:c r="V57" s="63" t="str">
        <x:v>seed-register-hash:GLEN-2025-REV</x:v>
      </x:c>
    </x:row>
    <x:row r="58">
      <x:c r="A58" s="63" t="str">
        <x:v>bec:GLEN-2025-COST</x:v>
      </x:c>
      <x:c r="B58" s="63" t="str">
        <x:v>E02</x:v>
      </x:c>
      <x:c r="C58" s="63" t="str">
        <x:v>operating_cost_base</x:v>
      </x:c>
      <x:c r="D58" s="63" t="str">
        <x:v>MONEY</x:v>
      </x:c>
      <x:c r="E58" s="63" t="str">
        <x:v>OBSERVED</x:v>
      </x:c>
      <x:c r="F58" s="65" t="n">
        <x:v>241672</x:v>
      </x:c>
      <x:c r="G58" s="66"/>
      <x:c r="H58" s="67"/>
      <x:c r="I58" s="63"/>
      <x:c r="J58" s="63" t="str">
        <x:v>USD</x:v>
      </x:c>
      <x:c r="K58" s="63" t="str">
        <x:v>million</x:v>
      </x:c>
      <x:c r="L58" s="63" t="str">
        <x:v>2025-01-01</x:v>
      </x:c>
      <x:c r="M58" s="63" t="str">
        <x:v>2025-12-31</x:v>
      </x:c>
      <x:c r="N58" s="63" t="str">
        <x:v>2026-03-10</x:v>
      </x:c>
      <x:c r="O58" s="63" t="str">
        <x:v>E1</x:v>
      </x:c>
      <x:c r="P58" s="63" t="str">
        <x:v>APPROVED</x:v>
      </x:c>
      <x:c r="Q58" s="64" t="b">
        <x:v>1</x:v>
      </x:c>
      <x:c r="R58" s="63" t="str">
        <x:v>COST_ENGINE</x:v>
      </x:c>
      <x:c r="S58" s="63" t="str">
        <x:v>Glencore Annual Report 2025</x:v>
      </x:c>
      <x:c r="T58" s="63" t="n">
        <x:v>136</x:v>
      </x:c>
      <x:c r="U58" s="63" t="str">
        <x:v>https://www.glencore.com/.rest/api/v1/documents/static/9b103e11-72e7-40bf-ae7c-eabe57361522/GLEN-2025-Annual-Report.pdf</x:v>
      </x:c>
      <x:c r="V58" s="63" t="str">
        <x:v>seed-register-hash:GLEN-2025-COST</x:v>
      </x:c>
    </x:row>
    <x:row r="59">
      <x:c r="A59" s="63" t="str">
        <x:v>bec:GLEN-2025-AR-OPEN</x:v>
      </x:c>
      <x:c r="B59" s="63" t="str">
        <x:v>E02</x:v>
      </x:c>
      <x:c r="C59" s="63" t="str">
        <x:v>trade_receivables_open</x:v>
      </x:c>
      <x:c r="D59" s="63" t="str">
        <x:v>MONEY</x:v>
      </x:c>
      <x:c r="E59" s="63" t="str">
        <x:v>OBSERVED</x:v>
      </x:c>
      <x:c r="F59" s="65" t="n">
        <x:v>10878</x:v>
      </x:c>
      <x:c r="G59" s="66"/>
      <x:c r="H59" s="67"/>
      <x:c r="I59" s="63"/>
      <x:c r="J59" s="63" t="str">
        <x:v>USD</x:v>
      </x:c>
      <x:c r="K59" s="63" t="str">
        <x:v>million</x:v>
      </x:c>
      <x:c r="L59" s="63" t="str">
        <x:v>2024-01-01</x:v>
      </x:c>
      <x:c r="M59" s="63" t="str">
        <x:v>2024-12-31</x:v>
      </x:c>
      <x:c r="N59" s="63" t="str">
        <x:v>2026-03-10</x:v>
      </x:c>
      <x:c r="O59" s="63" t="str">
        <x:v>E1</x:v>
      </x:c>
      <x:c r="P59" s="63" t="str">
        <x:v>APPROVED</x:v>
      </x:c>
      <x:c r="Q59" s="64" t="b">
        <x:v>0</x:v>
      </x:c>
      <x:c r="R59" s="63" t="str">
        <x:v>REVENUE_ENGINE, WORKING_CAPITAL_CYCLE</x:v>
      </x:c>
      <x:c r="S59" s="63" t="str">
        <x:v>Glencore Annual Report 2025</x:v>
      </x:c>
      <x:c r="T59" s="63" t="n">
        <x:v>186</x:v>
      </x:c>
      <x:c r="U59" s="63" t="str">
        <x:v>https://www.glencore.com/.rest/api/v1/documents/static/9b103e11-72e7-40bf-ae7c-eabe57361522/GLEN-2025-Annual-Report.pdf</x:v>
      </x:c>
      <x:c r="V59" s="63" t="str">
        <x:v>seed-register-hash:GLEN-2025-AR-OPEN</x:v>
      </x:c>
    </x:row>
    <x:row r="60">
      <x:c r="A60" s="63" t="str">
        <x:v>bec:GLEN-2025-AR-CLOSE</x:v>
      </x:c>
      <x:c r="B60" s="63" t="str">
        <x:v>E02</x:v>
      </x:c>
      <x:c r="C60" s="63" t="str">
        <x:v>trade_receivables_close</x:v>
      </x:c>
      <x:c r="D60" s="63" t="str">
        <x:v>MONEY</x:v>
      </x:c>
      <x:c r="E60" s="63" t="str">
        <x:v>OBSERVED</x:v>
      </x:c>
      <x:c r="F60" s="65" t="n">
        <x:v>13428</x:v>
      </x:c>
      <x:c r="G60" s="66"/>
      <x:c r="H60" s="67"/>
      <x:c r="I60" s="63"/>
      <x:c r="J60" s="63" t="str">
        <x:v>USD</x:v>
      </x:c>
      <x:c r="K60" s="63" t="str">
        <x:v>million</x:v>
      </x:c>
      <x:c r="L60" s="63" t="str">
        <x:v>2025-01-01</x:v>
      </x:c>
      <x:c r="M60" s="63" t="str">
        <x:v>2025-12-31</x:v>
      </x:c>
      <x:c r="N60" s="63" t="str">
        <x:v>2026-03-10</x:v>
      </x:c>
      <x:c r="O60" s="63" t="str">
        <x:v>E1</x:v>
      </x:c>
      <x:c r="P60" s="63" t="str">
        <x:v>APPROVED</x:v>
      </x:c>
      <x:c r="Q60" s="64" t="b">
        <x:v>1</x:v>
      </x:c>
      <x:c r="R60" s="63" t="str">
        <x:v>REVENUE_ENGINE, WORKING_CAPITAL_CYCLE</x:v>
      </x:c>
      <x:c r="S60" s="63" t="str">
        <x:v>Glencore Annual Report 2025</x:v>
      </x:c>
      <x:c r="T60" s="63" t="n">
        <x:v>186</x:v>
      </x:c>
      <x:c r="U60" s="63" t="str">
        <x:v>https://www.glencore.com/.rest/api/v1/documents/static/9b103e11-72e7-40bf-ae7c-eabe57361522/GLEN-2025-Annual-Report.pdf</x:v>
      </x:c>
      <x:c r="V60" s="63" t="str">
        <x:v>seed-register-hash:GLEN-2025-AR-CLOSE</x:v>
      </x:c>
    </x:row>
    <x:row r="61">
      <x:c r="A61" s="63" t="str">
        <x:v>bec:GLEN-2025-INV-OPEN</x:v>
      </x:c>
      <x:c r="B61" s="63" t="str">
        <x:v>E02</x:v>
      </x:c>
      <x:c r="C61" s="63" t="str">
        <x:v>inventories_open</x:v>
      </x:c>
      <x:c r="D61" s="63" t="str">
        <x:v>MONEY</x:v>
      </x:c>
      <x:c r="E61" s="63" t="str">
        <x:v>OBSERVED</x:v>
      </x:c>
      <x:c r="F61" s="65" t="n">
        <x:v>30097</x:v>
      </x:c>
      <x:c r="G61" s="66"/>
      <x:c r="H61" s="67"/>
      <x:c r="I61" s="63"/>
      <x:c r="J61" s="63" t="str">
        <x:v>USD</x:v>
      </x:c>
      <x:c r="K61" s="63" t="str">
        <x:v>million</x:v>
      </x:c>
      <x:c r="L61" s="63" t="str">
        <x:v>2024-01-01</x:v>
      </x:c>
      <x:c r="M61" s="63" t="str">
        <x:v>2024-12-31</x:v>
      </x:c>
      <x:c r="N61" s="63" t="str">
        <x:v>2026-03-10</x:v>
      </x:c>
      <x:c r="O61" s="63" t="str">
        <x:v>E1</x:v>
      </x:c>
      <x:c r="P61" s="63" t="str">
        <x:v>APPROVED</x:v>
      </x:c>
      <x:c r="Q61" s="64" t="b">
        <x:v>0</x:v>
      </x:c>
      <x:c r="R61" s="63" t="str">
        <x:v>WORKING_CAPITAL_CYCLE</x:v>
      </x:c>
      <x:c r="S61" s="63" t="str">
        <x:v>Glencore Annual Report 2025</x:v>
      </x:c>
      <x:c r="T61" s="63" t="n">
        <x:v>185</x:v>
      </x:c>
      <x:c r="U61" s="63" t="str">
        <x:v>https://www.glencore.com/.rest/api/v1/documents/static/9b103e11-72e7-40bf-ae7c-eabe57361522/GLEN-2025-Annual-Report.pdf</x:v>
      </x:c>
      <x:c r="V61" s="63" t="str">
        <x:v>seed-register-hash:GLEN-2025-INV-OPEN</x:v>
      </x:c>
    </x:row>
    <x:row r="62">
      <x:c r="A62" s="63" t="str">
        <x:v>bec:GLEN-2025-INV-CLOSE</x:v>
      </x:c>
      <x:c r="B62" s="63" t="str">
        <x:v>E02</x:v>
      </x:c>
      <x:c r="C62" s="63" t="str">
        <x:v>inventories_close</x:v>
      </x:c>
      <x:c r="D62" s="63" t="str">
        <x:v>MONEY</x:v>
      </x:c>
      <x:c r="E62" s="63" t="str">
        <x:v>OBSERVED</x:v>
      </x:c>
      <x:c r="F62" s="65" t="n">
        <x:v>33955</x:v>
      </x:c>
      <x:c r="G62" s="66"/>
      <x:c r="H62" s="67"/>
      <x:c r="I62" s="63"/>
      <x:c r="J62" s="63" t="str">
        <x:v>USD</x:v>
      </x:c>
      <x:c r="K62" s="63" t="str">
        <x:v>million</x:v>
      </x:c>
      <x:c r="L62" s="63" t="str">
        <x:v>2025-01-01</x:v>
      </x:c>
      <x:c r="M62" s="63" t="str">
        <x:v>2025-12-31</x:v>
      </x:c>
      <x:c r="N62" s="63" t="str">
        <x:v>2026-03-10</x:v>
      </x:c>
      <x:c r="O62" s="63" t="str">
        <x:v>E1</x:v>
      </x:c>
      <x:c r="P62" s="63" t="str">
        <x:v>APPROVED</x:v>
      </x:c>
      <x:c r="Q62" s="64" t="b">
        <x:v>1</x:v>
      </x:c>
      <x:c r="R62" s="63" t="str">
        <x:v>WORKING_CAPITAL_CYCLE</x:v>
      </x:c>
      <x:c r="S62" s="63" t="str">
        <x:v>Glencore Annual Report 2025</x:v>
      </x:c>
      <x:c r="T62" s="63" t="n">
        <x:v>185</x:v>
      </x:c>
      <x:c r="U62" s="63" t="str">
        <x:v>https://www.glencore.com/.rest/api/v1/documents/static/9b103e11-72e7-40bf-ae7c-eabe57361522/GLEN-2025-Annual-Report.pdf</x:v>
      </x:c>
      <x:c r="V62" s="63" t="str">
        <x:v>seed-register-hash:GLEN-2025-INV-CLOSE</x:v>
      </x:c>
    </x:row>
    <x:row r="63">
      <x:c r="A63" s="63" t="str">
        <x:v>bec:GLEN-2025-AP-OPEN</x:v>
      </x:c>
      <x:c r="B63" s="63" t="str">
        <x:v>E02</x:v>
      </x:c>
      <x:c r="C63" s="63" t="str">
        <x:v>trade_payables_open</x:v>
      </x:c>
      <x:c r="D63" s="63" t="str">
        <x:v>MONEY</x:v>
      </x:c>
      <x:c r="E63" s="63" t="str">
        <x:v>OBSERVED</x:v>
      </x:c>
      <x:c r="F63" s="65" t="n">
        <x:v>24872</x:v>
      </x:c>
      <x:c r="G63" s="66"/>
      <x:c r="H63" s="67"/>
      <x:c r="I63" s="63"/>
      <x:c r="J63" s="63" t="str">
        <x:v>USD</x:v>
      </x:c>
      <x:c r="K63" s="63" t="str">
        <x:v>million</x:v>
      </x:c>
      <x:c r="L63" s="63" t="str">
        <x:v>2024-01-01</x:v>
      </x:c>
      <x:c r="M63" s="63" t="str">
        <x:v>2024-12-31</x:v>
      </x:c>
      <x:c r="N63" s="63" t="str">
        <x:v>2026-03-10</x:v>
      </x:c>
      <x:c r="O63" s="63" t="str">
        <x:v>E1</x:v>
      </x:c>
      <x:c r="P63" s="63" t="str">
        <x:v>APPROVED</x:v>
      </x:c>
      <x:c r="Q63" s="64" t="b">
        <x:v>0</x:v>
      </x:c>
      <x:c r="R63" s="63" t="str">
        <x:v>COST_ENGINE, WORKING_CAPITAL_CYCLE</x:v>
      </x:c>
      <x:c r="S63" s="63" t="str">
        <x:v>Glencore Annual Report 2025</x:v>
      </x:c>
      <x:c r="T63" s="63" t="n">
        <x:v>205</x:v>
      </x:c>
      <x:c r="U63" s="63" t="str">
        <x:v>https://www.glencore.com/.rest/api/v1/documents/static/9b103e11-72e7-40bf-ae7c-eabe57361522/GLEN-2025-Annual-Report.pdf</x:v>
      </x:c>
      <x:c r="V63" s="63" t="str">
        <x:v>seed-register-hash:GLEN-2025-AP-OPEN</x:v>
      </x:c>
    </x:row>
    <x:row r="64">
      <x:c r="A64" s="63" t="str">
        <x:v>bec:GLEN-2025-AP-CLOSE</x:v>
      </x:c>
      <x:c r="B64" s="63" t="str">
        <x:v>E02</x:v>
      </x:c>
      <x:c r="C64" s="63" t="str">
        <x:v>trade_payables_close</x:v>
      </x:c>
      <x:c r="D64" s="63" t="str">
        <x:v>MONEY</x:v>
      </x:c>
      <x:c r="E64" s="63" t="str">
        <x:v>OBSERVED</x:v>
      </x:c>
      <x:c r="F64" s="65" t="n">
        <x:v>30537</x:v>
      </x:c>
      <x:c r="G64" s="66"/>
      <x:c r="H64" s="67"/>
      <x:c r="I64" s="63"/>
      <x:c r="J64" s="63" t="str">
        <x:v>USD</x:v>
      </x:c>
      <x:c r="K64" s="63" t="str">
        <x:v>million</x:v>
      </x:c>
      <x:c r="L64" s="63" t="str">
        <x:v>2025-01-01</x:v>
      </x:c>
      <x:c r="M64" s="63" t="str">
        <x:v>2025-12-31</x:v>
      </x:c>
      <x:c r="N64" s="63" t="str">
        <x:v>2026-03-10</x:v>
      </x:c>
      <x:c r="O64" s="63" t="str">
        <x:v>E1</x:v>
      </x:c>
      <x:c r="P64" s="63" t="str">
        <x:v>APPROVED</x:v>
      </x:c>
      <x:c r="Q64" s="64" t="b">
        <x:v>1</x:v>
      </x:c>
      <x:c r="R64" s="63" t="str">
        <x:v>COST_ENGINE, WORKING_CAPITAL_CYCLE</x:v>
      </x:c>
      <x:c r="S64" s="63" t="str">
        <x:v>Glencore Annual Report 2025</x:v>
      </x:c>
      <x:c r="T64" s="63" t="n">
        <x:v>205</x:v>
      </x:c>
      <x:c r="U64" s="63" t="str">
        <x:v>https://www.glencore.com/.rest/api/v1/documents/static/9b103e11-72e7-40bf-ae7c-eabe57361522/GLEN-2025-Annual-Report.pdf</x:v>
      </x:c>
      <x:c r="V64" s="63" t="str">
        <x:v>seed-register-hash:GLEN-2025-AP-CLOSE</x:v>
      </x:c>
    </x:row>
    <x:row r="65">
      <x:c r="A65" s="63" t="str">
        <x:v>bec:GLEN-2025-FX</x:v>
      </x:c>
      <x:c r="B65" s="63" t="str">
        <x:v>E02</x:v>
      </x:c>
      <x:c r="C65" s="63" t="str">
        <x:v>fx_exposure</x:v>
      </x:c>
      <x:c r="D65" s="63" t="str">
        <x:v>MONEY</x:v>
      </x:c>
      <x:c r="E65" s="63" t="str">
        <x:v>OBSERVED</x:v>
      </x:c>
      <x:c r="F65" s="65" t="n">
        <x:v>7587</x:v>
      </x:c>
      <x:c r="G65" s="66"/>
      <x:c r="H65" s="67"/>
      <x:c r="I65" s="63"/>
      <x:c r="J65" s="63" t="str">
        <x:v>USD</x:v>
      </x:c>
      <x:c r="K65" s="63" t="str">
        <x:v>million</x:v>
      </x:c>
      <x:c r="L65" s="63" t="str">
        <x:v>2025-01-01</x:v>
      </x:c>
      <x:c r="M65" s="63" t="str">
        <x:v>2025-12-31</x:v>
      </x:c>
      <x:c r="N65" s="63" t="str">
        <x:v>2026-03-10</x:v>
      </x:c>
      <x:c r="O65" s="63" t="str">
        <x:v>E1</x:v>
      </x:c>
      <x:c r="P65" s="63" t="str">
        <x:v>APPROVED</x:v>
      </x:c>
      <x:c r="Q65" s="64" t="b">
        <x:v>1</x:v>
      </x:c>
      <x:c r="R65" s="63" t="str">
        <x:v>CURRENCY_AND_COMMODITY_EXPOSURE</x:v>
      </x:c>
      <x:c r="S65" s="63" t="str">
        <x:v>Glencore Annual Report 2025</x:v>
      </x:c>
      <x:c r="T65" s="63" t="n">
        <x:v>212</x:v>
      </x:c>
      <x:c r="U65" s="63" t="str">
        <x:v>https://www.glencore.com/.rest/api/v1/documents/static/9b103e11-72e7-40bf-ae7c-eabe57361522/GLEN-2025-Annual-Report.pdf</x:v>
      </x:c>
      <x:c r="V65" s="63" t="str">
        <x:v>seed-register-hash:GLEN-2025-FX</x:v>
      </x:c>
    </x:row>
    <x:row r="66">
      <x:c r="A66" s="63" t="str">
        <x:v>bec:GLEN-2025-DEBT</x:v>
      </x:c>
      <x:c r="B66" s="63" t="str">
        <x:v>E02</x:v>
      </x:c>
      <x:c r="C66" s="63" t="str">
        <x:v>current_debt</x:v>
      </x:c>
      <x:c r="D66" s="63" t="str">
        <x:v>MONEY</x:v>
      </x:c>
      <x:c r="E66" s="63" t="str">
        <x:v>OBSERVED</x:v>
      </x:c>
      <x:c r="F66" s="65" t="n">
        <x:v>14494</x:v>
      </x:c>
      <x:c r="G66" s="66"/>
      <x:c r="H66" s="67"/>
      <x:c r="I66" s="63"/>
      <x:c r="J66" s="63" t="str">
        <x:v>USD</x:v>
      </x:c>
      <x:c r="K66" s="63" t="str">
        <x:v>million</x:v>
      </x:c>
      <x:c r="L66" s="63" t="str">
        <x:v>2025-01-01</x:v>
      </x:c>
      <x:c r="M66" s="63" t="str">
        <x:v>2025-12-31</x:v>
      </x:c>
      <x:c r="N66" s="63" t="str">
        <x:v>2026-03-10</x:v>
      </x:c>
      <x:c r="O66" s="63" t="str">
        <x:v>E1</x:v>
      </x:c>
      <x:c r="P66" s="63" t="str">
        <x:v>APPROVED</x:v>
      </x:c>
      <x:c r="Q66" s="64" t="b">
        <x:v>1</x:v>
      </x:c>
      <x:c r="R66" s="63" t="str">
        <x:v>FUNDING_STRUCTURE</x:v>
      </x:c>
      <x:c r="S66" s="63" t="str">
        <x:v>Glencore Annual Report 2025</x:v>
      </x:c>
      <x:c r="T66" s="63" t="n">
        <x:v>138</x:v>
      </x:c>
      <x:c r="U66" s="63" t="str">
        <x:v>https://www.glencore.com/.rest/api/v1/documents/static/9b103e11-72e7-40bf-ae7c-eabe57361522/GLEN-2025-Annual-Report.pdf</x:v>
      </x:c>
      <x:c r="V66" s="63" t="str">
        <x:v>seed-register-hash:GLEN-2025-DEBT</x:v>
      </x:c>
    </x:row>
    <x:row r="67">
      <x:c r="A67" s="63" t="str">
        <x:v>bec:E02:obs:flow:collections</x:v>
      </x:c>
      <x:c r="B67" s="63" t="str">
        <x:v>E02</x:v>
      </x:c>
      <x:c r="C67" s="63" t="str">
        <x:v>bank_observed_collections_ltm</x:v>
      </x:c>
      <x:c r="D67" s="63" t="str">
        <x:v>MONEY</x:v>
      </x:c>
      <x:c r="E67" s="63" t="str">
        <x:v>OBSERVED</x:v>
      </x:c>
      <x:c r="F67" s="65" t="n">
        <x:v>2463125157.400795</x:v>
      </x:c>
      <x:c r="G67" s="66"/>
      <x:c r="H67" s="67"/>
      <x:c r="I67" s="63"/>
      <x:c r="J67" s="63" t="str">
        <x:v>ZAR</x:v>
      </x:c>
      <x:c r="K67" s="63" t="str">
        <x:v>ZAR</x:v>
      </x:c>
      <x:c r="L67" s="63" t="str">
        <x:v>2025-06-01</x:v>
      </x:c>
      <x:c r="M67" s="63" t="str">
        <x:v>2026-06-30</x:v>
      </x:c>
      <x:c r="N67" s="63" t="str">
        <x:v>2026-06-30</x:v>
      </x:c>
      <x:c r="O67" s="63" t="str">
        <x:v>E0</x:v>
      </x:c>
      <x:c r="P67" s="63" t="str">
        <x:v>APPROVED</x:v>
      </x:c>
      <x:c r="Q67" s="64" t="b">
        <x:v>1</x:v>
      </x:c>
      <x:c r="R67" s="63" t="str">
        <x:v>REVENUE_ENGINE, WORKING_CAPITAL_CYCLE</x:v>
      </x:c>
      <x:c r="S67" s="63" t="str">
        <x:v>Syn Bank transaction and relationship simulation</x:v>
      </x:c>
      <x:c r="T67" s="63"/>
      <x:c r="U67" s="63" t="str">
        <x:v>internal://syn-bank/simulation/ltm</x:v>
      </x:c>
      <x:c r="V67" s="63" t="str">
        <x:v>182f9a7743f50f80a2299b212a0522a61ac6c4f6949d2b9a352672e82dde4f6f</x:v>
      </x:c>
    </x:row>
    <x:row r="68">
      <x:c r="A68" s="63" t="str">
        <x:v>bec:E02:obs:trend:collections</x:v>
      </x:c>
      <x:c r="B68" s="63" t="str">
        <x:v>E02</x:v>
      </x:c>
      <x:c r="C68" s="63" t="str">
        <x:v>bank_observed_collections_yoy_change</x:v>
      </x:c>
      <x:c r="D68" s="63" t="str">
        <x:v>RATIO</x:v>
      </x:c>
      <x:c r="E68" s="63" t="str">
        <x:v>OBSERVED</x:v>
      </x:c>
      <x:c r="F68" s="65"/>
      <x:c r="G68" s="66" t="n">
        <x:v>0.132802</x:v>
      </x:c>
      <x:c r="H68" s="67"/>
      <x:c r="I68" s="63"/>
      <x:c r="J68" s="63"/>
      <x:c r="K68" s="63" t="str">
        <x:v>ratio</x:v>
      </x:c>
      <x:c r="L68" s="63" t="str">
        <x:v>2025-06-01</x:v>
      </x:c>
      <x:c r="M68" s="63" t="str">
        <x:v>2026-06-30</x:v>
      </x:c>
      <x:c r="N68" s="63" t="str">
        <x:v>2026-06-30</x:v>
      </x:c>
      <x:c r="O68" s="63" t="str">
        <x:v>E0</x:v>
      </x:c>
      <x:c r="P68" s="63" t="str">
        <x:v>APPROVED</x:v>
      </x:c>
      <x:c r="Q68" s="64" t="b">
        <x:v>0</x:v>
      </x:c>
      <x:c r="R68" s="63" t="str">
        <x:v>REVENUE_ENGINE, WORKING_CAPITAL_CYCLE</x:v>
      </x:c>
      <x:c r="S68" s="63" t="str">
        <x:v>Syn Bank transaction and relationship simulation</x:v>
      </x:c>
      <x:c r="T68" s="63"/>
      <x:c r="U68" s="63" t="str">
        <x:v>internal://syn-bank/simulation/ltm</x:v>
      </x:c>
      <x:c r="V68" s="63" t="str">
        <x:v>67ca481771e1b132b9a91c47d0a7983f4aad8e3153c22fb0d678b56a2b4fb3a4</x:v>
      </x:c>
    </x:row>
    <x:row r="69">
      <x:c r="A69" s="63" t="str">
        <x:v>bec:E02:obs:flow:payments</x:v>
      </x:c>
      <x:c r="B69" s="63" t="str">
        <x:v>E02</x:v>
      </x:c>
      <x:c r="C69" s="63" t="str">
        <x:v>bank_observed_payments_ltm</x:v>
      </x:c>
      <x:c r="D69" s="63" t="str">
        <x:v>MONEY</x:v>
      </x:c>
      <x:c r="E69" s="63" t="str">
        <x:v>OBSERVED</x:v>
      </x:c>
      <x:c r="F69" s="65" t="n">
        <x:v>1876109020.9800003</x:v>
      </x:c>
      <x:c r="G69" s="66"/>
      <x:c r="H69" s="67"/>
      <x:c r="I69" s="63"/>
      <x:c r="J69" s="63" t="str">
        <x:v>ZAR</x:v>
      </x:c>
      <x:c r="K69" s="63" t="str">
        <x:v>ZAR</x:v>
      </x:c>
      <x:c r="L69" s="63" t="str">
        <x:v>2025-06-01</x:v>
      </x:c>
      <x:c r="M69" s="63" t="str">
        <x:v>2026-06-30</x:v>
      </x:c>
      <x:c r="N69" s="63" t="str">
        <x:v>2026-06-30</x:v>
      </x:c>
      <x:c r="O69" s="63" t="str">
        <x:v>E0</x:v>
      </x:c>
      <x:c r="P69" s="63" t="str">
        <x:v>APPROVED</x:v>
      </x:c>
      <x:c r="Q69" s="64" t="b">
        <x:v>1</x:v>
      </x:c>
      <x:c r="R69" s="63" t="str">
        <x:v>COST_ENGINE, WORKING_CAPITAL_CYCLE</x:v>
      </x:c>
      <x:c r="S69" s="63" t="str">
        <x:v>Syn Bank transaction and relationship simulation</x:v>
      </x:c>
      <x:c r="T69" s="63"/>
      <x:c r="U69" s="63" t="str">
        <x:v>internal://syn-bank/simulation/ltm</x:v>
      </x:c>
      <x:c r="V69" s="63" t="str">
        <x:v>4fddc3bed35b2fc6a2291f4a395c509ec1e91347975e9900a6eda28bc11ec2d4</x:v>
      </x:c>
    </x:row>
    <x:row r="70">
      <x:c r="A70" s="63" t="str">
        <x:v>bec:E02:obs:trend:payments</x:v>
      </x:c>
      <x:c r="B70" s="63" t="str">
        <x:v>E02</x:v>
      </x:c>
      <x:c r="C70" s="63" t="str">
        <x:v>bank_observed_payments_yoy_change</x:v>
      </x:c>
      <x:c r="D70" s="63" t="str">
        <x:v>RATIO</x:v>
      </x:c>
      <x:c r="E70" s="63" t="str">
        <x:v>OBSERVED</x:v>
      </x:c>
      <x:c r="F70" s="65"/>
      <x:c r="G70" s="66" t="n">
        <x:v>0.09596</x:v>
      </x:c>
      <x:c r="H70" s="67"/>
      <x:c r="I70" s="63"/>
      <x:c r="J70" s="63"/>
      <x:c r="K70" s="63" t="str">
        <x:v>ratio</x:v>
      </x:c>
      <x:c r="L70" s="63" t="str">
        <x:v>2025-06-01</x:v>
      </x:c>
      <x:c r="M70" s="63" t="str">
        <x:v>2026-06-30</x:v>
      </x:c>
      <x:c r="N70" s="63" t="str">
        <x:v>2026-06-30</x:v>
      </x:c>
      <x:c r="O70" s="63" t="str">
        <x:v>E0</x:v>
      </x:c>
      <x:c r="P70" s="63" t="str">
        <x:v>APPROVED</x:v>
      </x:c>
      <x:c r="Q70" s="64" t="b">
        <x:v>0</x:v>
      </x:c>
      <x:c r="R70" s="63" t="str">
        <x:v>COST_ENGINE, WORKING_CAPITAL_CYCLE</x:v>
      </x:c>
      <x:c r="S70" s="63" t="str">
        <x:v>Syn Bank transaction and relationship simulation</x:v>
      </x:c>
      <x:c r="T70" s="63"/>
      <x:c r="U70" s="63" t="str">
        <x:v>internal://syn-bank/simulation/ltm</x:v>
      </x:c>
      <x:c r="V70" s="63" t="str">
        <x:v>888302225dd7f5b736ca9aeb84616d3a7c3ef52d207a63bce854b6529249919f</x:v>
      </x:c>
    </x:row>
    <x:row r="71">
      <x:c r="A71" s="63" t="str">
        <x:v>bec:E02:obs:flow:liquidity</x:v>
      </x:c>
      <x:c r="B71" s="63" t="str">
        <x:v>E02</x:v>
      </x:c>
      <x:c r="C71" s="63" t="str">
        <x:v>bank_observed_liquidity_ltm</x:v>
      </x:c>
      <x:c r="D71" s="63" t="str">
        <x:v>MONEY</x:v>
      </x:c>
      <x:c r="E71" s="63" t="str">
        <x:v>OBSERVED</x:v>
      </x:c>
      <x:c r="F71" s="65" t="n">
        <x:v>2169617089.1903973</x:v>
      </x:c>
      <x:c r="G71" s="66"/>
      <x:c r="H71" s="67"/>
      <x:c r="I71" s="63"/>
      <x:c r="J71" s="63" t="str">
        <x:v>ZAR</x:v>
      </x:c>
      <x:c r="K71" s="63" t="str">
        <x:v>ZAR</x:v>
      </x:c>
      <x:c r="L71" s="63" t="str">
        <x:v>2025-06-01</x:v>
      </x:c>
      <x:c r="M71" s="63" t="str">
        <x:v>2026-06-30</x:v>
      </x:c>
      <x:c r="N71" s="63" t="str">
        <x:v>2026-06-30</x:v>
      </x:c>
      <x:c r="O71" s="63" t="str">
        <x:v>E0</x:v>
      </x:c>
      <x:c r="P71" s="63" t="str">
        <x:v>APPROVED</x:v>
      </x:c>
      <x:c r="Q71" s="64" t="b">
        <x:v>1</x:v>
      </x:c>
      <x:c r="R71" s="63" t="str">
        <x:v>LIQUIDITY_AND_BUFFER</x:v>
      </x:c>
      <x:c r="S71" s="63" t="str">
        <x:v>Syn Bank transaction and relationship simulation</x:v>
      </x:c>
      <x:c r="T71" s="63"/>
      <x:c r="U71" s="63" t="str">
        <x:v>internal://syn-bank/simulation/ltm</x:v>
      </x:c>
      <x:c r="V71" s="63" t="str">
        <x:v>ff332412af6272a6f70d19768e0d268cf8487ea9de55824d2fde240681bcac99</x:v>
      </x:c>
    </x:row>
    <x:row r="72">
      <x:c r="A72" s="63" t="str">
        <x:v>bec:E02:obs:trend:liquidity</x:v>
      </x:c>
      <x:c r="B72" s="63" t="str">
        <x:v>E02</x:v>
      </x:c>
      <x:c r="C72" s="63" t="str">
        <x:v>bank_observed_liquidity_yoy_change</x:v>
      </x:c>
      <x:c r="D72" s="63" t="str">
        <x:v>RATIO</x:v>
      </x:c>
      <x:c r="E72" s="63" t="str">
        <x:v>OBSERVED</x:v>
      </x:c>
      <x:c r="F72" s="65"/>
      <x:c r="G72" s="66" t="n">
        <x:v>0.116574</x:v>
      </x:c>
      <x:c r="H72" s="67"/>
      <x:c r="I72" s="63"/>
      <x:c r="J72" s="63"/>
      <x:c r="K72" s="63" t="str">
        <x:v>ratio</x:v>
      </x:c>
      <x:c r="L72" s="63" t="str">
        <x:v>2025-06-01</x:v>
      </x:c>
      <x:c r="M72" s="63" t="str">
        <x:v>2026-06-30</x:v>
      </x:c>
      <x:c r="N72" s="63" t="str">
        <x:v>2026-06-30</x:v>
      </x:c>
      <x:c r="O72" s="63" t="str">
        <x:v>E0</x:v>
      </x:c>
      <x:c r="P72" s="63" t="str">
        <x:v>APPROVED</x:v>
      </x:c>
      <x:c r="Q72" s="64" t="b">
        <x:v>0</x:v>
      </x:c>
      <x:c r="R72" s="63" t="str">
        <x:v>LIQUIDITY_AND_BUFFER</x:v>
      </x:c>
      <x:c r="S72" s="63" t="str">
        <x:v>Syn Bank transaction and relationship simulation</x:v>
      </x:c>
      <x:c r="T72" s="63"/>
      <x:c r="U72" s="63" t="str">
        <x:v>internal://syn-bank/simulation/ltm</x:v>
      </x:c>
      <x:c r="V72" s="63" t="str">
        <x:v>d12176abe9d3eaf9fb644dbfb38514385e494fcb61879f91ba890731c9e4ef17</x:v>
      </x:c>
    </x:row>
    <x:row r="73">
      <x:c r="A73" s="63" t="str">
        <x:v>bec:E02:obs:flow:cross-border-fx</x:v>
      </x:c>
      <x:c r="B73" s="63" t="str">
        <x:v>E02</x:v>
      </x:c>
      <x:c r="C73" s="63" t="str">
        <x:v>bank_observed_cross_border_fx_ltm</x:v>
      </x:c>
      <x:c r="D73" s="63" t="str">
        <x:v>MONEY</x:v>
      </x:c>
      <x:c r="E73" s="63" t="str">
        <x:v>OBSERVED</x:v>
      </x:c>
      <x:c r="F73" s="65" t="n">
        <x:v>2320701124.5699997</x:v>
      </x:c>
      <x:c r="G73" s="66"/>
      <x:c r="H73" s="67"/>
      <x:c r="I73" s="63"/>
      <x:c r="J73" s="63" t="str">
        <x:v>ZAR</x:v>
      </x:c>
      <x:c r="K73" s="63" t="str">
        <x:v>ZAR</x:v>
      </x:c>
      <x:c r="L73" s="63" t="str">
        <x:v>2025-06-01</x:v>
      </x:c>
      <x:c r="M73" s="63" t="str">
        <x:v>2026-06-30</x:v>
      </x:c>
      <x:c r="N73" s="63" t="str">
        <x:v>2026-06-30</x:v>
      </x:c>
      <x:c r="O73" s="63" t="str">
        <x:v>E0</x:v>
      </x:c>
      <x:c r="P73" s="63" t="str">
        <x:v>APPROVED</x:v>
      </x:c>
      <x:c r="Q73" s="64" t="b">
        <x:v>1</x:v>
      </x:c>
      <x:c r="R73" s="63" t="str">
        <x:v>CURRENCY_AND_COMMODITY_EXPOSURE, GEOGRAPHIC_EXPOSURE</x:v>
      </x:c>
      <x:c r="S73" s="63" t="str">
        <x:v>Syn Bank transaction and relationship simulation</x:v>
      </x:c>
      <x:c r="T73" s="63"/>
      <x:c r="U73" s="63" t="str">
        <x:v>internal://syn-bank/simulation/ltm</x:v>
      </x:c>
      <x:c r="V73" s="63" t="str">
        <x:v>2f37c7dac6a0322ab6efe944ab81b2948ac7501bd9a7a95372e9df68437ebc7b</x:v>
      </x:c>
    </x:row>
    <x:row r="74">
      <x:c r="A74" s="63" t="str">
        <x:v>bec:E02:obs:trend:cross-border-fx</x:v>
      </x:c>
      <x:c r="B74" s="63" t="str">
        <x:v>E02</x:v>
      </x:c>
      <x:c r="C74" s="63" t="str">
        <x:v>bank_observed_cross_border_fx_yoy_change</x:v>
      </x:c>
      <x:c r="D74" s="63" t="str">
        <x:v>RATIO</x:v>
      </x:c>
      <x:c r="E74" s="63" t="str">
        <x:v>OBSERVED</x:v>
      </x:c>
      <x:c r="F74" s="65"/>
      <x:c r="G74" s="66" t="n">
        <x:v>-0.036157</x:v>
      </x:c>
      <x:c r="H74" s="67"/>
      <x:c r="I74" s="63"/>
      <x:c r="J74" s="63"/>
      <x:c r="K74" s="63" t="str">
        <x:v>ratio</x:v>
      </x:c>
      <x:c r="L74" s="63" t="str">
        <x:v>2025-06-01</x:v>
      </x:c>
      <x:c r="M74" s="63" t="str">
        <x:v>2026-06-30</x:v>
      </x:c>
      <x:c r="N74" s="63" t="str">
        <x:v>2026-06-30</x:v>
      </x:c>
      <x:c r="O74" s="63" t="str">
        <x:v>E0</x:v>
      </x:c>
      <x:c r="P74" s="63" t="str">
        <x:v>APPROVED</x:v>
      </x:c>
      <x:c r="Q74" s="64" t="b">
        <x:v>0</x:v>
      </x:c>
      <x:c r="R74" s="63" t="str">
        <x:v>CURRENCY_AND_COMMODITY_EXPOSURE, GEOGRAPHIC_EXPOSURE</x:v>
      </x:c>
      <x:c r="S74" s="63" t="str">
        <x:v>Syn Bank transaction and relationship simulation</x:v>
      </x:c>
      <x:c r="T74" s="63"/>
      <x:c r="U74" s="63" t="str">
        <x:v>internal://syn-bank/simulation/ltm</x:v>
      </x:c>
      <x:c r="V74" s="63" t="str">
        <x:v>fd0f46069d930571686dfe945f999a0898d8a903c9376a01a77e6f2e7a82157d</x:v>
      </x:c>
    </x:row>
    <x:row r="75">
      <x:c r="A75" s="63" t="str">
        <x:v>bec:E02:obs:flow:trade-finance</x:v>
      </x:c>
      <x:c r="B75" s="63" t="str">
        <x:v>E02</x:v>
      </x:c>
      <x:c r="C75" s="63" t="str">
        <x:v>bank_observed_trade_finance_ltm</x:v>
      </x:c>
      <x:c r="D75" s="63" t="str">
        <x:v>MONEY</x:v>
      </x:c>
      <x:c r="E75" s="63" t="str">
        <x:v>OBSERVED</x:v>
      </x:c>
      <x:c r="F75" s="65" t="n">
        <x:v>1085073575.85</x:v>
      </x:c>
      <x:c r="G75" s="66"/>
      <x:c r="H75" s="67"/>
      <x:c r="I75" s="63"/>
      <x:c r="J75" s="63" t="str">
        <x:v>ZAR</x:v>
      </x:c>
      <x:c r="K75" s="63" t="str">
        <x:v>ZAR</x:v>
      </x:c>
      <x:c r="L75" s="63" t="str">
        <x:v>2025-06-01</x:v>
      </x:c>
      <x:c r="M75" s="63" t="str">
        <x:v>2026-06-30</x:v>
      </x:c>
      <x:c r="N75" s="63" t="str">
        <x:v>2026-06-30</x:v>
      </x:c>
      <x:c r="O75" s="63" t="str">
        <x:v>E0</x:v>
      </x:c>
      <x:c r="P75" s="63" t="str">
        <x:v>APPROVED</x:v>
      </x:c>
      <x:c r="Q75" s="64" t="b">
        <x:v>1</x:v>
      </x:c>
      <x:c r="R75" s="63" t="str">
        <x:v>WORKING_CAPITAL_CYCLE, OPERATING_MODEL</x:v>
      </x:c>
      <x:c r="S75" s="63" t="str">
        <x:v>Syn Bank transaction and relationship simulation</x:v>
      </x:c>
      <x:c r="T75" s="63"/>
      <x:c r="U75" s="63" t="str">
        <x:v>internal://syn-bank/simulation/ltm</x:v>
      </x:c>
      <x:c r="V75" s="63" t="str">
        <x:v>73f2fab7e7236e44bedbe0ec5be2e248d38fd4a07684b3564546b758ff7e8cef</x:v>
      </x:c>
    </x:row>
    <x:row r="76">
      <x:c r="A76" s="63" t="str">
        <x:v>bec:E02:obs:trend:trade-finance</x:v>
      </x:c>
      <x:c r="B76" s="63" t="str">
        <x:v>E02</x:v>
      </x:c>
      <x:c r="C76" s="63" t="str">
        <x:v>bank_observed_trade_finance_yoy_change</x:v>
      </x:c>
      <x:c r="D76" s="63" t="str">
        <x:v>RATIO</x:v>
      </x:c>
      <x:c r="E76" s="63" t="str">
        <x:v>OBSERVED</x:v>
      </x:c>
      <x:c r="F76" s="65"/>
      <x:c r="G76" s="66" t="n">
        <x:v>0.121917</x:v>
      </x:c>
      <x:c r="H76" s="67"/>
      <x:c r="I76" s="63"/>
      <x:c r="J76" s="63"/>
      <x:c r="K76" s="63" t="str">
        <x:v>ratio</x:v>
      </x:c>
      <x:c r="L76" s="63" t="str">
        <x:v>2025-06-01</x:v>
      </x:c>
      <x:c r="M76" s="63" t="str">
        <x:v>2026-06-30</x:v>
      </x:c>
      <x:c r="N76" s="63" t="str">
        <x:v>2026-06-30</x:v>
      </x:c>
      <x:c r="O76" s="63" t="str">
        <x:v>E0</x:v>
      </x:c>
      <x:c r="P76" s="63" t="str">
        <x:v>APPROVED</x:v>
      </x:c>
      <x:c r="Q76" s="64" t="b">
        <x:v>0</x:v>
      </x:c>
      <x:c r="R76" s="63" t="str">
        <x:v>WORKING_CAPITAL_CYCLE, OPERATING_MODEL</x:v>
      </x:c>
      <x:c r="S76" s="63" t="str">
        <x:v>Syn Bank transaction and relationship simulation</x:v>
      </x:c>
      <x:c r="T76" s="63"/>
      <x:c r="U76" s="63" t="str">
        <x:v>internal://syn-bank/simulation/ltm</x:v>
      </x:c>
      <x:c r="V76" s="63" t="str">
        <x:v>de5a3ee0b7548c5b4cbd5ae77edfb9b03a1a9c2649b3022de72fa7342845c048</x:v>
      </x:c>
    </x:row>
    <x:row r="77">
      <x:c r="A77" s="63" t="str">
        <x:v>bec:E02:obs:corridor:0</x:v>
      </x:c>
      <x:c r="B77" s="63" t="str">
        <x:v>E02</x:v>
      </x:c>
      <x:c r="C77" s="63" t="str">
        <x:v>bank_observed_corridor_value</x:v>
      </x:c>
      <x:c r="D77" s="63" t="str">
        <x:v>MONEY</x:v>
      </x:c>
      <x:c r="E77" s="63" t="str">
        <x:v>OBSERVED</x:v>
      </x:c>
      <x:c r="F77" s="65" t="n">
        <x:v>3659029310.1000013</x:v>
      </x:c>
      <x:c r="G77" s="66"/>
      <x:c r="H77" s="67"/>
      <x:c r="I77" s="63"/>
      <x:c r="J77" s="63" t="str">
        <x:v>ZAR</x:v>
      </x:c>
      <x:c r="K77" s="63" t="str">
        <x:v>ZAR</x:v>
      </x:c>
      <x:c r="L77" s="63" t="str">
        <x:v>2025-06-01</x:v>
      </x:c>
      <x:c r="M77" s="63" t="str">
        <x:v>2026-06-30</x:v>
      </x:c>
      <x:c r="N77" s="63" t="str">
        <x:v>2026-06-30</x:v>
      </x:c>
      <x:c r="O77" s="63" t="str">
        <x:v>E0</x:v>
      </x:c>
      <x:c r="P77" s="63" t="str">
        <x:v>APPROVED</x:v>
      </x:c>
      <x:c r="Q77" s="64" t="b">
        <x:v>1</x:v>
      </x:c>
      <x:c r="R77" s="63" t="str">
        <x:v>GEOGRAPHIC_EXPOSURE</x:v>
      </x:c>
      <x:c r="S77" s="63" t="str">
        <x:v>Syn Bank transaction and relationship simulation</x:v>
      </x:c>
      <x:c r="T77" s="63"/>
      <x:c r="U77" s="63" t="str">
        <x:v>internal://syn-bank/simulation/ltm</x:v>
      </x:c>
      <x:c r="V77" s="63" t="str">
        <x:v>07b6dc32d2e2af7e71c4c292eca108c182814f9b92942ed2891085fa359616ae</x:v>
      </x:c>
    </x:row>
    <x:row r="78">
      <x:c r="A78" s="63" t="str">
        <x:v>bec:E02:obs:corridor-name:0</x:v>
      </x:c>
      <x:c r="B78" s="63" t="str">
        <x:v>E02</x:v>
      </x:c>
      <x:c r="C78" s="63" t="str">
        <x:v>bank_observed_corridor_country</x:v>
      </x:c>
      <x:c r="D78" s="63" t="str">
        <x:v>CATEGORICAL</x:v>
      </x:c>
      <x:c r="E78" s="63" t="str">
        <x:v>OBSERVED</x:v>
      </x:c>
      <x:c r="F78" s="65"/>
      <x:c r="G78" s="66"/>
      <x:c r="H78" s="67"/>
      <x:c r="I78" s="63" t="str">
        <x:v>DRC</x:v>
      </x:c>
      <x:c r="J78" s="63"/>
      <x:c r="K78" s="63" t="str">
        <x:v>country</x:v>
      </x:c>
      <x:c r="L78" s="63" t="str">
        <x:v>2025-06-01</x:v>
      </x:c>
      <x:c r="M78" s="63" t="str">
        <x:v>2026-06-30</x:v>
      </x:c>
      <x:c r="N78" s="63" t="str">
        <x:v>2026-06-30</x:v>
      </x:c>
      <x:c r="O78" s="63" t="str">
        <x:v>E0</x:v>
      </x:c>
      <x:c r="P78" s="63" t="str">
        <x:v>APPROVED</x:v>
      </x:c>
      <x:c r="Q78" s="64" t="b">
        <x:v>0</x:v>
      </x:c>
      <x:c r="R78" s="63" t="str">
        <x:v>GEOGRAPHIC_EXPOSURE</x:v>
      </x:c>
      <x:c r="S78" s="63" t="str">
        <x:v>Syn Bank transaction and relationship simulation</x:v>
      </x:c>
      <x:c r="T78" s="63"/>
      <x:c r="U78" s="63" t="str">
        <x:v>internal://syn-bank/simulation/ltm</x:v>
      </x:c>
      <x:c r="V78" s="63" t="str">
        <x:v>6f93b5f5dd560fa6eeb897998336996cf7869f1908e141f09ad62fa7b8fc32e2</x:v>
      </x:c>
    </x:row>
    <x:row r="79">
      <x:c r="A79" s="63" t="str">
        <x:v>bec:E02:obs:corridor:1</x:v>
      </x:c>
      <x:c r="B79" s="63" t="str">
        <x:v>E02</x:v>
      </x:c>
      <x:c r="C79" s="63" t="str">
        <x:v>bank_observed_corridor_value</x:v>
      </x:c>
      <x:c r="D79" s="63" t="str">
        <x:v>MONEY</x:v>
      </x:c>
      <x:c r="E79" s="63" t="str">
        <x:v>OBSERVED</x:v>
      </x:c>
      <x:c r="F79" s="65" t="n">
        <x:v>594605909.7900001</x:v>
      </x:c>
      <x:c r="G79" s="66"/>
      <x:c r="H79" s="67"/>
      <x:c r="I79" s="63"/>
      <x:c r="J79" s="63" t="str">
        <x:v>ZAR</x:v>
      </x:c>
      <x:c r="K79" s="63" t="str">
        <x:v>ZAR</x:v>
      </x:c>
      <x:c r="L79" s="63" t="str">
        <x:v>2025-06-01</x:v>
      </x:c>
      <x:c r="M79" s="63" t="str">
        <x:v>2026-06-30</x:v>
      </x:c>
      <x:c r="N79" s="63" t="str">
        <x:v>2026-06-30</x:v>
      </x:c>
      <x:c r="O79" s="63" t="str">
        <x:v>E0</x:v>
      </x:c>
      <x:c r="P79" s="63" t="str">
        <x:v>APPROVED</x:v>
      </x:c>
      <x:c r="Q79" s="64" t="b">
        <x:v>0</x:v>
      </x:c>
      <x:c r="R79" s="63" t="str">
        <x:v>GEOGRAPHIC_EXPOSURE</x:v>
      </x:c>
      <x:c r="S79" s="63" t="str">
        <x:v>Syn Bank transaction and relationship simulation</x:v>
      </x:c>
      <x:c r="T79" s="63"/>
      <x:c r="U79" s="63" t="str">
        <x:v>internal://syn-bank/simulation/ltm</x:v>
      </x:c>
      <x:c r="V79" s="63" t="str">
        <x:v>25745e263ddf19d83b80b8333e87adfd3ee8858ec42b837c199ddae7d87cd107</x:v>
      </x:c>
    </x:row>
    <x:row r="80">
      <x:c r="A80" s="63" t="str">
        <x:v>bec:E02:obs:corridor-name:1</x:v>
      </x:c>
      <x:c r="B80" s="63" t="str">
        <x:v>E02</x:v>
      </x:c>
      <x:c r="C80" s="63" t="str">
        <x:v>bank_observed_corridor_country</x:v>
      </x:c>
      <x:c r="D80" s="63" t="str">
        <x:v>CATEGORICAL</x:v>
      </x:c>
      <x:c r="E80" s="63" t="str">
        <x:v>OBSERVED</x:v>
      </x:c>
      <x:c r="F80" s="65"/>
      <x:c r="G80" s="66"/>
      <x:c r="H80" s="67"/>
      <x:c r="I80" s="63" t="str">
        <x:v>Brazil</x:v>
      </x:c>
      <x:c r="J80" s="63"/>
      <x:c r="K80" s="63" t="str">
        <x:v>country</x:v>
      </x:c>
      <x:c r="L80" s="63" t="str">
        <x:v>2025-06-01</x:v>
      </x:c>
      <x:c r="M80" s="63" t="str">
        <x:v>2026-06-30</x:v>
      </x:c>
      <x:c r="N80" s="63" t="str">
        <x:v>2026-06-30</x:v>
      </x:c>
      <x:c r="O80" s="63" t="str">
        <x:v>E0</x:v>
      </x:c>
      <x:c r="P80" s="63" t="str">
        <x:v>APPROVED</x:v>
      </x:c>
      <x:c r="Q80" s="64" t="b">
        <x:v>0</x:v>
      </x:c>
      <x:c r="R80" s="63" t="str">
        <x:v>GEOGRAPHIC_EXPOSURE</x:v>
      </x:c>
      <x:c r="S80" s="63" t="str">
        <x:v>Syn Bank transaction and relationship simulation</x:v>
      </x:c>
      <x:c r="T80" s="63"/>
      <x:c r="U80" s="63" t="str">
        <x:v>internal://syn-bank/simulation/ltm</x:v>
      </x:c>
      <x:c r="V80" s="63" t="str">
        <x:v>7961f99ee272f92f37e11b4efbabbb7ac428797c0902c3c93d590086262b972c</x:v>
      </x:c>
    </x:row>
    <x:row r="81">
      <x:c r="A81" s="63" t="str">
        <x:v>bec:E02:obs:corridor:2</x:v>
      </x:c>
      <x:c r="B81" s="63" t="str">
        <x:v>E02</x:v>
      </x:c>
      <x:c r="C81" s="63" t="str">
        <x:v>bank_observed_corridor_value</x:v>
      </x:c>
      <x:c r="D81" s="63" t="str">
        <x:v>MONEY</x:v>
      </x:c>
      <x:c r="E81" s="63" t="str">
        <x:v>OBSERVED</x:v>
      </x:c>
      <x:c r="F81" s="65" t="n">
        <x:v>577306625.8199999</x:v>
      </x:c>
      <x:c r="G81" s="66"/>
      <x:c r="H81" s="67"/>
      <x:c r="I81" s="63"/>
      <x:c r="J81" s="63" t="str">
        <x:v>ZAR</x:v>
      </x:c>
      <x:c r="K81" s="63" t="str">
        <x:v>ZAR</x:v>
      </x:c>
      <x:c r="L81" s="63" t="str">
        <x:v>2025-06-01</x:v>
      </x:c>
      <x:c r="M81" s="63" t="str">
        <x:v>2026-06-30</x:v>
      </x:c>
      <x:c r="N81" s="63" t="str">
        <x:v>2026-06-30</x:v>
      </x:c>
      <x:c r="O81" s="63" t="str">
        <x:v>E0</x:v>
      </x:c>
      <x:c r="P81" s="63" t="str">
        <x:v>APPROVED</x:v>
      </x:c>
      <x:c r="Q81" s="64" t="b">
        <x:v>0</x:v>
      </x:c>
      <x:c r="R81" s="63" t="str">
        <x:v>GEOGRAPHIC_EXPOSURE</x:v>
      </x:c>
      <x:c r="S81" s="63" t="str">
        <x:v>Syn Bank transaction and relationship simulation</x:v>
      </x:c>
      <x:c r="T81" s="63"/>
      <x:c r="U81" s="63" t="str">
        <x:v>internal://syn-bank/simulation/ltm</x:v>
      </x:c>
      <x:c r="V81" s="63" t="str">
        <x:v>393545be9db60f6f9e140151ebbc96e49386168a65d52204d5429b35ec4eaccf</x:v>
      </x:c>
    </x:row>
    <x:row r="82">
      <x:c r="A82" s="63" t="str">
        <x:v>bec:E02:obs:corridor-name:2</x:v>
      </x:c>
      <x:c r="B82" s="63" t="str">
        <x:v>E02</x:v>
      </x:c>
      <x:c r="C82" s="63" t="str">
        <x:v>bank_observed_corridor_country</x:v>
      </x:c>
      <x:c r="D82" s="63" t="str">
        <x:v>CATEGORICAL</x:v>
      </x:c>
      <x:c r="E82" s="63" t="str">
        <x:v>OBSERVED</x:v>
      </x:c>
      <x:c r="F82" s="65"/>
      <x:c r="G82" s="66"/>
      <x:c r="H82" s="67"/>
      <x:c r="I82" s="63" t="str">
        <x:v>United States</x:v>
      </x:c>
      <x:c r="J82" s="63"/>
      <x:c r="K82" s="63" t="str">
        <x:v>country</x:v>
      </x:c>
      <x:c r="L82" s="63" t="str">
        <x:v>2025-06-01</x:v>
      </x:c>
      <x:c r="M82" s="63" t="str">
        <x:v>2026-06-30</x:v>
      </x:c>
      <x:c r="N82" s="63" t="str">
        <x:v>2026-06-30</x:v>
      </x:c>
      <x:c r="O82" s="63" t="str">
        <x:v>E0</x:v>
      </x:c>
      <x:c r="P82" s="63" t="str">
        <x:v>APPROVED</x:v>
      </x:c>
      <x:c r="Q82" s="64" t="b">
        <x:v>0</x:v>
      </x:c>
      <x:c r="R82" s="63" t="str">
        <x:v>GEOGRAPHIC_EXPOSURE</x:v>
      </x:c>
      <x:c r="S82" s="63" t="str">
        <x:v>Syn Bank transaction and relationship simulation</x:v>
      </x:c>
      <x:c r="T82" s="63"/>
      <x:c r="U82" s="63" t="str">
        <x:v>internal://syn-bank/simulation/ltm</x:v>
      </x:c>
      <x:c r="V82" s="63" t="str">
        <x:v>6e9f2c70b481a5c4487c02e22fc22c19eebfce5e6a55d86b4fdac8c2c99bcc1b</x:v>
      </x:c>
    </x:row>
    <x:row r="83">
      <x:c r="A83" s="63" t="str">
        <x:v>bec:E02:obs:currency:0</x:v>
      </x:c>
      <x:c r="B83" s="63" t="str">
        <x:v>E02</x:v>
      </x:c>
      <x:c r="C83" s="63" t="str">
        <x:v>bank_observed_currency_pair_value</x:v>
      </x:c>
      <x:c r="D83" s="63" t="str">
        <x:v>MONEY</x:v>
      </x:c>
      <x:c r="E83" s="63" t="str">
        <x:v>OBSERVED</x:v>
      </x:c>
      <x:c r="F83" s="65" t="n">
        <x:v>1556826719.0599988</x:v>
      </x:c>
      <x:c r="G83" s="66"/>
      <x:c r="H83" s="67"/>
      <x:c r="I83" s="63"/>
      <x:c r="J83" s="63" t="str">
        <x:v>ZAR</x:v>
      </x:c>
      <x:c r="K83" s="63" t="str">
        <x:v>ZAR</x:v>
      </x:c>
      <x:c r="L83" s="63" t="str">
        <x:v>2025-06-01</x:v>
      </x:c>
      <x:c r="M83" s="63" t="str">
        <x:v>2026-06-30</x:v>
      </x:c>
      <x:c r="N83" s="63" t="str">
        <x:v>2026-06-30</x:v>
      </x:c>
      <x:c r="O83" s="63" t="str">
        <x:v>E0</x:v>
      </x:c>
      <x:c r="P83" s="63" t="str">
        <x:v>APPROVED</x:v>
      </x:c>
      <x:c r="Q83" s="64" t="b">
        <x:v>1</x:v>
      </x:c>
      <x:c r="R83" s="63" t="str">
        <x:v>CURRENCY_AND_COMMODITY_EXPOSURE</x:v>
      </x:c>
      <x:c r="S83" s="63" t="str">
        <x:v>Syn Bank transaction and relationship simulation</x:v>
      </x:c>
      <x:c r="T83" s="63"/>
      <x:c r="U83" s="63" t="str">
        <x:v>internal://syn-bank/simulation/ltm</x:v>
      </x:c>
      <x:c r="V83" s="63" t="str">
        <x:v>630f29eabf4bae64e9f4744de3774932c265bebcec5ed45d04de0cf29ebb0a75</x:v>
      </x:c>
    </x:row>
    <x:row r="84">
      <x:c r="A84" s="63" t="str">
        <x:v>bec:E02:obs:currency-pair:0</x:v>
      </x:c>
      <x:c r="B84" s="63" t="str">
        <x:v>E02</x:v>
      </x:c>
      <x:c r="C84" s="63" t="str">
        <x:v>bank_observed_currency_pair</x:v>
      </x:c>
      <x:c r="D84" s="63" t="str">
        <x:v>CATEGORICAL</x:v>
      </x:c>
      <x:c r="E84" s="63" t="str">
        <x:v>OBSERVED</x:v>
      </x:c>
      <x:c r="F84" s="65"/>
      <x:c r="G84" s="66"/>
      <x:c r="H84" s="67"/>
      <x:c r="I84" s="63" t="str">
        <x:v>USD/ZAR</x:v>
      </x:c>
      <x:c r="J84" s="63"/>
      <x:c r="K84" s="63" t="str">
        <x:v>currency_pair</x:v>
      </x:c>
      <x:c r="L84" s="63" t="str">
        <x:v>2025-06-01</x:v>
      </x:c>
      <x:c r="M84" s="63" t="str">
        <x:v>2026-06-30</x:v>
      </x:c>
      <x:c r="N84" s="63" t="str">
        <x:v>2026-06-30</x:v>
      </x:c>
      <x:c r="O84" s="63" t="str">
        <x:v>E0</x:v>
      </x:c>
      <x:c r="P84" s="63" t="str">
        <x:v>APPROVED</x:v>
      </x:c>
      <x:c r="Q84" s="64" t="b">
        <x:v>0</x:v>
      </x:c>
      <x:c r="R84" s="63" t="str">
        <x:v>CURRENCY_AND_COMMODITY_EXPOSURE</x:v>
      </x:c>
      <x:c r="S84" s="63" t="str">
        <x:v>Syn Bank transaction and relationship simulation</x:v>
      </x:c>
      <x:c r="T84" s="63"/>
      <x:c r="U84" s="63" t="str">
        <x:v>internal://syn-bank/simulation/ltm</x:v>
      </x:c>
      <x:c r="V84" s="63" t="str">
        <x:v>f80e22b07794b579dbe8557415d30bb4448720f46644c09a3d6b65f141bf18e1</x:v>
      </x:c>
    </x:row>
    <x:row r="85">
      <x:c r="A85" s="63" t="str">
        <x:v>bec:E02:obs:currency:1</x:v>
      </x:c>
      <x:c r="B85" s="63" t="str">
        <x:v>E02</x:v>
      </x:c>
      <x:c r="C85" s="63" t="str">
        <x:v>bank_observed_currency_pair_value</x:v>
      </x:c>
      <x:c r="D85" s="63" t="str">
        <x:v>MONEY</x:v>
      </x:c>
      <x:c r="E85" s="63" t="str">
        <x:v>OBSERVED</x:v>
      </x:c>
      <x:c r="F85" s="65" t="n">
        <x:v>1420259005.2399986</x:v>
      </x:c>
      <x:c r="G85" s="66"/>
      <x:c r="H85" s="67"/>
      <x:c r="I85" s="63"/>
      <x:c r="J85" s="63" t="str">
        <x:v>ZAR</x:v>
      </x:c>
      <x:c r="K85" s="63" t="str">
        <x:v>ZAR</x:v>
      </x:c>
      <x:c r="L85" s="63" t="str">
        <x:v>2025-06-01</x:v>
      </x:c>
      <x:c r="M85" s="63" t="str">
        <x:v>2026-06-30</x:v>
      </x:c>
      <x:c r="N85" s="63" t="str">
        <x:v>2026-06-30</x:v>
      </x:c>
      <x:c r="O85" s="63" t="str">
        <x:v>E0</x:v>
      </x:c>
      <x:c r="P85" s="63" t="str">
        <x:v>APPROVED</x:v>
      </x:c>
      <x:c r="Q85" s="64" t="b">
        <x:v>0</x:v>
      </x:c>
      <x:c r="R85" s="63" t="str">
        <x:v>CURRENCY_AND_COMMODITY_EXPOSURE</x:v>
      </x:c>
      <x:c r="S85" s="63" t="str">
        <x:v>Syn Bank transaction and relationship simulation</x:v>
      </x:c>
      <x:c r="T85" s="63"/>
      <x:c r="U85" s="63" t="str">
        <x:v>internal://syn-bank/simulation/ltm</x:v>
      </x:c>
      <x:c r="V85" s="63" t="str">
        <x:v>73758388dae8b5e831e929173ef48d4ddfd3f95d8ed2acbae728dbe34a2af5f7</x:v>
      </x:c>
    </x:row>
    <x:row r="86">
      <x:c r="A86" s="63" t="str">
        <x:v>bec:E02:obs:currency-pair:1</x:v>
      </x:c>
      <x:c r="B86" s="63" t="str">
        <x:v>E02</x:v>
      </x:c>
      <x:c r="C86" s="63" t="str">
        <x:v>bank_observed_currency_pair</x:v>
      </x:c>
      <x:c r="D86" s="63" t="str">
        <x:v>CATEGORICAL</x:v>
      </x:c>
      <x:c r="E86" s="63" t="str">
        <x:v>OBSERVED</x:v>
      </x:c>
      <x:c r="F86" s="65"/>
      <x:c r="G86" s="66"/>
      <x:c r="H86" s="67"/>
      <x:c r="I86" s="63" t="str">
        <x:v>AED/ZAR</x:v>
      </x:c>
      <x:c r="J86" s="63"/>
      <x:c r="K86" s="63" t="str">
        <x:v>currency_pair</x:v>
      </x:c>
      <x:c r="L86" s="63" t="str">
        <x:v>2025-06-01</x:v>
      </x:c>
      <x:c r="M86" s="63" t="str">
        <x:v>2026-06-30</x:v>
      </x:c>
      <x:c r="N86" s="63" t="str">
        <x:v>2026-06-30</x:v>
      </x:c>
      <x:c r="O86" s="63" t="str">
        <x:v>E0</x:v>
      </x:c>
      <x:c r="P86" s="63" t="str">
        <x:v>APPROVED</x:v>
      </x:c>
      <x:c r="Q86" s="64" t="b">
        <x:v>0</x:v>
      </x:c>
      <x:c r="R86" s="63" t="str">
        <x:v>CURRENCY_AND_COMMODITY_EXPOSURE</x:v>
      </x:c>
      <x:c r="S86" s="63" t="str">
        <x:v>Syn Bank transaction and relationship simulation</x:v>
      </x:c>
      <x:c r="T86" s="63"/>
      <x:c r="U86" s="63" t="str">
        <x:v>internal://syn-bank/simulation/ltm</x:v>
      </x:c>
      <x:c r="V86" s="63" t="str">
        <x:v>bd97495931317cc56174044c0521882cf50d74781614112aad3ec89aad46d6b0</x:v>
      </x:c>
    </x:row>
    <x:row r="87">
      <x:c r="A87" s="63" t="str">
        <x:v>bec:E02:obs:currency:2</x:v>
      </x:c>
      <x:c r="B87" s="63" t="str">
        <x:v>E02</x:v>
      </x:c>
      <x:c r="C87" s="63" t="str">
        <x:v>bank_observed_currency_pair_value</x:v>
      </x:c>
      <x:c r="D87" s="63" t="str">
        <x:v>MONEY</x:v>
      </x:c>
      <x:c r="E87" s="63" t="str">
        <x:v>OBSERVED</x:v>
      </x:c>
      <x:c r="F87" s="65" t="n">
        <x:v>1389585318.2000003</x:v>
      </x:c>
      <x:c r="G87" s="66"/>
      <x:c r="H87" s="67"/>
      <x:c r="I87" s="63"/>
      <x:c r="J87" s="63" t="str">
        <x:v>ZAR</x:v>
      </x:c>
      <x:c r="K87" s="63" t="str">
        <x:v>ZAR</x:v>
      </x:c>
      <x:c r="L87" s="63" t="str">
        <x:v>2025-06-01</x:v>
      </x:c>
      <x:c r="M87" s="63" t="str">
        <x:v>2026-06-30</x:v>
      </x:c>
      <x:c r="N87" s="63" t="str">
        <x:v>2026-06-30</x:v>
      </x:c>
      <x:c r="O87" s="63" t="str">
        <x:v>E0</x:v>
      </x:c>
      <x:c r="P87" s="63" t="str">
        <x:v>APPROVED</x:v>
      </x:c>
      <x:c r="Q87" s="64" t="b">
        <x:v>0</x:v>
      </x:c>
      <x:c r="R87" s="63" t="str">
        <x:v>CURRENCY_AND_COMMODITY_EXPOSURE</x:v>
      </x:c>
      <x:c r="S87" s="63" t="str">
        <x:v>Syn Bank transaction and relationship simulation</x:v>
      </x:c>
      <x:c r="T87" s="63"/>
      <x:c r="U87" s="63" t="str">
        <x:v>internal://syn-bank/simulation/ltm</x:v>
      </x:c>
      <x:c r="V87" s="63" t="str">
        <x:v>829ab8b1118ef55a8d4719e04748a7a59c69c15311cc15195251ba515fbea4e3</x:v>
      </x:c>
    </x:row>
    <x:row r="88">
      <x:c r="A88" s="63" t="str">
        <x:v>bec:E02:obs:currency-pair:2</x:v>
      </x:c>
      <x:c r="B88" s="63" t="str">
        <x:v>E02</x:v>
      </x:c>
      <x:c r="C88" s="63" t="str">
        <x:v>bank_observed_currency_pair</x:v>
      </x:c>
      <x:c r="D88" s="63" t="str">
        <x:v>CATEGORICAL</x:v>
      </x:c>
      <x:c r="E88" s="63" t="str">
        <x:v>OBSERVED</x:v>
      </x:c>
      <x:c r="F88" s="65"/>
      <x:c r="G88" s="66"/>
      <x:c r="H88" s="67"/>
      <x:c r="I88" s="63" t="str">
        <x:v>CNY/ZAR</x:v>
      </x:c>
      <x:c r="J88" s="63"/>
      <x:c r="K88" s="63" t="str">
        <x:v>currency_pair</x:v>
      </x:c>
      <x:c r="L88" s="63" t="str">
        <x:v>2025-06-01</x:v>
      </x:c>
      <x:c r="M88" s="63" t="str">
        <x:v>2026-06-30</x:v>
      </x:c>
      <x:c r="N88" s="63" t="str">
        <x:v>2026-06-30</x:v>
      </x:c>
      <x:c r="O88" s="63" t="str">
        <x:v>E0</x:v>
      </x:c>
      <x:c r="P88" s="63" t="str">
        <x:v>APPROVED</x:v>
      </x:c>
      <x:c r="Q88" s="64" t="b">
        <x:v>0</x:v>
      </x:c>
      <x:c r="R88" s="63" t="str">
        <x:v>CURRENCY_AND_COMMODITY_EXPOSURE</x:v>
      </x:c>
      <x:c r="S88" s="63" t="str">
        <x:v>Syn Bank transaction and relationship simulation</x:v>
      </x:c>
      <x:c r="T88" s="63"/>
      <x:c r="U88" s="63" t="str">
        <x:v>internal://syn-bank/simulation/ltm</x:v>
      </x:c>
      <x:c r="V88" s="63" t="str">
        <x:v>141b581ff4ea4b8d3ab70bb41a919a2957b0cc8a688298d2ce7d5dcca6b693fe</x:v>
      </x:c>
    </x:row>
    <x:row r="89">
      <x:c r="A89" s="63" t="str">
        <x:v>bec:E02:obs:country-count</x:v>
      </x:c>
      <x:c r="B89" s="63" t="str">
        <x:v>E02</x:v>
      </x:c>
      <x:c r="C89" s="63" t="str">
        <x:v>bank_observed_active_country_count</x:v>
      </x:c>
      <x:c r="D89" s="63" t="str">
        <x:v>COUNT</x:v>
      </x:c>
      <x:c r="E89" s="63" t="str">
        <x:v>OBSERVED</x:v>
      </x:c>
      <x:c r="F89" s="65"/>
      <x:c r="G89" s="66"/>
      <x:c r="H89" s="67" t="n">
        <x:v>15</x:v>
      </x:c>
      <x:c r="I89" s="63"/>
      <x:c r="J89" s="63"/>
      <x:c r="K89" s="63" t="str">
        <x:v>countries</x:v>
      </x:c>
      <x:c r="L89" s="63" t="str">
        <x:v>2025-06-01</x:v>
      </x:c>
      <x:c r="M89" s="63" t="str">
        <x:v>2026-06-30</x:v>
      </x:c>
      <x:c r="N89" s="63" t="str">
        <x:v>2026-06-30</x:v>
      </x:c>
      <x:c r="O89" s="63" t="str">
        <x:v>E0</x:v>
      </x:c>
      <x:c r="P89" s="63" t="str">
        <x:v>APPROVED</x:v>
      </x:c>
      <x:c r="Q89" s="64" t="b">
        <x:v>1</x:v>
      </x:c>
      <x:c r="R89" s="63" t="str">
        <x:v>GEOGRAPHIC_EXPOSURE</x:v>
      </x:c>
      <x:c r="S89" s="63" t="str">
        <x:v>Syn Bank transaction and relationship simulation</x:v>
      </x:c>
      <x:c r="T89" s="63"/>
      <x:c r="U89" s="63" t="str">
        <x:v>internal://syn-bank/simulation/ltm</x:v>
      </x:c>
      <x:c r="V89" s="63" t="str">
        <x:v>34c08b96ce616c3cd3d844d5a08c296655776d2eb0f07fec5a9427e6157f9182</x:v>
      </x:c>
    </x:row>
    <x:row r="90">
      <x:c r="A90" s="63" t="str">
        <x:v>bec:E02:obs:relationship-breadth</x:v>
      </x:c>
      <x:c r="B90" s="63" t="str">
        <x:v>E02</x:v>
      </x:c>
      <x:c r="C90" s="63" t="str">
        <x:v>bank_observed_product_relationship_breadth</x:v>
      </x:c>
      <x:c r="D90" s="63" t="str">
        <x:v>COUNT</x:v>
      </x:c>
      <x:c r="E90" s="63" t="str">
        <x:v>OBSERVED</x:v>
      </x:c>
      <x:c r="F90" s="65"/>
      <x:c r="G90" s="66"/>
      <x:c r="H90" s="67" t="n">
        <x:v>5</x:v>
      </x:c>
      <x:c r="I90" s="63"/>
      <x:c r="J90" s="63"/>
      <x:c r="K90" s="63" t="str">
        <x:v>products</x:v>
      </x:c>
      <x:c r="L90" s="63" t="str">
        <x:v>2025-06-01</x:v>
      </x:c>
      <x:c r="M90" s="63" t="str">
        <x:v>2026-06-30</x:v>
      </x:c>
      <x:c r="N90" s="63" t="str">
        <x:v>2026-06-30</x:v>
      </x:c>
      <x:c r="O90" s="63" t="str">
        <x:v>E0</x:v>
      </x:c>
      <x:c r="P90" s="63" t="str">
        <x:v>APPROVED</x:v>
      </x:c>
      <x:c r="Q90" s="64" t="b">
        <x:v>1</x:v>
      </x:c>
      <x:c r="R90" s="63" t="str">
        <x:v>OPERATING_MODEL</x:v>
      </x:c>
      <x:c r="S90" s="63" t="str">
        <x:v>Syn Bank transaction and relationship simulation</x:v>
      </x:c>
      <x:c r="T90" s="63"/>
      <x:c r="U90" s="63" t="str">
        <x:v>internal://syn-bank/simulation/ltm</x:v>
      </x:c>
      <x:c r="V90" s="63" t="str">
        <x:v>cd047079cbe1353029bc23e6f8a72b204b5010090217a1660ae19af34610078c</x:v>
      </x:c>
    </x:row>
    <x:row r="91">
      <x:c r="A91" s="63" t="str">
        <x:v>bec:E02:obs:latent:operating_scale</x:v>
      </x:c>
      <x:c r="B91" s="63" t="str">
        <x:v>E02</x:v>
      </x:c>
      <x:c r="C91" s="63" t="str">
        <x:v>bank_observed_operating_scale_index</x:v>
      </x:c>
      <x:c r="D91" s="63" t="str">
        <x:v>RATIO</x:v>
      </x:c>
      <x:c r="E91" s="63" t="str">
        <x:v>OBSERVED</x:v>
      </x:c>
      <x:c r="F91" s="65"/>
      <x:c r="G91" s="66" t="n">
        <x:v>0.65</x:v>
      </x:c>
      <x:c r="H91" s="67"/>
      <x:c r="I91" s="63"/>
      <x:c r="J91" s="63"/>
      <x:c r="K91" s="63" t="str">
        <x:v>index_0_1</x:v>
      </x:c>
      <x:c r="L91" s="63" t="str">
        <x:v>2025-06-01</x:v>
      </x:c>
      <x:c r="M91" s="63" t="str">
        <x:v>2026-06-30</x:v>
      </x:c>
      <x:c r="N91" s="63" t="str">
        <x:v>2026-06-30</x:v>
      </x:c>
      <x:c r="O91" s="63" t="str">
        <x:v>E0</x:v>
      </x:c>
      <x:c r="P91" s="63" t="str">
        <x:v>APPROVED</x:v>
      </x:c>
      <x:c r="Q91" s="64" t="b">
        <x:v>0</x:v>
      </x:c>
      <x:c r="R91" s="63" t="str">
        <x:v>OPERATING_MODEL</x:v>
      </x:c>
      <x:c r="S91" s="63" t="str">
        <x:v>Syn Bank transaction and relationship simulation</x:v>
      </x:c>
      <x:c r="T91" s="63"/>
      <x:c r="U91" s="63" t="str">
        <x:v>internal://syn-bank/simulation/ltm</x:v>
      </x:c>
      <x:c r="V91" s="63" t="str">
        <x:v>39cdea894c8d2c08801394358ea6964c53ce559bedec6a08c02ae56a764d98b2</x:v>
      </x:c>
    </x:row>
    <x:row r="92">
      <x:c r="A92" s="63" t="str">
        <x:v>bec:E02:obs:latent:working_capital_intensity</x:v>
      </x:c>
      <x:c r="B92" s="63" t="str">
        <x:v>E02</x:v>
      </x:c>
      <x:c r="C92" s="63" t="str">
        <x:v>bank_observed_working_capital_intensity_index</x:v>
      </x:c>
      <x:c r="D92" s="63" t="str">
        <x:v>RATIO</x:v>
      </x:c>
      <x:c r="E92" s="63" t="str">
        <x:v>OBSERVED</x:v>
      </x:c>
      <x:c r="F92" s="65"/>
      <x:c r="G92" s="66" t="n">
        <x:v>0.56</x:v>
      </x:c>
      <x:c r="H92" s="67"/>
      <x:c r="I92" s="63"/>
      <x:c r="J92" s="63"/>
      <x:c r="K92" s="63" t="str">
        <x:v>index_0_1</x:v>
      </x:c>
      <x:c r="L92" s="63" t="str">
        <x:v>2025-06-01</x:v>
      </x:c>
      <x:c r="M92" s="63" t="str">
        <x:v>2026-06-30</x:v>
      </x:c>
      <x:c r="N92" s="63" t="str">
        <x:v>2026-06-30</x:v>
      </x:c>
      <x:c r="O92" s="63" t="str">
        <x:v>E0</x:v>
      </x:c>
      <x:c r="P92" s="63" t="str">
        <x:v>APPROVED</x:v>
      </x:c>
      <x:c r="Q92" s="64" t="b">
        <x:v>0</x:v>
      </x:c>
      <x:c r="R92" s="63" t="str">
        <x:v>WORKING_CAPITAL_CYCLE</x:v>
      </x:c>
      <x:c r="S92" s="63" t="str">
        <x:v>Syn Bank transaction and relationship simulation</x:v>
      </x:c>
      <x:c r="T92" s="63"/>
      <x:c r="U92" s="63" t="str">
        <x:v>internal://syn-bank/simulation/ltm</x:v>
      </x:c>
      <x:c r="V92" s="63" t="str">
        <x:v>7a3011a3ed5a18ffd9a6df7933cea8ae83d0cf93dfe653a0d783c3dd42c79b93</x:v>
      </x:c>
    </x:row>
    <x:row r="93">
      <x:c r="A93" s="63" t="str">
        <x:v>bec:E02:obs:latent:liquidity_volatility</x:v>
      </x:c>
      <x:c r="B93" s="63" t="str">
        <x:v>E02</x:v>
      </x:c>
      <x:c r="C93" s="63" t="str">
        <x:v>bank_observed_liquidity_volatility_index</x:v>
      </x:c>
      <x:c r="D93" s="63" t="str">
        <x:v>RATIO</x:v>
      </x:c>
      <x:c r="E93" s="63" t="str">
        <x:v>OBSERVED</x:v>
      </x:c>
      <x:c r="F93" s="65"/>
      <x:c r="G93" s="66" t="n">
        <x:v>0.1</x:v>
      </x:c>
      <x:c r="H93" s="67"/>
      <x:c r="I93" s="63"/>
      <x:c r="J93" s="63"/>
      <x:c r="K93" s="63" t="str">
        <x:v>index_0_1</x:v>
      </x:c>
      <x:c r="L93" s="63" t="str">
        <x:v>2025-06-01</x:v>
      </x:c>
      <x:c r="M93" s="63" t="str">
        <x:v>2026-06-30</x:v>
      </x:c>
      <x:c r="N93" s="63" t="str">
        <x:v>2026-06-30</x:v>
      </x:c>
      <x:c r="O93" s="63" t="str">
        <x:v>E0</x:v>
      </x:c>
      <x:c r="P93" s="63" t="str">
        <x:v>APPROVED</x:v>
      </x:c>
      <x:c r="Q93" s="64" t="b">
        <x:v>0</x:v>
      </x:c>
      <x:c r="R93" s="63" t="str">
        <x:v>LIQUIDITY_AND_BUFFER</x:v>
      </x:c>
      <x:c r="S93" s="63" t="str">
        <x:v>Syn Bank transaction and relationship simulation</x:v>
      </x:c>
      <x:c r="T93" s="63"/>
      <x:c r="U93" s="63" t="str">
        <x:v>internal://syn-bank/simulation/ltm</x:v>
      </x:c>
      <x:c r="V93" s="63" t="str">
        <x:v>a6bd9373faf4b2ee8632d7e33c8f925f32ac9d8a643568b17e24595a2663aa79</x:v>
      </x:c>
    </x:row>
    <x:row r="94">
      <x:c r="A94" s="63" t="str">
        <x:v>bec:E02:obs:latent:international_exposure</x:v>
      </x:c>
      <x:c r="B94" s="63" t="str">
        <x:v>E02</x:v>
      </x:c>
      <x:c r="C94" s="63" t="str">
        <x:v>bank_observed_international_exposure_index</x:v>
      </x:c>
      <x:c r="D94" s="63" t="str">
        <x:v>RATIO</x:v>
      </x:c>
      <x:c r="E94" s="63" t="str">
        <x:v>OBSERVED</x:v>
      </x:c>
      <x:c r="F94" s="65"/>
      <x:c r="G94" s="66" t="n">
        <x:v>0.44</x:v>
      </x:c>
      <x:c r="H94" s="67"/>
      <x:c r="I94" s="63"/>
      <x:c r="J94" s="63"/>
      <x:c r="K94" s="63" t="str">
        <x:v>index_0_1</x:v>
      </x:c>
      <x:c r="L94" s="63" t="str">
        <x:v>2025-06-01</x:v>
      </x:c>
      <x:c r="M94" s="63" t="str">
        <x:v>2026-06-30</x:v>
      </x:c>
      <x:c r="N94" s="63" t="str">
        <x:v>2026-06-30</x:v>
      </x:c>
      <x:c r="O94" s="63" t="str">
        <x:v>E0</x:v>
      </x:c>
      <x:c r="P94" s="63" t="str">
        <x:v>APPROVED</x:v>
      </x:c>
      <x:c r="Q94" s="64" t="b">
        <x:v>0</x:v>
      </x:c>
      <x:c r="R94" s="63" t="str">
        <x:v>GEOGRAPHIC_EXPOSURE</x:v>
      </x:c>
      <x:c r="S94" s="63" t="str">
        <x:v>Syn Bank transaction and relationship simulation</x:v>
      </x:c>
      <x:c r="T94" s="63"/>
      <x:c r="U94" s="63" t="str">
        <x:v>internal://syn-bank/simulation/ltm</x:v>
      </x:c>
      <x:c r="V94" s="63" t="str">
        <x:v>bbc719172755ec049c4e0c6d91a4933670e68e60483596a2bbb8272ddb8752d8</x:v>
      </x:c>
    </x:row>
    <x:row r="95">
      <x:c r="A95" s="63" t="str">
        <x:v>bec:E02:obs:latent:financing_need</x:v>
      </x:c>
      <x:c r="B95" s="63" t="str">
        <x:v>E02</x:v>
      </x:c>
      <x:c r="C95" s="63" t="str">
        <x:v>bank_observed_financing_need_index</x:v>
      </x:c>
      <x:c r="D95" s="63" t="str">
        <x:v>RATIO</x:v>
      </x:c>
      <x:c r="E95" s="63" t="str">
        <x:v>OBSERVED</x:v>
      </x:c>
      <x:c r="F95" s="65"/>
      <x:c r="G95" s="66" t="n">
        <x:v>1</x:v>
      </x:c>
      <x:c r="H95" s="67"/>
      <x:c r="I95" s="63"/>
      <x:c r="J95" s="63"/>
      <x:c r="K95" s="63" t="str">
        <x:v>index_0_1</x:v>
      </x:c>
      <x:c r="L95" s="63" t="str">
        <x:v>2025-06-01</x:v>
      </x:c>
      <x:c r="M95" s="63" t="str">
        <x:v>2026-06-30</x:v>
      </x:c>
      <x:c r="N95" s="63" t="str">
        <x:v>2026-06-30</x:v>
      </x:c>
      <x:c r="O95" s="63" t="str">
        <x:v>E0</x:v>
      </x:c>
      <x:c r="P95" s="63" t="str">
        <x:v>APPROVED</x:v>
      </x:c>
      <x:c r="Q95" s="64" t="b">
        <x:v>0</x:v>
      </x:c>
      <x:c r="R95" s="63" t="str">
        <x:v>FUNDING_STRUCTURE</x:v>
      </x:c>
      <x:c r="S95" s="63" t="str">
        <x:v>Syn Bank transaction and relationship simulation</x:v>
      </x:c>
      <x:c r="T95" s="63"/>
      <x:c r="U95" s="63" t="str">
        <x:v>internal://syn-bank/simulation/ltm</x:v>
      </x:c>
      <x:c r="V95" s="63" t="str">
        <x:v>e9c332ff44c7bbf2396f8abd96ef3cd3fee9447906c3fae912b2be465a3741a9</x:v>
      </x:c>
    </x:row>
    <x:row r="96">
      <x:c r="A96" s="63" t="str">
        <x:v>bec:E02:obs:latent:event_intensity</x:v>
      </x:c>
      <x:c r="B96" s="63" t="str">
        <x:v>E02</x:v>
      </x:c>
      <x:c r="C96" s="63" t="str">
        <x:v>bank_observed_event_intensity_index</x:v>
      </x:c>
      <x:c r="D96" s="63" t="str">
        <x:v>RATIO</x:v>
      </x:c>
      <x:c r="E96" s="63" t="str">
        <x:v>OBSERVED</x:v>
      </x:c>
      <x:c r="F96" s="65"/>
      <x:c r="G96" s="66" t="n">
        <x:v>1</x:v>
      </x:c>
      <x:c r="H96" s="67"/>
      <x:c r="I96" s="63"/>
      <x:c r="J96" s="63"/>
      <x:c r="K96" s="63" t="str">
        <x:v>index_0_1</x:v>
      </x:c>
      <x:c r="L96" s="63" t="str">
        <x:v>2025-06-01</x:v>
      </x:c>
      <x:c r="M96" s="63" t="str">
        <x:v>2026-06-30</x:v>
      </x:c>
      <x:c r="N96" s="63" t="str">
        <x:v>2026-06-30</x:v>
      </x:c>
      <x:c r="O96" s="63" t="str">
        <x:v>E0</x:v>
      </x:c>
      <x:c r="P96" s="63" t="str">
        <x:v>APPROVED</x:v>
      </x:c>
      <x:c r="Q96" s="64" t="b">
        <x:v>0</x:v>
      </x:c>
      <x:c r="R96" s="63" t="str">
        <x:v>STRATEGY_ACTIONS_AND_ESG</x:v>
      </x:c>
      <x:c r="S96" s="63" t="str">
        <x:v>Syn Bank transaction and relationship simulation</x:v>
      </x:c>
      <x:c r="T96" s="63"/>
      <x:c r="U96" s="63" t="str">
        <x:v>internal://syn-bank/simulation/ltm</x:v>
      </x:c>
      <x:c r="V96" s="63" t="str">
        <x:v>b74e6bc2b1db0dacfea6c3a6af6bd949c644f31f109881d4f68cc518d2c806b4</x:v>
      </x:c>
    </x:row>
    <x:row r="97">
      <x:c r="A97" s="63" t="str">
        <x:v>bec:E02:obs:latent:relationship_complexity</x:v>
      </x:c>
      <x:c r="B97" s="63" t="str">
        <x:v>E02</x:v>
      </x:c>
      <x:c r="C97" s="63" t="str">
        <x:v>bank_observed_relationship_complexity_index</x:v>
      </x:c>
      <x:c r="D97" s="63" t="str">
        <x:v>RATIO</x:v>
      </x:c>
      <x:c r="E97" s="63" t="str">
        <x:v>OBSERVED</x:v>
      </x:c>
      <x:c r="F97" s="65"/>
      <x:c r="G97" s="66" t="n">
        <x:v>1</x:v>
      </x:c>
      <x:c r="H97" s="67"/>
      <x:c r="I97" s="63"/>
      <x:c r="J97" s="63"/>
      <x:c r="K97" s="63" t="str">
        <x:v>index_0_1</x:v>
      </x:c>
      <x:c r="L97" s="63" t="str">
        <x:v>2025-06-01</x:v>
      </x:c>
      <x:c r="M97" s="63" t="str">
        <x:v>2026-06-30</x:v>
      </x:c>
      <x:c r="N97" s="63" t="str">
        <x:v>2026-06-30</x:v>
      </x:c>
      <x:c r="O97" s="63" t="str">
        <x:v>E0</x:v>
      </x:c>
      <x:c r="P97" s="63" t="str">
        <x:v>APPROVED</x:v>
      </x:c>
      <x:c r="Q97" s="64" t="b">
        <x:v>0</x:v>
      </x:c>
      <x:c r="R97" s="63" t="str">
        <x:v>OPERATING_MODEL</x:v>
      </x:c>
      <x:c r="S97" s="63" t="str">
        <x:v>Syn Bank transaction and relationship simulation</x:v>
      </x:c>
      <x:c r="T97" s="63"/>
      <x:c r="U97" s="63" t="str">
        <x:v>internal://syn-bank/simulation/ltm</x:v>
      </x:c>
      <x:c r="V97" s="63" t="str">
        <x:v>c0a6416644eea6bc36139e75120687aa471cb03c17dc795363ceccf856665da6</x:v>
      </x:c>
    </x:row>
    <x:row r="98">
      <x:c r="A98" s="63" t="str">
        <x:v>bec:E02:obs:events:trade-90d</x:v>
      </x:c>
      <x:c r="B98" s="63" t="str">
        <x:v>E02</x:v>
      </x:c>
      <x:c r="C98" s="63" t="str">
        <x:v>bank_observed_trade_events_next_90d</x:v>
      </x:c>
      <x:c r="D98" s="63" t="str">
        <x:v>COUNT</x:v>
      </x:c>
      <x:c r="E98" s="63" t="str">
        <x:v>OBSERVED</x:v>
      </x:c>
      <x:c r="F98" s="65"/>
      <x:c r="G98" s="66"/>
      <x:c r="H98" s="67" t="n">
        <x:v>48</x:v>
      </x:c>
      <x:c r="I98" s="63"/>
      <x:c r="J98" s="63"/>
      <x:c r="K98" s="63" t="str">
        <x:v>events</x:v>
      </x:c>
      <x:c r="L98" s="63" t="str">
        <x:v>2025-06-01</x:v>
      </x:c>
      <x:c r="M98" s="63" t="str">
        <x:v>2026-06-30</x:v>
      </x:c>
      <x:c r="N98" s="63" t="str">
        <x:v>2026-06-30</x:v>
      </x:c>
      <x:c r="O98" s="63" t="str">
        <x:v>E0</x:v>
      </x:c>
      <x:c r="P98" s="63" t="str">
        <x:v>APPROVED</x:v>
      </x:c>
      <x:c r="Q98" s="64" t="b">
        <x:v>1</x:v>
      </x:c>
      <x:c r="R98" s="63" t="str">
        <x:v>OPERATING_MODEL, WORKING_CAPITAL_CYCLE</x:v>
      </x:c>
      <x:c r="S98" s="63" t="str">
        <x:v>Syn Bank transaction and relationship simulation</x:v>
      </x:c>
      <x:c r="T98" s="63"/>
      <x:c r="U98" s="63" t="str">
        <x:v>internal://syn-bank/simulation/ltm</x:v>
      </x:c>
      <x:c r="V98" s="63" t="str">
        <x:v>fb8575a10e8935b912e3ff6a38c073271029d7075342abef0e4f68448cfdf852</x:v>
      </x:c>
    </x:row>
    <x:row r="99">
      <x:c r="A99" s="63" t="str">
        <x:v>bec:E02:obs:events:trade-90d-value</x:v>
      </x:c>
      <x:c r="B99" s="63" t="str">
        <x:v>E02</x:v>
      </x:c>
      <x:c r="C99" s="63" t="str">
        <x:v>bank_observed_trade_events_value_next_90d</x:v>
      </x:c>
      <x:c r="D99" s="63" t="str">
        <x:v>MONEY</x:v>
      </x:c>
      <x:c r="E99" s="63" t="str">
        <x:v>OBSERVED</x:v>
      </x:c>
      <x:c r="F99" s="65" t="n">
        <x:v>199079093.61000004</x:v>
      </x:c>
      <x:c r="G99" s="66"/>
      <x:c r="H99" s="67"/>
      <x:c r="I99" s="63"/>
      <x:c r="J99" s="63" t="str">
        <x:v>ZAR</x:v>
      </x:c>
      <x:c r="K99" s="63" t="str">
        <x:v>ZAR</x:v>
      </x:c>
      <x:c r="L99" s="63" t="str">
        <x:v>2025-06-01</x:v>
      </x:c>
      <x:c r="M99" s="63" t="str">
        <x:v>2026-06-30</x:v>
      </x:c>
      <x:c r="N99" s="63" t="str">
        <x:v>2026-06-30</x:v>
      </x:c>
      <x:c r="O99" s="63" t="str">
        <x:v>E0</x:v>
      </x:c>
      <x:c r="P99" s="63" t="str">
        <x:v>APPROVED</x:v>
      </x:c>
      <x:c r="Q99" s="64" t="b">
        <x:v>0</x:v>
      </x:c>
      <x:c r="R99" s="63" t="str">
        <x:v>WORKING_CAPITAL_CYCLE</x:v>
      </x:c>
      <x:c r="S99" s="63" t="str">
        <x:v>Syn Bank transaction and relationship simulation</x:v>
      </x:c>
      <x:c r="T99" s="63"/>
      <x:c r="U99" s="63" t="str">
        <x:v>internal://syn-bank/simulation/ltm</x:v>
      </x:c>
      <x:c r="V99" s="63" t="str">
        <x:v>89eae7eb03545196c5ed42606439cd3339ac998d6239d1f7acc6912ac841dd7c</x:v>
      </x:c>
    </x:row>
    <x:row r="100">
      <x:c r="A100" s="63" t="str">
        <x:v>bec:E02:maturity:current-debt</x:v>
      </x:c>
      <x:c r="B100" s="63" t="str">
        <x:v>E02</x:v>
      </x:c>
      <x:c r="C100" s="63" t="str">
        <x:v>current_debt_maturity_window</x:v>
      </x:c>
      <x:c r="D100" s="63" t="str">
        <x:v>DATE_OR_MATURITY</x:v>
      </x:c>
      <x:c r="E100" s="63" t="str">
        <x:v>IDENTIFIED_BOUND</x:v>
      </x:c>
      <x:c r="F100" s="65" t="n">
        <x:v>258862840000</x:v>
      </x:c>
      <x:c r="G100" s="66"/>
      <x:c r="H100" s="67"/>
      <x:c r="I100" s="63" t="str">
        <x:v>2025-12-31</x:v>
      </x:c>
      <x:c r="J100" s="63" t="str">
        <x:v>ZAR</x:v>
      </x:c>
      <x:c r="K100" s="63" t="str">
        <x:v>ZAR</x:v>
      </x:c>
      <x:c r="L100" s="63" t="str">
        <x:v>2024-12-01</x:v>
      </x:c>
      <x:c r="M100" s="63" t="str">
        <x:v>2025-12-31</x:v>
      </x:c>
      <x:c r="N100" s="63" t="str">
        <x:v>2026-03-10</x:v>
      </x:c>
      <x:c r="O100" s="63" t="str">
        <x:v>E1</x:v>
      </x:c>
      <x:c r="P100" s="63" t="str">
        <x:v>APPROVED</x:v>
      </x:c>
      <x:c r="Q100" s="64" t="b">
        <x:v>1</x:v>
      </x:c>
      <x:c r="R100" s="63" t="str">
        <x:v>FUNDING_STRUCTURE, LIQUIDITY_AND_BUFFER</x:v>
      </x:c>
      <x:c r="S100" s="63" t="str">
        <x:v>Audited current debt-maturity/refinancing anchor</x:v>
      </x:c>
      <x:c r="T100" s="63" t="n">
        <x:v>138</x:v>
      </x:c>
      <x:c r="U100" s="63" t="str">
        <x:v>https://www.glencore.com/.rest/api/v1/documents/static/9b103e11-72e7-40bf-ae7c-eabe57361522/GLEN-2025-Annual-Report.pdf</x:v>
      </x:c>
      <x:c r="V100" s="63" t="str">
        <x:v>seed-register-hash:GLEN-2025-DEBT</x:v>
      </x:c>
    </x:row>
    <x:row r="101">
      <x:c r="A101" s="63" t="str">
        <x:v>bec:E02:struct:operating-model</x:v>
      </x:c>
      <x:c r="B101" s="63" t="str">
        <x:v>E02</x:v>
      </x:c>
      <x:c r="C101" s="63" t="str">
        <x:v>sector_operating_model</x:v>
      </x:c>
      <x:c r="D101" s="63" t="str">
        <x:v>TEXTUAL</x:v>
      </x:c>
      <x:c r="E101" s="63" t="str">
        <x:v>SCENARIO</x:v>
      </x:c>
      <x:c r="F101" s="65"/>
      <x:c r="G101" s="66"/>
      <x:c r="H101" s="67"/>
      <x:c r="I101" s="63" t="str">
        <x:v>Multi-jurisdiction extractive operator with commodity-linked revenue, long-cycle capex and joint-venture structures.</x:v>
      </x:c>
      <x:c r="J101" s="63"/>
      <x:c r="K101" s="63" t="str">
        <x:v>statement</x:v>
      </x:c>
      <x:c r="L101" s="63" t="str">
        <x:v>2025-06-01</x:v>
      </x:c>
      <x:c r="M101" s="63" t="str">
        <x:v>2026-06-30</x:v>
      </x:c>
      <x:c r="N101" s="63" t="str">
        <x:v>2026-06-30</x:v>
      </x:c>
      <x:c r="O101" s="63" t="str">
        <x:v>E0</x:v>
      </x:c>
      <x:c r="P101" s="63" t="str">
        <x:v>APPROVED</x:v>
      </x:c>
      <x:c r="Q101" s="64" t="b">
        <x:v>0</x:v>
      </x:c>
      <x:c r="R101" s="63" t="str">
        <x:v>OPERATING_MODEL</x:v>
      </x:c>
      <x:c r="S101" s="63" t="str">
        <x:v>Governed sector operating-model and responsibility policy</x:v>
      </x:c>
      <x:c r="T101" s="63"/>
      <x:c r="U101" s="63" t="str">
        <x:v>internal://v31/governed-policy</x:v>
      </x:c>
      <x:c r="V101" s="63" t="str">
        <x:v>f0af3cc29eb4886caf7be76cdc8ab4c2da295a39626f21006ecc78cb4fb193f5</x:v>
      </x:c>
    </x:row>
    <x:row r="102">
      <x:c r="A102" s="63" t="str">
        <x:v>bec:E02:struct:risk:0</x:v>
      </x:c>
      <x:c r="B102" s="63" t="str">
        <x:v>E02</x:v>
      </x:c>
      <x:c r="C102" s="63" t="str">
        <x:v>sector_primary_risk</x:v>
      </x:c>
      <x:c r="D102" s="63" t="str">
        <x:v>CATEGORICAL</x:v>
      </x:c>
      <x:c r="E102" s="63" t="str">
        <x:v>SCENARIO</x:v>
      </x:c>
      <x:c r="F102" s="65"/>
      <x:c r="G102" s="66"/>
      <x:c r="H102" s="67"/>
      <x:c r="I102" s="63" t="str">
        <x:v>commodity price volatility</x:v>
      </x:c>
      <x:c r="J102" s="63"/>
      <x:c r="K102" s="63" t="str">
        <x:v>statement</x:v>
      </x:c>
      <x:c r="L102" s="63" t="str">
        <x:v>2025-06-01</x:v>
      </x:c>
      <x:c r="M102" s="63" t="str">
        <x:v>2026-06-30</x:v>
      </x:c>
      <x:c r="N102" s="63" t="str">
        <x:v>2026-06-30</x:v>
      </x:c>
      <x:c r="O102" s="63" t="str">
        <x:v>E0</x:v>
      </x:c>
      <x:c r="P102" s="63" t="str">
        <x:v>APPROVED</x:v>
      </x:c>
      <x:c r="Q102" s="64" t="b">
        <x:v>0</x:v>
      </x:c>
      <x:c r="R102" s="63" t="str">
        <x:v>BUSINESS_AND_FINANCIAL_RISKS</x:v>
      </x:c>
      <x:c r="S102" s="63" t="str">
        <x:v>Governed sector operating-model and responsibility policy</x:v>
      </x:c>
      <x:c r="T102" s="63"/>
      <x:c r="U102" s="63" t="str">
        <x:v>internal://v31/governed-policy</x:v>
      </x:c>
      <x:c r="V102" s="63" t="str">
        <x:v>0e5ed5f968b521a74af2fd7a6a962c525400e49fa23c7b9c4f0490241f265043</x:v>
      </x:c>
    </x:row>
    <x:row r="103">
      <x:c r="A103" s="63" t="str">
        <x:v>bec:E02:struct:risk:1</x:v>
      </x:c>
      <x:c r="B103" s="63" t="str">
        <x:v>E02</x:v>
      </x:c>
      <x:c r="C103" s="63" t="str">
        <x:v>sector_primary_risk</x:v>
      </x:c>
      <x:c r="D103" s="63" t="str">
        <x:v>CATEGORICAL</x:v>
      </x:c>
      <x:c r="E103" s="63" t="str">
        <x:v>SCENARIO</x:v>
      </x:c>
      <x:c r="F103" s="65"/>
      <x:c r="G103" s="66"/>
      <x:c r="H103" s="67"/>
      <x:c r="I103" s="63" t="str">
        <x:v>jurisdictional and permitting risk</x:v>
      </x:c>
      <x:c r="J103" s="63"/>
      <x:c r="K103" s="63" t="str">
        <x:v>statement</x:v>
      </x:c>
      <x:c r="L103" s="63" t="str">
        <x:v>2025-06-01</x:v>
      </x:c>
      <x:c r="M103" s="63" t="str">
        <x:v>2026-06-30</x:v>
      </x:c>
      <x:c r="N103" s="63" t="str">
        <x:v>2026-06-30</x:v>
      </x:c>
      <x:c r="O103" s="63" t="str">
        <x:v>E0</x:v>
      </x:c>
      <x:c r="P103" s="63" t="str">
        <x:v>APPROVED</x:v>
      </x:c>
      <x:c r="Q103" s="64" t="b">
        <x:v>0</x:v>
      </x:c>
      <x:c r="R103" s="63" t="str">
        <x:v>BUSINESS_AND_FINANCIAL_RISKS</x:v>
      </x:c>
      <x:c r="S103" s="63" t="str">
        <x:v>Governed sector operating-model and responsibility policy</x:v>
      </x:c>
      <x:c r="T103" s="63"/>
      <x:c r="U103" s="63" t="str">
        <x:v>internal://v31/governed-policy</x:v>
      </x:c>
      <x:c r="V103" s="63" t="str">
        <x:v>ac3738d92ffce806b726e2a3fa54cef5d17125c41980354fbda7b1a3a37ba5a3</x:v>
      </x:c>
    </x:row>
    <x:row r="104">
      <x:c r="A104" s="63" t="str">
        <x:v>bec:E02:struct:risk:2</x:v>
      </x:c>
      <x:c r="B104" s="63" t="str">
        <x:v>E02</x:v>
      </x:c>
      <x:c r="C104" s="63" t="str">
        <x:v>sector_primary_risk</x:v>
      </x:c>
      <x:c r="D104" s="63" t="str">
        <x:v>CATEGORICAL</x:v>
      </x:c>
      <x:c r="E104" s="63" t="str">
        <x:v>SCENARIO</x:v>
      </x:c>
      <x:c r="F104" s="65"/>
      <x:c r="G104" s="66"/>
      <x:c r="H104" s="67"/>
      <x:c r="I104" s="63" t="str">
        <x:v>capex overrun</x:v>
      </x:c>
      <x:c r="J104" s="63"/>
      <x:c r="K104" s="63" t="str">
        <x:v>statement</x:v>
      </x:c>
      <x:c r="L104" s="63" t="str">
        <x:v>2025-06-01</x:v>
      </x:c>
      <x:c r="M104" s="63" t="str">
        <x:v>2026-06-30</x:v>
      </x:c>
      <x:c r="N104" s="63" t="str">
        <x:v>2026-06-30</x:v>
      </x:c>
      <x:c r="O104" s="63" t="str">
        <x:v>E0</x:v>
      </x:c>
      <x:c r="P104" s="63" t="str">
        <x:v>APPROVED</x:v>
      </x:c>
      <x:c r="Q104" s="64" t="b">
        <x:v>0</x:v>
      </x:c>
      <x:c r="R104" s="63" t="str">
        <x:v>BUSINESS_AND_FINANCIAL_RISKS</x:v>
      </x:c>
      <x:c r="S104" s="63" t="str">
        <x:v>Governed sector operating-model and responsibility policy</x:v>
      </x:c>
      <x:c r="T104" s="63"/>
      <x:c r="U104" s="63" t="str">
        <x:v>internal://v31/governed-policy</x:v>
      </x:c>
      <x:c r="V104" s="63" t="str">
        <x:v>f9da806d69791f854dedc321dd8a0c4776ad8ff3e437f91471e8a80a1e79fdd1</x:v>
      </x:c>
    </x:row>
    <x:row r="105">
      <x:c r="A105" s="63" t="str">
        <x:v>bec:E02:struct:responsibility-model</x:v>
      </x:c>
      <x:c r="B105" s="63" t="str">
        <x:v>E02</x:v>
      </x:c>
      <x:c r="C105" s="63" t="str">
        <x:v>stakeholder_responsibility_model</x:v>
      </x:c>
      <x:c r="D105" s="63" t="str">
        <x:v>TEXTUAL</x:v>
      </x:c>
      <x:c r="E105" s="63" t="str">
        <x:v>SCENARIO</x:v>
      </x:c>
      <x:c r="F105" s="65"/>
      <x:c r="G105" s="66"/>
      <x:c r="H105" s="67"/>
      <x:c r="I105" s="63" t="str">
        <x:v>Responsibility is assigned by role persona using governed matrix v31-stakeholder-responsibility-3.1.0. Named individuals are not resolved in the demonstration and require CRM entitlement checks in production.</x:v>
      </x:c>
      <x:c r="J105" s="63"/>
      <x:c r="K105" s="63" t="str">
        <x:v>statement</x:v>
      </x:c>
      <x:c r="L105" s="63" t="str">
        <x:v>2025-06-01</x:v>
      </x:c>
      <x:c r="M105" s="63" t="str">
        <x:v>2026-06-30</x:v>
      </x:c>
      <x:c r="N105" s="63" t="str">
        <x:v>2026-06-30</x:v>
      </x:c>
      <x:c r="O105" s="63" t="str">
        <x:v>E0</x:v>
      </x:c>
      <x:c r="P105" s="63" t="str">
        <x:v>APPROVED</x:v>
      </x:c>
      <x:c r="Q105" s="64" t="b">
        <x:v>0</x:v>
      </x:c>
      <x:c r="R105" s="63" t="str">
        <x:v>STAKEHOLDER_RESPONSIBILITY</x:v>
      </x:c>
      <x:c r="S105" s="63" t="str">
        <x:v>Governed sector operating-model and responsibility policy</x:v>
      </x:c>
      <x:c r="T105" s="63"/>
      <x:c r="U105" s="63" t="str">
        <x:v>internal://v31/governed-policy</x:v>
      </x:c>
      <x:c r="V105" s="63" t="str">
        <x:v>8fd35250720a30ebe32e04877e5886d4a032f01c91b24156df6123305735a430</x:v>
      </x:c>
    </x:row>
    <x:row r="106">
      <x:c r="A106" s="63" t="str">
        <x:v>bec:E02:struct:responsibility:fx_exposure</x:v>
      </x:c>
      <x:c r="B106" s="63" t="str">
        <x:v>E02</x:v>
      </x:c>
      <x:c r="C106" s="63" t="str">
        <x:v>problem_role_ownership</x:v>
      </x:c>
      <x:c r="D106" s="63" t="str">
        <x:v>STRUCTURE_RELATIONSHIP</x:v>
      </x:c>
      <x:c r="E106" s="63" t="str">
        <x:v>SCENARIO</x:v>
      </x:c>
      <x:c r="F106" s="65"/>
      <x:c r="G106" s="66"/>
      <x:c r="H106" s="67"/>
      <x:c r="I106" s="63"/>
      <x:c r="J106" s="63"/>
      <x:c r="K106" s="63" t="str">
        <x:v>statement</x:v>
      </x:c>
      <x:c r="L106" s="63" t="str">
        <x:v>2025-06-01</x:v>
      </x:c>
      <x:c r="M106" s="63" t="str">
        <x:v>2026-06-30</x:v>
      </x:c>
      <x:c r="N106" s="63" t="str">
        <x:v>2026-06-30</x:v>
      </x:c>
      <x:c r="O106" s="63" t="str">
        <x:v>E0</x:v>
      </x:c>
      <x:c r="P106" s="63" t="str">
        <x:v>APPROVED</x:v>
      </x:c>
      <x:c r="Q106" s="64" t="b">
        <x:v>0</x:v>
      </x:c>
      <x:c r="R106" s="63" t="str">
        <x:v>STAKEHOLDER_RESPONSIBILITY</x:v>
      </x:c>
      <x:c r="S106" s="63" t="str">
        <x:v>Governed sector operating-model and responsibility policy</x:v>
      </x:c>
      <x:c r="T106" s="63"/>
      <x:c r="U106" s="63" t="str">
        <x:v>internal://v31/governed-policy</x:v>
      </x:c>
      <x:c r="V106" s="63" t="str">
        <x:v>319402127b5fc0dd4f20058518dd7ae89bdc121257330d9e8cb2654f2094691b</x:v>
      </x:c>
    </x:row>
    <x:row r="107">
      <x:c r="A107" s="63" t="str">
        <x:v>bec:E02:struct:responsibility:refinancing_cliff</x:v>
      </x:c>
      <x:c r="B107" s="63" t="str">
        <x:v>E02</x:v>
      </x:c>
      <x:c r="C107" s="63" t="str">
        <x:v>problem_role_ownership</x:v>
      </x:c>
      <x:c r="D107" s="63" t="str">
        <x:v>STRUCTURE_RELATIONSHIP</x:v>
      </x:c>
      <x:c r="E107" s="63" t="str">
        <x:v>SCENARIO</x:v>
      </x:c>
      <x:c r="F107" s="65"/>
      <x:c r="G107" s="66"/>
      <x:c r="H107" s="67"/>
      <x:c r="I107" s="63"/>
      <x:c r="J107" s="63"/>
      <x:c r="K107" s="63" t="str">
        <x:v>statement</x:v>
      </x:c>
      <x:c r="L107" s="63" t="str">
        <x:v>2025-06-01</x:v>
      </x:c>
      <x:c r="M107" s="63" t="str">
        <x:v>2026-06-30</x:v>
      </x:c>
      <x:c r="N107" s="63" t="str">
        <x:v>2026-06-30</x:v>
      </x:c>
      <x:c r="O107" s="63" t="str">
        <x:v>E0</x:v>
      </x:c>
      <x:c r="P107" s="63" t="str">
        <x:v>APPROVED</x:v>
      </x:c>
      <x:c r="Q107" s="64" t="b">
        <x:v>0</x:v>
      </x:c>
      <x:c r="R107" s="63" t="str">
        <x:v>STAKEHOLDER_RESPONSIBILITY</x:v>
      </x:c>
      <x:c r="S107" s="63" t="str">
        <x:v>Governed sector operating-model and responsibility policy</x:v>
      </x:c>
      <x:c r="T107" s="63"/>
      <x:c r="U107" s="63" t="str">
        <x:v>internal://v31/governed-policy</x:v>
      </x:c>
      <x:c r="V107" s="63" t="str">
        <x:v>bee571f5822c3a1d669018ea342311e1570ee4c793cb9d9ab9a535b9b9e39d3d</x:v>
      </x:c>
    </x:row>
    <x:row r="108">
      <x:c r="A108" s="63" t="str">
        <x:v>bec:E02:struct:responsibility:working_capital_pressure</x:v>
      </x:c>
      <x:c r="B108" s="63" t="str">
        <x:v>E02</x:v>
      </x:c>
      <x:c r="C108" s="63" t="str">
        <x:v>problem_role_ownership</x:v>
      </x:c>
      <x:c r="D108" s="63" t="str">
        <x:v>STRUCTURE_RELATIONSHIP</x:v>
      </x:c>
      <x:c r="E108" s="63" t="str">
        <x:v>SCENARIO</x:v>
      </x:c>
      <x:c r="F108" s="65"/>
      <x:c r="G108" s="66"/>
      <x:c r="H108" s="67"/>
      <x:c r="I108" s="63"/>
      <x:c r="J108" s="63"/>
      <x:c r="K108" s="63" t="str">
        <x:v>statement</x:v>
      </x:c>
      <x:c r="L108" s="63" t="str">
        <x:v>2025-06-01</x:v>
      </x:c>
      <x:c r="M108" s="63" t="str">
        <x:v>2026-06-30</x:v>
      </x:c>
      <x:c r="N108" s="63" t="str">
        <x:v>2026-06-30</x:v>
      </x:c>
      <x:c r="O108" s="63" t="str">
        <x:v>E0</x:v>
      </x:c>
      <x:c r="P108" s="63" t="str">
        <x:v>APPROVED</x:v>
      </x:c>
      <x:c r="Q108" s="64" t="b">
        <x:v>0</x:v>
      </x:c>
      <x:c r="R108" s="63" t="str">
        <x:v>STAKEHOLDER_RESPONSIBILITY</x:v>
      </x:c>
      <x:c r="S108" s="63" t="str">
        <x:v>Governed sector operating-model and responsibility policy</x:v>
      </x:c>
      <x:c r="T108" s="63"/>
      <x:c r="U108" s="63" t="str">
        <x:v>internal://v31/governed-policy</x:v>
      </x:c>
      <x:c r="V108" s="63" t="str">
        <x:v>bd52437cb7b8b20c02c43646ee2d30c0465295dab5a9bcf94f9e0c91adb751b9</x:v>
      </x:c>
    </x:row>
    <x:row r="109">
      <x:c r="A109" s="63" t="str">
        <x:v>bec:AA-2025-REV</x:v>
      </x:c>
      <x:c r="B109" s="63" t="str">
        <x:v>E03</x:v>
      </x:c>
      <x:c r="C109" s="63" t="str">
        <x:v>revenue</x:v>
      </x:c>
      <x:c r="D109" s="63" t="str">
        <x:v>MONEY</x:v>
      </x:c>
      <x:c r="E109" s="63" t="str">
        <x:v>OBSERVED</x:v>
      </x:c>
      <x:c r="F109" s="65" t="n">
        <x:v>18546</x:v>
      </x:c>
      <x:c r="G109" s="66"/>
      <x:c r="H109" s="67"/>
      <x:c r="I109" s="63"/>
      <x:c r="J109" s="63" t="str">
        <x:v>USD</x:v>
      </x:c>
      <x:c r="K109" s="63" t="str">
        <x:v>million</x:v>
      </x:c>
      <x:c r="L109" s="63" t="str">
        <x:v>2025-01-01</x:v>
      </x:c>
      <x:c r="M109" s="63" t="str">
        <x:v>2025-12-31</x:v>
      </x:c>
      <x:c r="N109" s="63" t="str">
        <x:v>2026-03-02</x:v>
      </x:c>
      <x:c r="O109" s="63" t="str">
        <x:v>E1</x:v>
      </x:c>
      <x:c r="P109" s="63" t="str">
        <x:v>PENDING_REVIEW</x:v>
      </x:c>
      <x:c r="Q109" s="64" t="b">
        <x:v>1</x:v>
      </x:c>
      <x:c r="R109" s="63" t="str">
        <x:v>REVENUE_ENGINE</x:v>
      </x:c>
      <x:c r="S109" s="63" t="str">
        <x:v>Anglo American Integrated Annual Report 2025</x:v>
      </x:c>
      <x:c r="T109" s="63" t="n">
        <x:v>272</x:v>
      </x:c>
      <x:c r="U109" s="63" t="str">
        <x:v>https://www.angloamerican.com/~/media/Files/A/Anglo-American-Group-v9/PLC/investors/annual-reporting/2025/aa-annual-report-full-2025.pdf</x:v>
      </x:c>
      <x:c r="V109" s="63" t="str">
        <x:v>362b9ebb43ca8ce3cf0a87f5ba174047ab499c4cd8f5a48eeb1bf83530a176fb</x:v>
      </x:c>
    </x:row>
    <x:row r="110">
      <x:c r="A110" s="63" t="str">
        <x:v>bec:AA-2025-CASH</x:v>
      </x:c>
      <x:c r="B110" s="63" t="str">
        <x:v>E03</x:v>
      </x:c>
      <x:c r="C110" s="63" t="str">
        <x:v>cash_and_cash_equivalents</x:v>
      </x:c>
      <x:c r="D110" s="63" t="str">
        <x:v>MONEY</x:v>
      </x:c>
      <x:c r="E110" s="63" t="str">
        <x:v>OBSERVED</x:v>
      </x:c>
      <x:c r="F110" s="65" t="n">
        <x:v>6436</x:v>
      </x:c>
      <x:c r="G110" s="66"/>
      <x:c r="H110" s="67"/>
      <x:c r="I110" s="63"/>
      <x:c r="J110" s="63" t="str">
        <x:v>USD</x:v>
      </x:c>
      <x:c r="K110" s="63" t="str">
        <x:v>million</x:v>
      </x:c>
      <x:c r="L110" s="63" t="str">
        <x:v>2025-12-31</x:v>
      </x:c>
      <x:c r="M110" s="63" t="str">
        <x:v>2025-12-31</x:v>
      </x:c>
      <x:c r="N110" s="63" t="str">
        <x:v>2026-03-02</x:v>
      </x:c>
      <x:c r="O110" s="63" t="str">
        <x:v>E1</x:v>
      </x:c>
      <x:c r="P110" s="63" t="str">
        <x:v>PENDING_REVIEW</x:v>
      </x:c>
      <x:c r="Q110" s="64" t="b">
        <x:v>1</x:v>
      </x:c>
      <x:c r="R110" s="63" t="str">
        <x:v>LIQUIDITY_AND_BUFFER</x:v>
      </x:c>
      <x:c r="S110" s="63" t="str">
        <x:v>Anglo American Integrated Annual Report 2025</x:v>
      </x:c>
      <x:c r="T110" s="63" t="n">
        <x:v>274</x:v>
      </x:c>
      <x:c r="U110" s="63" t="str">
        <x:v>https://www.angloamerican.com/~/media/Files/A/Anglo-American-Group-v9/PLC/investors/annual-reporting/2025/aa-annual-report-full-2025.pdf</x:v>
      </x:c>
      <x:c r="V110" s="63" t="str">
        <x:v>362b9ebb43ca8ce3cf0a87f5ba174047ab499c4cd8f5a48eeb1bf83530a176fb</x:v>
      </x:c>
    </x:row>
    <x:row r="111">
      <x:c r="A111" s="63" t="str">
        <x:v>bec:AA-2025-DEBT</x:v>
      </x:c>
      <x:c r="B111" s="63" t="str">
        <x:v>E03</x:v>
      </x:c>
      <x:c r="C111" s="63" t="str">
        <x:v>current_debt</x:v>
      </x:c>
      <x:c r="D111" s="63" t="str">
        <x:v>MONEY</x:v>
      </x:c>
      <x:c r="E111" s="63" t="str">
        <x:v>OBSERVED</x:v>
      </x:c>
      <x:c r="F111" s="65" t="n">
        <x:v>1075</x:v>
      </x:c>
      <x:c r="G111" s="66"/>
      <x:c r="H111" s="67"/>
      <x:c r="I111" s="63"/>
      <x:c r="J111" s="63" t="str">
        <x:v>USD</x:v>
      </x:c>
      <x:c r="K111" s="63" t="str">
        <x:v>million</x:v>
      </x:c>
      <x:c r="L111" s="63" t="str">
        <x:v>2025-12-31</x:v>
      </x:c>
      <x:c r="M111" s="63" t="str">
        <x:v>2025-12-31</x:v>
      </x:c>
      <x:c r="N111" s="63" t="str">
        <x:v>2026-03-02</x:v>
      </x:c>
      <x:c r="O111" s="63" t="str">
        <x:v>E1</x:v>
      </x:c>
      <x:c r="P111" s="63" t="str">
        <x:v>PENDING_REVIEW</x:v>
      </x:c>
      <x:c r="Q111" s="64" t="b">
        <x:v>1</x:v>
      </x:c>
      <x:c r="R111" s="63" t="str">
        <x:v>FUNDING_STRUCTURE</x:v>
      </x:c>
      <x:c r="S111" s="63" t="str">
        <x:v>Anglo American Integrated Annual Report 2025</x:v>
      </x:c>
      <x:c r="T111" s="63" t="n">
        <x:v>274</x:v>
      </x:c>
      <x:c r="U111" s="63" t="str">
        <x:v>https://www.angloamerican.com/~/media/Files/A/Anglo-American-Group-v9/PLC/investors/annual-reporting/2025/aa-annual-report-full-2025.pdf</x:v>
      </x:c>
      <x:c r="V111" s="63" t="str">
        <x:v>362b9ebb43ca8ce3cf0a87f5ba174047ab499c4cd8f5a48eeb1bf83530a176fb</x:v>
      </x:c>
    </x:row>
    <x:row r="112">
      <x:c r="A112" s="63" t="str">
        <x:v>bec:E03:obs:flow:collections</x:v>
      </x:c>
      <x:c r="B112" s="63" t="str">
        <x:v>E03</x:v>
      </x:c>
      <x:c r="C112" s="63" t="str">
        <x:v>bank_observed_collections_ltm</x:v>
      </x:c>
      <x:c r="D112" s="63" t="str">
        <x:v>MONEY</x:v>
      </x:c>
      <x:c r="E112" s="63" t="str">
        <x:v>OBSERVED</x:v>
      </x:c>
      <x:c r="F112" s="65" t="n">
        <x:v>4294499422.710504</x:v>
      </x:c>
      <x:c r="G112" s="66"/>
      <x:c r="H112" s="67"/>
      <x:c r="I112" s="63"/>
      <x:c r="J112" s="63" t="str">
        <x:v>ZAR</x:v>
      </x:c>
      <x:c r="K112" s="63" t="str">
        <x:v>ZAR</x:v>
      </x:c>
      <x:c r="L112" s="63" t="str">
        <x:v>2025-06-01</x:v>
      </x:c>
      <x:c r="M112" s="63" t="str">
        <x:v>2026-06-30</x:v>
      </x:c>
      <x:c r="N112" s="63" t="str">
        <x:v>2026-06-30</x:v>
      </x:c>
      <x:c r="O112" s="63" t="str">
        <x:v>E0</x:v>
      </x:c>
      <x:c r="P112" s="63" t="str">
        <x:v>APPROVED</x:v>
      </x:c>
      <x:c r="Q112" s="64" t="b">
        <x:v>1</x:v>
      </x:c>
      <x:c r="R112" s="63" t="str">
        <x:v>REVENUE_ENGINE, WORKING_CAPITAL_CYCLE</x:v>
      </x:c>
      <x:c r="S112" s="63" t="str">
        <x:v>Syn Bank transaction and relationship simulation</x:v>
      </x:c>
      <x:c r="T112" s="63"/>
      <x:c r="U112" s="63" t="str">
        <x:v>internal://syn-bank/simulation/ltm</x:v>
      </x:c>
      <x:c r="V112" s="63" t="str">
        <x:v>56c54c736887914c23f94a97af6260b2e69c68902f64addbd0bddb27e3edb931</x:v>
      </x:c>
    </x:row>
    <x:row r="113">
      <x:c r="A113" s="63" t="str">
        <x:v>bec:E03:obs:trend:collections</x:v>
      </x:c>
      <x:c r="B113" s="63" t="str">
        <x:v>E03</x:v>
      </x:c>
      <x:c r="C113" s="63" t="str">
        <x:v>bank_observed_collections_yoy_change</x:v>
      </x:c>
      <x:c r="D113" s="63" t="str">
        <x:v>RATIO</x:v>
      </x:c>
      <x:c r="E113" s="63" t="str">
        <x:v>OBSERVED</x:v>
      </x:c>
      <x:c r="F113" s="65"/>
      <x:c r="G113" s="66" t="n">
        <x:v>-0.100017</x:v>
      </x:c>
      <x:c r="H113" s="67"/>
      <x:c r="I113" s="63"/>
      <x:c r="J113" s="63"/>
      <x:c r="K113" s="63" t="str">
        <x:v>ratio</x:v>
      </x:c>
      <x:c r="L113" s="63" t="str">
        <x:v>2025-06-01</x:v>
      </x:c>
      <x:c r="M113" s="63" t="str">
        <x:v>2026-06-30</x:v>
      </x:c>
      <x:c r="N113" s="63" t="str">
        <x:v>2026-06-30</x:v>
      </x:c>
      <x:c r="O113" s="63" t="str">
        <x:v>E0</x:v>
      </x:c>
      <x:c r="P113" s="63" t="str">
        <x:v>APPROVED</x:v>
      </x:c>
      <x:c r="Q113" s="64" t="b">
        <x:v>0</x:v>
      </x:c>
      <x:c r="R113" s="63" t="str">
        <x:v>REVENUE_ENGINE, WORKING_CAPITAL_CYCLE</x:v>
      </x:c>
      <x:c r="S113" s="63" t="str">
        <x:v>Syn Bank transaction and relationship simulation</x:v>
      </x:c>
      <x:c r="T113" s="63"/>
      <x:c r="U113" s="63" t="str">
        <x:v>internal://syn-bank/simulation/ltm</x:v>
      </x:c>
      <x:c r="V113" s="63" t="str">
        <x:v>8469361b349bebe52ef5a592e76c0925f3ce50f7ab32ae65275b7e61ed6ce167</x:v>
      </x:c>
    </x:row>
    <x:row r="114">
      <x:c r="A114" s="63" t="str">
        <x:v>bec:E03:obs:flow:payments</x:v>
      </x:c>
      <x:c r="B114" s="63" t="str">
        <x:v>E03</x:v>
      </x:c>
      <x:c r="C114" s="63" t="str">
        <x:v>bank_observed_payments_ltm</x:v>
      </x:c>
      <x:c r="D114" s="63" t="str">
        <x:v>MONEY</x:v>
      </x:c>
      <x:c r="E114" s="63" t="str">
        <x:v>OBSERVED</x:v>
      </x:c>
      <x:c r="F114" s="65" t="n">
        <x:v>3074915425.6599994</x:v>
      </x:c>
      <x:c r="G114" s="66"/>
      <x:c r="H114" s="67"/>
      <x:c r="I114" s="63"/>
      <x:c r="J114" s="63" t="str">
        <x:v>ZAR</x:v>
      </x:c>
      <x:c r="K114" s="63" t="str">
        <x:v>ZAR</x:v>
      </x:c>
      <x:c r="L114" s="63" t="str">
        <x:v>2025-06-01</x:v>
      </x:c>
      <x:c r="M114" s="63" t="str">
        <x:v>2026-06-30</x:v>
      </x:c>
      <x:c r="N114" s="63" t="str">
        <x:v>2026-06-30</x:v>
      </x:c>
      <x:c r="O114" s="63" t="str">
        <x:v>E0</x:v>
      </x:c>
      <x:c r="P114" s="63" t="str">
        <x:v>APPROVED</x:v>
      </x:c>
      <x:c r="Q114" s="64" t="b">
        <x:v>1</x:v>
      </x:c>
      <x:c r="R114" s="63" t="str">
        <x:v>COST_ENGINE, WORKING_CAPITAL_CYCLE</x:v>
      </x:c>
      <x:c r="S114" s="63" t="str">
        <x:v>Syn Bank transaction and relationship simulation</x:v>
      </x:c>
      <x:c r="T114" s="63"/>
      <x:c r="U114" s="63" t="str">
        <x:v>internal://syn-bank/simulation/ltm</x:v>
      </x:c>
      <x:c r="V114" s="63" t="str">
        <x:v>6a4fd8c270e51ea8bce2ee5c5f828bb83c42293577216eb51b43ad02d4fe7a34</x:v>
      </x:c>
    </x:row>
    <x:row r="115">
      <x:c r="A115" s="63" t="str">
        <x:v>bec:E03:obs:trend:payments</x:v>
      </x:c>
      <x:c r="B115" s="63" t="str">
        <x:v>E03</x:v>
      </x:c>
      <x:c r="C115" s="63" t="str">
        <x:v>bank_observed_payments_yoy_change</x:v>
      </x:c>
      <x:c r="D115" s="63" t="str">
        <x:v>RATIO</x:v>
      </x:c>
      <x:c r="E115" s="63" t="str">
        <x:v>OBSERVED</x:v>
      </x:c>
      <x:c r="F115" s="65"/>
      <x:c r="G115" s="66" t="n">
        <x:v>-0.12212</x:v>
      </x:c>
      <x:c r="H115" s="67"/>
      <x:c r="I115" s="63"/>
      <x:c r="J115" s="63"/>
      <x:c r="K115" s="63" t="str">
        <x:v>ratio</x:v>
      </x:c>
      <x:c r="L115" s="63" t="str">
        <x:v>2025-06-01</x:v>
      </x:c>
      <x:c r="M115" s="63" t="str">
        <x:v>2026-06-30</x:v>
      </x:c>
      <x:c r="N115" s="63" t="str">
        <x:v>2026-06-30</x:v>
      </x:c>
      <x:c r="O115" s="63" t="str">
        <x:v>E0</x:v>
      </x:c>
      <x:c r="P115" s="63" t="str">
        <x:v>APPROVED</x:v>
      </x:c>
      <x:c r="Q115" s="64" t="b">
        <x:v>0</x:v>
      </x:c>
      <x:c r="R115" s="63" t="str">
        <x:v>COST_ENGINE, WORKING_CAPITAL_CYCLE</x:v>
      </x:c>
      <x:c r="S115" s="63" t="str">
        <x:v>Syn Bank transaction and relationship simulation</x:v>
      </x:c>
      <x:c r="T115" s="63"/>
      <x:c r="U115" s="63" t="str">
        <x:v>internal://syn-bank/simulation/ltm</x:v>
      </x:c>
      <x:c r="V115" s="63" t="str">
        <x:v>72d33b7b26a4ff52ce192de271f3f93cab52f5f36d707b20144966d8e4ee0029</x:v>
      </x:c>
    </x:row>
    <x:row r="116">
      <x:c r="A116" s="63" t="str">
        <x:v>bec:E03:obs:flow:liquidity</x:v>
      </x:c>
      <x:c r="B116" s="63" t="str">
        <x:v>E03</x:v>
      </x:c>
      <x:c r="C116" s="63" t="str">
        <x:v>bank_observed_liquidity_ltm</x:v>
      </x:c>
      <x:c r="D116" s="63" t="str">
        <x:v>MONEY</x:v>
      </x:c>
      <x:c r="E116" s="63" t="str">
        <x:v>OBSERVED</x:v>
      </x:c>
      <x:c r="F116" s="65" t="n">
        <x:v>3684707424.185252</x:v>
      </x:c>
      <x:c r="G116" s="66"/>
      <x:c r="H116" s="67"/>
      <x:c r="I116" s="63"/>
      <x:c r="J116" s="63" t="str">
        <x:v>ZAR</x:v>
      </x:c>
      <x:c r="K116" s="63" t="str">
        <x:v>ZAR</x:v>
      </x:c>
      <x:c r="L116" s="63" t="str">
        <x:v>2025-06-01</x:v>
      </x:c>
      <x:c r="M116" s="63" t="str">
        <x:v>2026-06-30</x:v>
      </x:c>
      <x:c r="N116" s="63" t="str">
        <x:v>2026-06-30</x:v>
      </x:c>
      <x:c r="O116" s="63" t="str">
        <x:v>E0</x:v>
      </x:c>
      <x:c r="P116" s="63" t="str">
        <x:v>APPROVED</x:v>
      </x:c>
      <x:c r="Q116" s="64" t="b">
        <x:v>1</x:v>
      </x:c>
      <x:c r="R116" s="63" t="str">
        <x:v>LIQUIDITY_AND_BUFFER</x:v>
      </x:c>
      <x:c r="S116" s="63" t="str">
        <x:v>Syn Bank transaction and relationship simulation</x:v>
      </x:c>
      <x:c r="T116" s="63"/>
      <x:c r="U116" s="63" t="str">
        <x:v>internal://syn-bank/simulation/ltm</x:v>
      </x:c>
      <x:c r="V116" s="63" t="str">
        <x:v>4c8d711851ed26a711296c7a9a334b9cdd57c91fb5ead5b6569bb9ceeac7d16c</x:v>
      </x:c>
    </x:row>
    <x:row r="117">
      <x:c r="A117" s="63" t="str">
        <x:v>bec:E03:obs:trend:liquidity</x:v>
      </x:c>
      <x:c r="B117" s="63" t="str">
        <x:v>E03</x:v>
      </x:c>
      <x:c r="C117" s="63" t="str">
        <x:v>bank_observed_liquidity_yoy_change</x:v>
      </x:c>
      <x:c r="D117" s="63" t="str">
        <x:v>RATIO</x:v>
      </x:c>
      <x:c r="E117" s="63" t="str">
        <x:v>OBSERVED</x:v>
      </x:c>
      <x:c r="F117" s="65"/>
      <x:c r="G117" s="66" t="n">
        <x:v>-0.109374</x:v>
      </x:c>
      <x:c r="H117" s="67"/>
      <x:c r="I117" s="63"/>
      <x:c r="J117" s="63"/>
      <x:c r="K117" s="63" t="str">
        <x:v>ratio</x:v>
      </x:c>
      <x:c r="L117" s="63" t="str">
        <x:v>2025-06-01</x:v>
      </x:c>
      <x:c r="M117" s="63" t="str">
        <x:v>2026-06-30</x:v>
      </x:c>
      <x:c r="N117" s="63" t="str">
        <x:v>2026-06-30</x:v>
      </x:c>
      <x:c r="O117" s="63" t="str">
        <x:v>E0</x:v>
      </x:c>
      <x:c r="P117" s="63" t="str">
        <x:v>APPROVED</x:v>
      </x:c>
      <x:c r="Q117" s="64" t="b">
        <x:v>0</x:v>
      </x:c>
      <x:c r="R117" s="63" t="str">
        <x:v>LIQUIDITY_AND_BUFFER</x:v>
      </x:c>
      <x:c r="S117" s="63" t="str">
        <x:v>Syn Bank transaction and relationship simulation</x:v>
      </x:c>
      <x:c r="T117" s="63"/>
      <x:c r="U117" s="63" t="str">
        <x:v>internal://syn-bank/simulation/ltm</x:v>
      </x:c>
      <x:c r="V117" s="63" t="str">
        <x:v>d0685015c99debd91416dd085053ba58c34611ce695c999c45c9c246cb76ab84</x:v>
      </x:c>
    </x:row>
    <x:row r="118">
      <x:c r="A118" s="63" t="str">
        <x:v>bec:E03:obs:flow:cross-border-fx</x:v>
      </x:c>
      <x:c r="B118" s="63" t="str">
        <x:v>E03</x:v>
      </x:c>
      <x:c r="C118" s="63" t="str">
        <x:v>bank_observed_cross_border_fx_ltm</x:v>
      </x:c>
      <x:c r="D118" s="63" t="str">
        <x:v>MONEY</x:v>
      </x:c>
      <x:c r="E118" s="63" t="str">
        <x:v>OBSERVED</x:v>
      </x:c>
      <x:c r="F118" s="65" t="n">
        <x:v>992003847.4299998</x:v>
      </x:c>
      <x:c r="G118" s="66"/>
      <x:c r="H118" s="67"/>
      <x:c r="I118" s="63"/>
      <x:c r="J118" s="63" t="str">
        <x:v>ZAR</x:v>
      </x:c>
      <x:c r="K118" s="63" t="str">
        <x:v>ZAR</x:v>
      </x:c>
      <x:c r="L118" s="63" t="str">
        <x:v>2025-06-01</x:v>
      </x:c>
      <x:c r="M118" s="63" t="str">
        <x:v>2026-06-30</x:v>
      </x:c>
      <x:c r="N118" s="63" t="str">
        <x:v>2026-06-30</x:v>
      </x:c>
      <x:c r="O118" s="63" t="str">
        <x:v>E0</x:v>
      </x:c>
      <x:c r="P118" s="63" t="str">
        <x:v>APPROVED</x:v>
      </x:c>
      <x:c r="Q118" s="64" t="b">
        <x:v>1</x:v>
      </x:c>
      <x:c r="R118" s="63" t="str">
        <x:v>CURRENCY_AND_COMMODITY_EXPOSURE, GEOGRAPHIC_EXPOSURE</x:v>
      </x:c>
      <x:c r="S118" s="63" t="str">
        <x:v>Syn Bank transaction and relationship simulation</x:v>
      </x:c>
      <x:c r="T118" s="63"/>
      <x:c r="U118" s="63" t="str">
        <x:v>internal://syn-bank/simulation/ltm</x:v>
      </x:c>
      <x:c r="V118" s="63" t="str">
        <x:v>029d215e8947edc96bdb1f37d255ca0075db9438cc1515687af6ecc1cfb6f75d</x:v>
      </x:c>
    </x:row>
    <x:row r="119">
      <x:c r="A119" s="63" t="str">
        <x:v>bec:E03:obs:trend:cross-border-fx</x:v>
      </x:c>
      <x:c r="B119" s="63" t="str">
        <x:v>E03</x:v>
      </x:c>
      <x:c r="C119" s="63" t="str">
        <x:v>bank_observed_cross_border_fx_yoy_change</x:v>
      </x:c>
      <x:c r="D119" s="63" t="str">
        <x:v>RATIO</x:v>
      </x:c>
      <x:c r="E119" s="63" t="str">
        <x:v>OBSERVED</x:v>
      </x:c>
      <x:c r="F119" s="65"/>
      <x:c r="G119" s="66" t="n">
        <x:v>-0.264257</x:v>
      </x:c>
      <x:c r="H119" s="67"/>
      <x:c r="I119" s="63"/>
      <x:c r="J119" s="63"/>
      <x:c r="K119" s="63" t="str">
        <x:v>ratio</x:v>
      </x:c>
      <x:c r="L119" s="63" t="str">
        <x:v>2025-06-01</x:v>
      </x:c>
      <x:c r="M119" s="63" t="str">
        <x:v>2026-06-30</x:v>
      </x:c>
      <x:c r="N119" s="63" t="str">
        <x:v>2026-06-30</x:v>
      </x:c>
      <x:c r="O119" s="63" t="str">
        <x:v>E0</x:v>
      </x:c>
      <x:c r="P119" s="63" t="str">
        <x:v>APPROVED</x:v>
      </x:c>
      <x:c r="Q119" s="64" t="b">
        <x:v>0</x:v>
      </x:c>
      <x:c r="R119" s="63" t="str">
        <x:v>CURRENCY_AND_COMMODITY_EXPOSURE, GEOGRAPHIC_EXPOSURE</x:v>
      </x:c>
      <x:c r="S119" s="63" t="str">
        <x:v>Syn Bank transaction and relationship simulation</x:v>
      </x:c>
      <x:c r="T119" s="63"/>
      <x:c r="U119" s="63" t="str">
        <x:v>internal://syn-bank/simulation/ltm</x:v>
      </x:c>
      <x:c r="V119" s="63" t="str">
        <x:v>c2eb6f169300e3b128a5f5d075a924a98126f5079c2daeae4d79e7264bce5d97</x:v>
      </x:c>
    </x:row>
    <x:row r="120">
      <x:c r="A120" s="63" t="str">
        <x:v>bec:E03:obs:flow:trade-finance</x:v>
      </x:c>
      <x:c r="B120" s="63" t="str">
        <x:v>E03</x:v>
      </x:c>
      <x:c r="C120" s="63" t="str">
        <x:v>bank_observed_trade_finance_ltm</x:v>
      </x:c>
      <x:c r="D120" s="63" t="str">
        <x:v>MONEY</x:v>
      </x:c>
      <x:c r="E120" s="63" t="str">
        <x:v>OBSERVED</x:v>
      </x:c>
      <x:c r="F120" s="65" t="n">
        <x:v>632016627.58</x:v>
      </x:c>
      <x:c r="G120" s="66"/>
      <x:c r="H120" s="67"/>
      <x:c r="I120" s="63"/>
      <x:c r="J120" s="63" t="str">
        <x:v>ZAR</x:v>
      </x:c>
      <x:c r="K120" s="63" t="str">
        <x:v>ZAR</x:v>
      </x:c>
      <x:c r="L120" s="63" t="str">
        <x:v>2025-06-01</x:v>
      </x:c>
      <x:c r="M120" s="63" t="str">
        <x:v>2026-06-30</x:v>
      </x:c>
      <x:c r="N120" s="63" t="str">
        <x:v>2026-06-30</x:v>
      </x:c>
      <x:c r="O120" s="63" t="str">
        <x:v>E0</x:v>
      </x:c>
      <x:c r="P120" s="63" t="str">
        <x:v>APPROVED</x:v>
      </x:c>
      <x:c r="Q120" s="64" t="b">
        <x:v>1</x:v>
      </x:c>
      <x:c r="R120" s="63" t="str">
        <x:v>WORKING_CAPITAL_CYCLE, OPERATING_MODEL</x:v>
      </x:c>
      <x:c r="S120" s="63" t="str">
        <x:v>Syn Bank transaction and relationship simulation</x:v>
      </x:c>
      <x:c r="T120" s="63"/>
      <x:c r="U120" s="63" t="str">
        <x:v>internal://syn-bank/simulation/ltm</x:v>
      </x:c>
      <x:c r="V120" s="63" t="str">
        <x:v>5d92537241fe064fd6bab2760d2bcffd4ee1a81a05d7ad865e6c9ae3948abb90</x:v>
      </x:c>
    </x:row>
    <x:row r="121">
      <x:c r="A121" s="63" t="str">
        <x:v>bec:E03:obs:trend:trade-finance</x:v>
      </x:c>
      <x:c r="B121" s="63" t="str">
        <x:v>E03</x:v>
      </x:c>
      <x:c r="C121" s="63" t="str">
        <x:v>bank_observed_trade_finance_yoy_change</x:v>
      </x:c>
      <x:c r="D121" s="63" t="str">
        <x:v>RATIO</x:v>
      </x:c>
      <x:c r="E121" s="63" t="str">
        <x:v>OBSERVED</x:v>
      </x:c>
      <x:c r="F121" s="65"/>
      <x:c r="G121" s="66" t="n">
        <x:v>-0.202253</x:v>
      </x:c>
      <x:c r="H121" s="67"/>
      <x:c r="I121" s="63"/>
      <x:c r="J121" s="63"/>
      <x:c r="K121" s="63" t="str">
        <x:v>ratio</x:v>
      </x:c>
      <x:c r="L121" s="63" t="str">
        <x:v>2025-06-01</x:v>
      </x:c>
      <x:c r="M121" s="63" t="str">
        <x:v>2026-06-30</x:v>
      </x:c>
      <x:c r="N121" s="63" t="str">
        <x:v>2026-06-30</x:v>
      </x:c>
      <x:c r="O121" s="63" t="str">
        <x:v>E0</x:v>
      </x:c>
      <x:c r="P121" s="63" t="str">
        <x:v>APPROVED</x:v>
      </x:c>
      <x:c r="Q121" s="64" t="b">
        <x:v>0</x:v>
      </x:c>
      <x:c r="R121" s="63" t="str">
        <x:v>WORKING_CAPITAL_CYCLE, OPERATING_MODEL</x:v>
      </x:c>
      <x:c r="S121" s="63" t="str">
        <x:v>Syn Bank transaction and relationship simulation</x:v>
      </x:c>
      <x:c r="T121" s="63"/>
      <x:c r="U121" s="63" t="str">
        <x:v>internal://syn-bank/simulation/ltm</x:v>
      </x:c>
      <x:c r="V121" s="63" t="str">
        <x:v>5c8e08233dd26d263836c8728bd400fe65cd02cfb1b709e667e9ae9e5bb6064f</x:v>
      </x:c>
    </x:row>
    <x:row r="122">
      <x:c r="A122" s="63" t="str">
        <x:v>bec:E03:obs:corridor:0</x:v>
      </x:c>
      <x:c r="B122" s="63" t="str">
        <x:v>E03</x:v>
      </x:c>
      <x:c r="C122" s="63" t="str">
        <x:v>bank_observed_corridor_value</x:v>
      </x:c>
      <x:c r="D122" s="63" t="str">
        <x:v>MONEY</x:v>
      </x:c>
      <x:c r="E122" s="63" t="str">
        <x:v>OBSERVED</x:v>
      </x:c>
      <x:c r="F122" s="65" t="n">
        <x:v>1188102298.8399994</x:v>
      </x:c>
      <x:c r="G122" s="66"/>
      <x:c r="H122" s="67"/>
      <x:c r="I122" s="63"/>
      <x:c r="J122" s="63" t="str">
        <x:v>ZAR</x:v>
      </x:c>
      <x:c r="K122" s="63" t="str">
        <x:v>ZAR</x:v>
      </x:c>
      <x:c r="L122" s="63" t="str">
        <x:v>2025-06-01</x:v>
      </x:c>
      <x:c r="M122" s="63" t="str">
        <x:v>2026-06-30</x:v>
      </x:c>
      <x:c r="N122" s="63" t="str">
        <x:v>2026-06-30</x:v>
      </x:c>
      <x:c r="O122" s="63" t="str">
        <x:v>E0</x:v>
      </x:c>
      <x:c r="P122" s="63" t="str">
        <x:v>APPROVED</x:v>
      </x:c>
      <x:c r="Q122" s="64" t="b">
        <x:v>1</x:v>
      </x:c>
      <x:c r="R122" s="63" t="str">
        <x:v>GEOGRAPHIC_EXPOSURE</x:v>
      </x:c>
      <x:c r="S122" s="63" t="str">
        <x:v>Syn Bank transaction and relationship simulation</x:v>
      </x:c>
      <x:c r="T122" s="63"/>
      <x:c r="U122" s="63" t="str">
        <x:v>internal://syn-bank/simulation/ltm</x:v>
      </x:c>
      <x:c r="V122" s="63" t="str">
        <x:v>58963c5a56416473998daceea5a451472f872c9e25c3dcb767ae10cbf863b1ec</x:v>
      </x:c>
    </x:row>
    <x:row r="123">
      <x:c r="A123" s="63" t="str">
        <x:v>bec:E03:obs:corridor-name:0</x:v>
      </x:c>
      <x:c r="B123" s="63" t="str">
        <x:v>E03</x:v>
      </x:c>
      <x:c r="C123" s="63" t="str">
        <x:v>bank_observed_corridor_country</x:v>
      </x:c>
      <x:c r="D123" s="63" t="str">
        <x:v>CATEGORICAL</x:v>
      </x:c>
      <x:c r="E123" s="63" t="str">
        <x:v>OBSERVED</x:v>
      </x:c>
      <x:c r="F123" s="65"/>
      <x:c r="G123" s="66"/>
      <x:c r="H123" s="67"/>
      <x:c r="I123" s="63" t="str">
        <x:v>Namibia</x:v>
      </x:c>
      <x:c r="J123" s="63"/>
      <x:c r="K123" s="63" t="str">
        <x:v>country</x:v>
      </x:c>
      <x:c r="L123" s="63" t="str">
        <x:v>2025-06-01</x:v>
      </x:c>
      <x:c r="M123" s="63" t="str">
        <x:v>2026-06-30</x:v>
      </x:c>
      <x:c r="N123" s="63" t="str">
        <x:v>2026-06-30</x:v>
      </x:c>
      <x:c r="O123" s="63" t="str">
        <x:v>E0</x:v>
      </x:c>
      <x:c r="P123" s="63" t="str">
        <x:v>APPROVED</x:v>
      </x:c>
      <x:c r="Q123" s="64" t="b">
        <x:v>0</x:v>
      </x:c>
      <x:c r="R123" s="63" t="str">
        <x:v>GEOGRAPHIC_EXPOSURE</x:v>
      </x:c>
      <x:c r="S123" s="63" t="str">
        <x:v>Syn Bank transaction and relationship simulation</x:v>
      </x:c>
      <x:c r="T123" s="63"/>
      <x:c r="U123" s="63" t="str">
        <x:v>internal://syn-bank/simulation/ltm</x:v>
      </x:c>
      <x:c r="V123" s="63" t="str">
        <x:v>f1da929ff7b8b23ee1fb87d1f1f39b6082985a1a4756f6ff13cc53cc525cf276</x:v>
      </x:c>
    </x:row>
    <x:row r="124">
      <x:c r="A124" s="63" t="str">
        <x:v>bec:E03:obs:corridor:1</x:v>
      </x:c>
      <x:c r="B124" s="63" t="str">
        <x:v>E03</x:v>
      </x:c>
      <x:c r="C124" s="63" t="str">
        <x:v>bank_observed_corridor_value</x:v>
      </x:c>
      <x:c r="D124" s="63" t="str">
        <x:v>MONEY</x:v>
      </x:c>
      <x:c r="E124" s="63" t="str">
        <x:v>OBSERVED</x:v>
      </x:c>
      <x:c r="F124" s="65" t="n">
        <x:v>1069891099.559999</x:v>
      </x:c>
      <x:c r="G124" s="66"/>
      <x:c r="H124" s="67"/>
      <x:c r="I124" s="63"/>
      <x:c r="J124" s="63" t="str">
        <x:v>ZAR</x:v>
      </x:c>
      <x:c r="K124" s="63" t="str">
        <x:v>ZAR</x:v>
      </x:c>
      <x:c r="L124" s="63" t="str">
        <x:v>2025-06-01</x:v>
      </x:c>
      <x:c r="M124" s="63" t="str">
        <x:v>2026-06-30</x:v>
      </x:c>
      <x:c r="N124" s="63" t="str">
        <x:v>2026-06-30</x:v>
      </x:c>
      <x:c r="O124" s="63" t="str">
        <x:v>E0</x:v>
      </x:c>
      <x:c r="P124" s="63" t="str">
        <x:v>APPROVED</x:v>
      </x:c>
      <x:c r="Q124" s="64" t="b">
        <x:v>0</x:v>
      </x:c>
      <x:c r="R124" s="63" t="str">
        <x:v>GEOGRAPHIC_EXPOSURE</x:v>
      </x:c>
      <x:c r="S124" s="63" t="str">
        <x:v>Syn Bank transaction and relationship simulation</x:v>
      </x:c>
      <x:c r="T124" s="63"/>
      <x:c r="U124" s="63" t="str">
        <x:v>internal://syn-bank/simulation/ltm</x:v>
      </x:c>
      <x:c r="V124" s="63" t="str">
        <x:v>60e8b917f9633ec241e968edeedf27829b7c8001474c81d3e64c7369d7024223</x:v>
      </x:c>
    </x:row>
    <x:row r="125">
      <x:c r="A125" s="63" t="str">
        <x:v>bec:E03:obs:corridor-name:1</x:v>
      </x:c>
      <x:c r="B125" s="63" t="str">
        <x:v>E03</x:v>
      </x:c>
      <x:c r="C125" s="63" t="str">
        <x:v>bank_observed_corridor_country</x:v>
      </x:c>
      <x:c r="D125" s="63" t="str">
        <x:v>CATEGORICAL</x:v>
      </x:c>
      <x:c r="E125" s="63" t="str">
        <x:v>OBSERVED</x:v>
      </x:c>
      <x:c r="F125" s="65"/>
      <x:c r="G125" s="66"/>
      <x:c r="H125" s="67"/>
      <x:c r="I125" s="63" t="str">
        <x:v>Botswana</x:v>
      </x:c>
      <x:c r="J125" s="63"/>
      <x:c r="K125" s="63" t="str">
        <x:v>country</x:v>
      </x:c>
      <x:c r="L125" s="63" t="str">
        <x:v>2025-06-01</x:v>
      </x:c>
      <x:c r="M125" s="63" t="str">
        <x:v>2026-06-30</x:v>
      </x:c>
      <x:c r="N125" s="63" t="str">
        <x:v>2026-06-30</x:v>
      </x:c>
      <x:c r="O125" s="63" t="str">
        <x:v>E0</x:v>
      </x:c>
      <x:c r="P125" s="63" t="str">
        <x:v>APPROVED</x:v>
      </x:c>
      <x:c r="Q125" s="64" t="b">
        <x:v>0</x:v>
      </x:c>
      <x:c r="R125" s="63" t="str">
        <x:v>GEOGRAPHIC_EXPOSURE</x:v>
      </x:c>
      <x:c r="S125" s="63" t="str">
        <x:v>Syn Bank transaction and relationship simulation</x:v>
      </x:c>
      <x:c r="T125" s="63"/>
      <x:c r="U125" s="63" t="str">
        <x:v>internal://syn-bank/simulation/ltm</x:v>
      </x:c>
      <x:c r="V125" s="63" t="str">
        <x:v>7ebd4ee280fa82468c606ad7aa198ba2ab39f8db4af2a32d808c243bbf9552d7</x:v>
      </x:c>
    </x:row>
    <x:row r="126">
      <x:c r="A126" s="63" t="str">
        <x:v>bec:E03:obs:corridor:2</x:v>
      </x:c>
      <x:c r="B126" s="63" t="str">
        <x:v>E03</x:v>
      </x:c>
      <x:c r="C126" s="63" t="str">
        <x:v>bank_observed_corridor_value</x:v>
      </x:c>
      <x:c r="D126" s="63" t="str">
        <x:v>MONEY</x:v>
      </x:c>
      <x:c r="E126" s="63" t="str">
        <x:v>OBSERVED</x:v>
      </x:c>
      <x:c r="F126" s="65" t="n">
        <x:v>381686070.7499999</x:v>
      </x:c>
      <x:c r="G126" s="66"/>
      <x:c r="H126" s="67"/>
      <x:c r="I126" s="63"/>
      <x:c r="J126" s="63" t="str">
        <x:v>ZAR</x:v>
      </x:c>
      <x:c r="K126" s="63" t="str">
        <x:v>ZAR</x:v>
      </x:c>
      <x:c r="L126" s="63" t="str">
        <x:v>2025-06-01</x:v>
      </x:c>
      <x:c r="M126" s="63" t="str">
        <x:v>2026-06-30</x:v>
      </x:c>
      <x:c r="N126" s="63" t="str">
        <x:v>2026-06-30</x:v>
      </x:c>
      <x:c r="O126" s="63" t="str">
        <x:v>E0</x:v>
      </x:c>
      <x:c r="P126" s="63" t="str">
        <x:v>APPROVED</x:v>
      </x:c>
      <x:c r="Q126" s="64" t="b">
        <x:v>0</x:v>
      </x:c>
      <x:c r="R126" s="63" t="str">
        <x:v>GEOGRAPHIC_EXPOSURE</x:v>
      </x:c>
      <x:c r="S126" s="63" t="str">
        <x:v>Syn Bank transaction and relationship simulation</x:v>
      </x:c>
      <x:c r="T126" s="63"/>
      <x:c r="U126" s="63" t="str">
        <x:v>internal://syn-bank/simulation/ltm</x:v>
      </x:c>
      <x:c r="V126" s="63" t="str">
        <x:v>44f4e432b07c80dea0d4356c25ddaa896b01b8cfafffc1bf7cfc9331cb967b83</x:v>
      </x:c>
    </x:row>
    <x:row r="127">
      <x:c r="A127" s="63" t="str">
        <x:v>bec:E03:obs:corridor-name:2</x:v>
      </x:c>
      <x:c r="B127" s="63" t="str">
        <x:v>E03</x:v>
      </x:c>
      <x:c r="C127" s="63" t="str">
        <x:v>bank_observed_corridor_country</x:v>
      </x:c>
      <x:c r="D127" s="63" t="str">
        <x:v>CATEGORICAL</x:v>
      </x:c>
      <x:c r="E127" s="63" t="str">
        <x:v>OBSERVED</x:v>
      </x:c>
      <x:c r="F127" s="65"/>
      <x:c r="G127" s="66"/>
      <x:c r="H127" s="67"/>
      <x:c r="I127" s="63" t="str">
        <x:v>India</x:v>
      </x:c>
      <x:c r="J127" s="63"/>
      <x:c r="K127" s="63" t="str">
        <x:v>country</x:v>
      </x:c>
      <x:c r="L127" s="63" t="str">
        <x:v>2025-06-01</x:v>
      </x:c>
      <x:c r="M127" s="63" t="str">
        <x:v>2026-06-30</x:v>
      </x:c>
      <x:c r="N127" s="63" t="str">
        <x:v>2026-06-30</x:v>
      </x:c>
      <x:c r="O127" s="63" t="str">
        <x:v>E0</x:v>
      </x:c>
      <x:c r="P127" s="63" t="str">
        <x:v>APPROVED</x:v>
      </x:c>
      <x:c r="Q127" s="64" t="b">
        <x:v>0</x:v>
      </x:c>
      <x:c r="R127" s="63" t="str">
        <x:v>GEOGRAPHIC_EXPOSURE</x:v>
      </x:c>
      <x:c r="S127" s="63" t="str">
        <x:v>Syn Bank transaction and relationship simulation</x:v>
      </x:c>
      <x:c r="T127" s="63"/>
      <x:c r="U127" s="63" t="str">
        <x:v>internal://syn-bank/simulation/ltm</x:v>
      </x:c>
      <x:c r="V127" s="63" t="str">
        <x:v>262b3a98eb3eaabeea320861788c0985dbeb8f2f4720e5491f0e80e23a868669</x:v>
      </x:c>
    </x:row>
    <x:row r="128">
      <x:c r="A128" s="63" t="str">
        <x:v>bec:E03:obs:currency:0</x:v>
      </x:c>
      <x:c r="B128" s="63" t="str">
        <x:v>E03</x:v>
      </x:c>
      <x:c r="C128" s="63" t="str">
        <x:v>bank_observed_currency_pair_value</x:v>
      </x:c>
      <x:c r="D128" s="63" t="str">
        <x:v>MONEY</x:v>
      </x:c>
      <x:c r="E128" s="63" t="str">
        <x:v>OBSERVED</x:v>
      </x:c>
      <x:c r="F128" s="65" t="n">
        <x:v>854997096.2300006</x:v>
      </x:c>
      <x:c r="G128" s="66"/>
      <x:c r="H128" s="67"/>
      <x:c r="I128" s="63"/>
      <x:c r="J128" s="63" t="str">
        <x:v>ZAR</x:v>
      </x:c>
      <x:c r="K128" s="63" t="str">
        <x:v>ZAR</x:v>
      </x:c>
      <x:c r="L128" s="63" t="str">
        <x:v>2025-06-01</x:v>
      </x:c>
      <x:c r="M128" s="63" t="str">
        <x:v>2026-06-30</x:v>
      </x:c>
      <x:c r="N128" s="63" t="str">
        <x:v>2026-06-30</x:v>
      </x:c>
      <x:c r="O128" s="63" t="str">
        <x:v>E0</x:v>
      </x:c>
      <x:c r="P128" s="63" t="str">
        <x:v>APPROVED</x:v>
      </x:c>
      <x:c r="Q128" s="64" t="b">
        <x:v>1</x:v>
      </x:c>
      <x:c r="R128" s="63" t="str">
        <x:v>CURRENCY_AND_COMMODITY_EXPOSURE</x:v>
      </x:c>
      <x:c r="S128" s="63" t="str">
        <x:v>Syn Bank transaction and relationship simulation</x:v>
      </x:c>
      <x:c r="T128" s="63"/>
      <x:c r="U128" s="63" t="str">
        <x:v>internal://syn-bank/simulation/ltm</x:v>
      </x:c>
      <x:c r="V128" s="63" t="str">
        <x:v>f2e2b92344b123c856e1d3b7f60d95770a526d7dfc8f5ab538d8155a81fdda9c</x:v>
      </x:c>
    </x:row>
    <x:row r="129">
      <x:c r="A129" s="63" t="str">
        <x:v>bec:E03:obs:currency-pair:0</x:v>
      </x:c>
      <x:c r="B129" s="63" t="str">
        <x:v>E03</x:v>
      </x:c>
      <x:c r="C129" s="63" t="str">
        <x:v>bank_observed_currency_pair</x:v>
      </x:c>
      <x:c r="D129" s="63" t="str">
        <x:v>CATEGORICAL</x:v>
      </x:c>
      <x:c r="E129" s="63" t="str">
        <x:v>OBSERVED</x:v>
      </x:c>
      <x:c r="F129" s="65"/>
      <x:c r="G129" s="66"/>
      <x:c r="H129" s="67"/>
      <x:c r="I129" s="63" t="str">
        <x:v>CNY/ZAR</x:v>
      </x:c>
      <x:c r="J129" s="63"/>
      <x:c r="K129" s="63" t="str">
        <x:v>currency_pair</x:v>
      </x:c>
      <x:c r="L129" s="63" t="str">
        <x:v>2025-06-01</x:v>
      </x:c>
      <x:c r="M129" s="63" t="str">
        <x:v>2026-06-30</x:v>
      </x:c>
      <x:c r="N129" s="63" t="str">
        <x:v>2026-06-30</x:v>
      </x:c>
      <x:c r="O129" s="63" t="str">
        <x:v>E0</x:v>
      </x:c>
      <x:c r="P129" s="63" t="str">
        <x:v>APPROVED</x:v>
      </x:c>
      <x:c r="Q129" s="64" t="b">
        <x:v>0</x:v>
      </x:c>
      <x:c r="R129" s="63" t="str">
        <x:v>CURRENCY_AND_COMMODITY_EXPOSURE</x:v>
      </x:c>
      <x:c r="S129" s="63" t="str">
        <x:v>Syn Bank transaction and relationship simulation</x:v>
      </x:c>
      <x:c r="T129" s="63"/>
      <x:c r="U129" s="63" t="str">
        <x:v>internal://syn-bank/simulation/ltm</x:v>
      </x:c>
      <x:c r="V129" s="63" t="str">
        <x:v>b04317adc4271f75ab6ac1d360650cb67f7d49bd3a76b969e0018e7124befbbe</x:v>
      </x:c>
    </x:row>
    <x:row r="130">
      <x:c r="A130" s="63" t="str">
        <x:v>bec:E03:obs:currency:1</x:v>
      </x:c>
      <x:c r="B130" s="63" t="str">
        <x:v>E03</x:v>
      </x:c>
      <x:c r="C130" s="63" t="str">
        <x:v>bank_observed_currency_pair_value</x:v>
      </x:c>
      <x:c r="D130" s="63" t="str">
        <x:v>MONEY</x:v>
      </x:c>
      <x:c r="E130" s="63" t="str">
        <x:v>OBSERVED</x:v>
      </x:c>
      <x:c r="F130" s="65" t="n">
        <x:v>847664426.5199991</x:v>
      </x:c>
      <x:c r="G130" s="66"/>
      <x:c r="H130" s="67"/>
      <x:c r="I130" s="63"/>
      <x:c r="J130" s="63" t="str">
        <x:v>ZAR</x:v>
      </x:c>
      <x:c r="K130" s="63" t="str">
        <x:v>ZAR</x:v>
      </x:c>
      <x:c r="L130" s="63" t="str">
        <x:v>2025-06-01</x:v>
      </x:c>
      <x:c r="M130" s="63" t="str">
        <x:v>2026-06-30</x:v>
      </x:c>
      <x:c r="N130" s="63" t="str">
        <x:v>2026-06-30</x:v>
      </x:c>
      <x:c r="O130" s="63" t="str">
        <x:v>E0</x:v>
      </x:c>
      <x:c r="P130" s="63" t="str">
        <x:v>APPROVED</x:v>
      </x:c>
      <x:c r="Q130" s="64" t="b">
        <x:v>0</x:v>
      </x:c>
      <x:c r="R130" s="63" t="str">
        <x:v>CURRENCY_AND_COMMODITY_EXPOSURE</x:v>
      </x:c>
      <x:c r="S130" s="63" t="str">
        <x:v>Syn Bank transaction and relationship simulation</x:v>
      </x:c>
      <x:c r="T130" s="63"/>
      <x:c r="U130" s="63" t="str">
        <x:v>internal://syn-bank/simulation/ltm</x:v>
      </x:c>
      <x:c r="V130" s="63" t="str">
        <x:v>a52072d762f30eb01e8fa5042c72001c2ec9cd8c79a7e938a67309e173f3e32e</x:v>
      </x:c>
    </x:row>
    <x:row r="131">
      <x:c r="A131" s="63" t="str">
        <x:v>bec:E03:obs:currency-pair:1</x:v>
      </x:c>
      <x:c r="B131" s="63" t="str">
        <x:v>E03</x:v>
      </x:c>
      <x:c r="C131" s="63" t="str">
        <x:v>bank_observed_currency_pair</x:v>
      </x:c>
      <x:c r="D131" s="63" t="str">
        <x:v>CATEGORICAL</x:v>
      </x:c>
      <x:c r="E131" s="63" t="str">
        <x:v>OBSERVED</x:v>
      </x:c>
      <x:c r="F131" s="65"/>
      <x:c r="G131" s="66"/>
      <x:c r="H131" s="67"/>
      <x:c r="I131" s="63" t="str">
        <x:v>USD/ZAR</x:v>
      </x:c>
      <x:c r="J131" s="63"/>
      <x:c r="K131" s="63" t="str">
        <x:v>currency_pair</x:v>
      </x:c>
      <x:c r="L131" s="63" t="str">
        <x:v>2025-06-01</x:v>
      </x:c>
      <x:c r="M131" s="63" t="str">
        <x:v>2026-06-30</x:v>
      </x:c>
      <x:c r="N131" s="63" t="str">
        <x:v>2026-06-30</x:v>
      </x:c>
      <x:c r="O131" s="63" t="str">
        <x:v>E0</x:v>
      </x:c>
      <x:c r="P131" s="63" t="str">
        <x:v>APPROVED</x:v>
      </x:c>
      <x:c r="Q131" s="64" t="b">
        <x:v>0</x:v>
      </x:c>
      <x:c r="R131" s="63" t="str">
        <x:v>CURRENCY_AND_COMMODITY_EXPOSURE</x:v>
      </x:c>
      <x:c r="S131" s="63" t="str">
        <x:v>Syn Bank transaction and relationship simulation</x:v>
      </x:c>
      <x:c r="T131" s="63"/>
      <x:c r="U131" s="63" t="str">
        <x:v>internal://syn-bank/simulation/ltm</x:v>
      </x:c>
      <x:c r="V131" s="63" t="str">
        <x:v>34aa254e64386572007d7208e4d3f736016ab43507308aa7548415a03a73c749</x:v>
      </x:c>
    </x:row>
    <x:row r="132">
      <x:c r="A132" s="63" t="str">
        <x:v>bec:E03:obs:currency:2</x:v>
      </x:c>
      <x:c r="B132" s="63" t="str">
        <x:v>E03</x:v>
      </x:c>
      <x:c r="C132" s="63" t="str">
        <x:v>bank_observed_currency_pair_value</x:v>
      </x:c>
      <x:c r="D132" s="63" t="str">
        <x:v>MONEY</x:v>
      </x:c>
      <x:c r="E132" s="63" t="str">
        <x:v>OBSERVED</x:v>
      </x:c>
      <x:c r="F132" s="65" t="n">
        <x:v>807793557.1099997</x:v>
      </x:c>
      <x:c r="G132" s="66"/>
      <x:c r="H132" s="67"/>
      <x:c r="I132" s="63"/>
      <x:c r="J132" s="63" t="str">
        <x:v>ZAR</x:v>
      </x:c>
      <x:c r="K132" s="63" t="str">
        <x:v>ZAR</x:v>
      </x:c>
      <x:c r="L132" s="63" t="str">
        <x:v>2025-06-01</x:v>
      </x:c>
      <x:c r="M132" s="63" t="str">
        <x:v>2026-06-30</x:v>
      </x:c>
      <x:c r="N132" s="63" t="str">
        <x:v>2026-06-30</x:v>
      </x:c>
      <x:c r="O132" s="63" t="str">
        <x:v>E0</x:v>
      </x:c>
      <x:c r="P132" s="63" t="str">
        <x:v>APPROVED</x:v>
      </x:c>
      <x:c r="Q132" s="64" t="b">
        <x:v>0</x:v>
      </x:c>
      <x:c r="R132" s="63" t="str">
        <x:v>CURRENCY_AND_COMMODITY_EXPOSURE</x:v>
      </x:c>
      <x:c r="S132" s="63" t="str">
        <x:v>Syn Bank transaction and relationship simulation</x:v>
      </x:c>
      <x:c r="T132" s="63"/>
      <x:c r="U132" s="63" t="str">
        <x:v>internal://syn-bank/simulation/ltm</x:v>
      </x:c>
      <x:c r="V132" s="63" t="str">
        <x:v>ee70bdba92ce2ec894a8db8c49453b409f66b2554796f34f8ef26d39634177c6</x:v>
      </x:c>
    </x:row>
    <x:row r="133">
      <x:c r="A133" s="63" t="str">
        <x:v>bec:E03:obs:currency-pair:2</x:v>
      </x:c>
      <x:c r="B133" s="63" t="str">
        <x:v>E03</x:v>
      </x:c>
      <x:c r="C133" s="63" t="str">
        <x:v>bank_observed_currency_pair</x:v>
      </x:c>
      <x:c r="D133" s="63" t="str">
        <x:v>CATEGORICAL</x:v>
      </x:c>
      <x:c r="E133" s="63" t="str">
        <x:v>OBSERVED</x:v>
      </x:c>
      <x:c r="F133" s="65"/>
      <x:c r="G133" s="66"/>
      <x:c r="H133" s="67"/>
      <x:c r="I133" s="63" t="str">
        <x:v>AED/ZAR</x:v>
      </x:c>
      <x:c r="J133" s="63"/>
      <x:c r="K133" s="63" t="str">
        <x:v>currency_pair</x:v>
      </x:c>
      <x:c r="L133" s="63" t="str">
        <x:v>2025-06-01</x:v>
      </x:c>
      <x:c r="M133" s="63" t="str">
        <x:v>2026-06-30</x:v>
      </x:c>
      <x:c r="N133" s="63" t="str">
        <x:v>2026-06-30</x:v>
      </x:c>
      <x:c r="O133" s="63" t="str">
        <x:v>E0</x:v>
      </x:c>
      <x:c r="P133" s="63" t="str">
        <x:v>APPROVED</x:v>
      </x:c>
      <x:c r="Q133" s="64" t="b">
        <x:v>0</x:v>
      </x:c>
      <x:c r="R133" s="63" t="str">
        <x:v>CURRENCY_AND_COMMODITY_EXPOSURE</x:v>
      </x:c>
      <x:c r="S133" s="63" t="str">
        <x:v>Syn Bank transaction and relationship simulation</x:v>
      </x:c>
      <x:c r="T133" s="63"/>
      <x:c r="U133" s="63" t="str">
        <x:v>internal://syn-bank/simulation/ltm</x:v>
      </x:c>
      <x:c r="V133" s="63" t="str">
        <x:v>2b11d30cbf22bdb9434f8032ea0609f770c858d69fd6b94850a420d808b62a4a</x:v>
      </x:c>
    </x:row>
    <x:row r="134">
      <x:c r="A134" s="63" t="str">
        <x:v>bec:E03:obs:country-count</x:v>
      </x:c>
      <x:c r="B134" s="63" t="str">
        <x:v>E03</x:v>
      </x:c>
      <x:c r="C134" s="63" t="str">
        <x:v>bank_observed_active_country_count</x:v>
      </x:c>
      <x:c r="D134" s="63" t="str">
        <x:v>COUNT</x:v>
      </x:c>
      <x:c r="E134" s="63" t="str">
        <x:v>OBSERVED</x:v>
      </x:c>
      <x:c r="F134" s="65"/>
      <x:c r="G134" s="66"/>
      <x:c r="H134" s="67" t="n">
        <x:v>16</x:v>
      </x:c>
      <x:c r="I134" s="63"/>
      <x:c r="J134" s="63"/>
      <x:c r="K134" s="63" t="str">
        <x:v>countries</x:v>
      </x:c>
      <x:c r="L134" s="63" t="str">
        <x:v>2025-06-01</x:v>
      </x:c>
      <x:c r="M134" s="63" t="str">
        <x:v>2026-06-30</x:v>
      </x:c>
      <x:c r="N134" s="63" t="str">
        <x:v>2026-06-30</x:v>
      </x:c>
      <x:c r="O134" s="63" t="str">
        <x:v>E0</x:v>
      </x:c>
      <x:c r="P134" s="63" t="str">
        <x:v>APPROVED</x:v>
      </x:c>
      <x:c r="Q134" s="64" t="b">
        <x:v>1</x:v>
      </x:c>
      <x:c r="R134" s="63" t="str">
        <x:v>GEOGRAPHIC_EXPOSURE</x:v>
      </x:c>
      <x:c r="S134" s="63" t="str">
        <x:v>Syn Bank transaction and relationship simulation</x:v>
      </x:c>
      <x:c r="T134" s="63"/>
      <x:c r="U134" s="63" t="str">
        <x:v>internal://syn-bank/simulation/ltm</x:v>
      </x:c>
      <x:c r="V134" s="63" t="str">
        <x:v>6509914f0f0eae6b21e81e4fa9649b53083c6da1c4a7f0c4e493b31598462c90</x:v>
      </x:c>
    </x:row>
    <x:row r="135">
      <x:c r="A135" s="63" t="str">
        <x:v>bec:E03:obs:relationship-breadth</x:v>
      </x:c>
      <x:c r="B135" s="63" t="str">
        <x:v>E03</x:v>
      </x:c>
      <x:c r="C135" s="63" t="str">
        <x:v>bank_observed_product_relationship_breadth</x:v>
      </x:c>
      <x:c r="D135" s="63" t="str">
        <x:v>COUNT</x:v>
      </x:c>
      <x:c r="E135" s="63" t="str">
        <x:v>OBSERVED</x:v>
      </x:c>
      <x:c r="F135" s="65"/>
      <x:c r="G135" s="66"/>
      <x:c r="H135" s="67" t="n">
        <x:v>5</x:v>
      </x:c>
      <x:c r="I135" s="63"/>
      <x:c r="J135" s="63"/>
      <x:c r="K135" s="63" t="str">
        <x:v>products</x:v>
      </x:c>
      <x:c r="L135" s="63" t="str">
        <x:v>2025-06-01</x:v>
      </x:c>
      <x:c r="M135" s="63" t="str">
        <x:v>2026-06-30</x:v>
      </x:c>
      <x:c r="N135" s="63" t="str">
        <x:v>2026-06-30</x:v>
      </x:c>
      <x:c r="O135" s="63" t="str">
        <x:v>E0</x:v>
      </x:c>
      <x:c r="P135" s="63" t="str">
        <x:v>APPROVED</x:v>
      </x:c>
      <x:c r="Q135" s="64" t="b">
        <x:v>1</x:v>
      </x:c>
      <x:c r="R135" s="63" t="str">
        <x:v>OPERATING_MODEL</x:v>
      </x:c>
      <x:c r="S135" s="63" t="str">
        <x:v>Syn Bank transaction and relationship simulation</x:v>
      </x:c>
      <x:c r="T135" s="63"/>
      <x:c r="U135" s="63" t="str">
        <x:v>internal://syn-bank/simulation/ltm</x:v>
      </x:c>
      <x:c r="V135" s="63" t="str">
        <x:v>1a5114a9cc75df733699720ff908421388ee5a96e6dce2f5e51966f6f6e1c2a5</x:v>
      </x:c>
    </x:row>
    <x:row r="136">
      <x:c r="A136" s="63" t="str">
        <x:v>bec:E03:obs:latent:operating_scale</x:v>
      </x:c>
      <x:c r="B136" s="63" t="str">
        <x:v>E03</x:v>
      </x:c>
      <x:c r="C136" s="63" t="str">
        <x:v>bank_observed_operating_scale_index</x:v>
      </x:c>
      <x:c r="D136" s="63" t="str">
        <x:v>RATIO</x:v>
      </x:c>
      <x:c r="E136" s="63" t="str">
        <x:v>OBSERVED</x:v>
      </x:c>
      <x:c r="F136" s="65"/>
      <x:c r="G136" s="66" t="n">
        <x:v>0.7</x:v>
      </x:c>
      <x:c r="H136" s="67"/>
      <x:c r="I136" s="63"/>
      <x:c r="J136" s="63"/>
      <x:c r="K136" s="63" t="str">
        <x:v>index_0_1</x:v>
      </x:c>
      <x:c r="L136" s="63" t="str">
        <x:v>2025-06-01</x:v>
      </x:c>
      <x:c r="M136" s="63" t="str">
        <x:v>2026-06-30</x:v>
      </x:c>
      <x:c r="N136" s="63" t="str">
        <x:v>2026-06-30</x:v>
      </x:c>
      <x:c r="O136" s="63" t="str">
        <x:v>E0</x:v>
      </x:c>
      <x:c r="P136" s="63" t="str">
        <x:v>APPROVED</x:v>
      </x:c>
      <x:c r="Q136" s="64" t="b">
        <x:v>0</x:v>
      </x:c>
      <x:c r="R136" s="63" t="str">
        <x:v>OPERATING_MODEL</x:v>
      </x:c>
      <x:c r="S136" s="63" t="str">
        <x:v>Syn Bank transaction and relationship simulation</x:v>
      </x:c>
      <x:c r="T136" s="63"/>
      <x:c r="U136" s="63" t="str">
        <x:v>internal://syn-bank/simulation/ltm</x:v>
      </x:c>
      <x:c r="V136" s="63" t="str">
        <x:v>086512cc9453bfb2d2806c81afdde22733d652b156666af3153eddfd327ede94</x:v>
      </x:c>
    </x:row>
    <x:row r="137">
      <x:c r="A137" s="63" t="str">
        <x:v>bec:E03:obs:latent:working_capital_intensity</x:v>
      </x:c>
      <x:c r="B137" s="63" t="str">
        <x:v>E03</x:v>
      </x:c>
      <x:c r="C137" s="63" t="str">
        <x:v>bank_observed_working_capital_intensity_index</x:v>
      </x:c>
      <x:c r="D137" s="63" t="str">
        <x:v>RATIO</x:v>
      </x:c>
      <x:c r="E137" s="63" t="str">
        <x:v>OBSERVED</x:v>
      </x:c>
      <x:c r="F137" s="65"/>
      <x:c r="G137" s="66" t="n">
        <x:v>0.819</x:v>
      </x:c>
      <x:c r="H137" s="67"/>
      <x:c r="I137" s="63"/>
      <x:c r="J137" s="63"/>
      <x:c r="K137" s="63" t="str">
        <x:v>index_0_1</x:v>
      </x:c>
      <x:c r="L137" s="63" t="str">
        <x:v>2025-06-01</x:v>
      </x:c>
      <x:c r="M137" s="63" t="str">
        <x:v>2026-06-30</x:v>
      </x:c>
      <x:c r="N137" s="63" t="str">
        <x:v>2026-06-30</x:v>
      </x:c>
      <x:c r="O137" s="63" t="str">
        <x:v>E0</x:v>
      </x:c>
      <x:c r="P137" s="63" t="str">
        <x:v>APPROVED</x:v>
      </x:c>
      <x:c r="Q137" s="64" t="b">
        <x:v>0</x:v>
      </x:c>
      <x:c r="R137" s="63" t="str">
        <x:v>WORKING_CAPITAL_CYCLE</x:v>
      </x:c>
      <x:c r="S137" s="63" t="str">
        <x:v>Syn Bank transaction and relationship simulation</x:v>
      </x:c>
      <x:c r="T137" s="63"/>
      <x:c r="U137" s="63" t="str">
        <x:v>internal://syn-bank/simulation/ltm</x:v>
      </x:c>
      <x:c r="V137" s="63" t="str">
        <x:v>534247e6ea63b6dcd3967abd1d38a06e4ff834f180b0b4c844fbd96bf5f17b1c</x:v>
      </x:c>
    </x:row>
    <x:row r="138">
      <x:c r="A138" s="63" t="str">
        <x:v>bec:E03:obs:latent:liquidity_volatility</x:v>
      </x:c>
      <x:c r="B138" s="63" t="str">
        <x:v>E03</x:v>
      </x:c>
      <x:c r="C138" s="63" t="str">
        <x:v>bank_observed_liquidity_volatility_index</x:v>
      </x:c>
      <x:c r="D138" s="63" t="str">
        <x:v>RATIO</x:v>
      </x:c>
      <x:c r="E138" s="63" t="str">
        <x:v>OBSERVED</x:v>
      </x:c>
      <x:c r="F138" s="65"/>
      <x:c r="G138" s="66" t="n">
        <x:v>0.044</x:v>
      </x:c>
      <x:c r="H138" s="67"/>
      <x:c r="I138" s="63"/>
      <x:c r="J138" s="63"/>
      <x:c r="K138" s="63" t="str">
        <x:v>index_0_1</x:v>
      </x:c>
      <x:c r="L138" s="63" t="str">
        <x:v>2025-06-01</x:v>
      </x:c>
      <x:c r="M138" s="63" t="str">
        <x:v>2026-06-30</x:v>
      </x:c>
      <x:c r="N138" s="63" t="str">
        <x:v>2026-06-30</x:v>
      </x:c>
      <x:c r="O138" s="63" t="str">
        <x:v>E0</x:v>
      </x:c>
      <x:c r="P138" s="63" t="str">
        <x:v>APPROVED</x:v>
      </x:c>
      <x:c r="Q138" s="64" t="b">
        <x:v>0</x:v>
      </x:c>
      <x:c r="R138" s="63" t="str">
        <x:v>LIQUIDITY_AND_BUFFER</x:v>
      </x:c>
      <x:c r="S138" s="63" t="str">
        <x:v>Syn Bank transaction and relationship simulation</x:v>
      </x:c>
      <x:c r="T138" s="63"/>
      <x:c r="U138" s="63" t="str">
        <x:v>internal://syn-bank/simulation/ltm</x:v>
      </x:c>
      <x:c r="V138" s="63" t="str">
        <x:v>d3622b6146720399a5b44d3dc560ac4828aed55ede51699cdc66f61938b4940b</x:v>
      </x:c>
    </x:row>
    <x:row r="139">
      <x:c r="A139" s="63" t="str">
        <x:v>bec:E03:obs:latent:international_exposure</x:v>
      </x:c>
      <x:c r="B139" s="63" t="str">
        <x:v>E03</x:v>
      </x:c>
      <x:c r="C139" s="63" t="str">
        <x:v>bank_observed_international_exposure_index</x:v>
      </x:c>
      <x:c r="D139" s="63" t="str">
        <x:v>RATIO</x:v>
      </x:c>
      <x:c r="E139" s="63" t="str">
        <x:v>OBSERVED</x:v>
      </x:c>
      <x:c r="F139" s="65"/>
      <x:c r="G139" s="66" t="n">
        <x:v>0.181</x:v>
      </x:c>
      <x:c r="H139" s="67"/>
      <x:c r="I139" s="63"/>
      <x:c r="J139" s="63"/>
      <x:c r="K139" s="63" t="str">
        <x:v>index_0_1</x:v>
      </x:c>
      <x:c r="L139" s="63" t="str">
        <x:v>2025-06-01</x:v>
      </x:c>
      <x:c r="M139" s="63" t="str">
        <x:v>2026-06-30</x:v>
      </x:c>
      <x:c r="N139" s="63" t="str">
        <x:v>2026-06-30</x:v>
      </x:c>
      <x:c r="O139" s="63" t="str">
        <x:v>E0</x:v>
      </x:c>
      <x:c r="P139" s="63" t="str">
        <x:v>APPROVED</x:v>
      </x:c>
      <x:c r="Q139" s="64" t="b">
        <x:v>0</x:v>
      </x:c>
      <x:c r="R139" s="63" t="str">
        <x:v>GEOGRAPHIC_EXPOSURE</x:v>
      </x:c>
      <x:c r="S139" s="63" t="str">
        <x:v>Syn Bank transaction and relationship simulation</x:v>
      </x:c>
      <x:c r="T139" s="63"/>
      <x:c r="U139" s="63" t="str">
        <x:v>internal://syn-bank/simulation/ltm</x:v>
      </x:c>
      <x:c r="V139" s="63" t="str">
        <x:v>9bc792455e243b38b20a0470420c0d3d998080c611a5bff1cf629d9d261a6742</x:v>
      </x:c>
    </x:row>
    <x:row r="140">
      <x:c r="A140" s="63" t="str">
        <x:v>bec:E03:obs:latent:financing_need</x:v>
      </x:c>
      <x:c r="B140" s="63" t="str">
        <x:v>E03</x:v>
      </x:c>
      <x:c r="C140" s="63" t="str">
        <x:v>bank_observed_financing_need_index</x:v>
      </x:c>
      <x:c r="D140" s="63" t="str">
        <x:v>RATIO</x:v>
      </x:c>
      <x:c r="E140" s="63" t="str">
        <x:v>OBSERVED</x:v>
      </x:c>
      <x:c r="F140" s="65"/>
      <x:c r="G140" s="66" t="n">
        <x:v>0.041</x:v>
      </x:c>
      <x:c r="H140" s="67"/>
      <x:c r="I140" s="63"/>
      <x:c r="J140" s="63"/>
      <x:c r="K140" s="63" t="str">
        <x:v>index_0_1</x:v>
      </x:c>
      <x:c r="L140" s="63" t="str">
        <x:v>2025-06-01</x:v>
      </x:c>
      <x:c r="M140" s="63" t="str">
        <x:v>2026-06-30</x:v>
      </x:c>
      <x:c r="N140" s="63" t="str">
        <x:v>2026-06-30</x:v>
      </x:c>
      <x:c r="O140" s="63" t="str">
        <x:v>E0</x:v>
      </x:c>
      <x:c r="P140" s="63" t="str">
        <x:v>APPROVED</x:v>
      </x:c>
      <x:c r="Q140" s="64" t="b">
        <x:v>0</x:v>
      </x:c>
      <x:c r="R140" s="63" t="str">
        <x:v>FUNDING_STRUCTURE</x:v>
      </x:c>
      <x:c r="S140" s="63" t="str">
        <x:v>Syn Bank transaction and relationship simulation</x:v>
      </x:c>
      <x:c r="T140" s="63"/>
      <x:c r="U140" s="63" t="str">
        <x:v>internal://syn-bank/simulation/ltm</x:v>
      </x:c>
      <x:c r="V140" s="63" t="str">
        <x:v>dae2f71304211348006d61b92e37ca64b15e0542fe4f819364ea8ddff691d5dc</x:v>
      </x:c>
    </x:row>
    <x:row r="141">
      <x:c r="A141" s="63" t="str">
        <x:v>bec:E03:obs:latent:event_intensity</x:v>
      </x:c>
      <x:c r="B141" s="63" t="str">
        <x:v>E03</x:v>
      </x:c>
      <x:c r="C141" s="63" t="str">
        <x:v>bank_observed_event_intensity_index</x:v>
      </x:c>
      <x:c r="D141" s="63" t="str">
        <x:v>RATIO</x:v>
      </x:c>
      <x:c r="E141" s="63" t="str">
        <x:v>OBSERVED</x:v>
      </x:c>
      <x:c r="F141" s="65"/>
      <x:c r="G141" s="66" t="n">
        <x:v>1</x:v>
      </x:c>
      <x:c r="H141" s="67"/>
      <x:c r="I141" s="63"/>
      <x:c r="J141" s="63"/>
      <x:c r="K141" s="63" t="str">
        <x:v>index_0_1</x:v>
      </x:c>
      <x:c r="L141" s="63" t="str">
        <x:v>2025-06-01</x:v>
      </x:c>
      <x:c r="M141" s="63" t="str">
        <x:v>2026-06-30</x:v>
      </x:c>
      <x:c r="N141" s="63" t="str">
        <x:v>2026-06-30</x:v>
      </x:c>
      <x:c r="O141" s="63" t="str">
        <x:v>E0</x:v>
      </x:c>
      <x:c r="P141" s="63" t="str">
        <x:v>APPROVED</x:v>
      </x:c>
      <x:c r="Q141" s="64" t="b">
        <x:v>0</x:v>
      </x:c>
      <x:c r="R141" s="63" t="str">
        <x:v>STRATEGY_ACTIONS_AND_ESG</x:v>
      </x:c>
      <x:c r="S141" s="63" t="str">
        <x:v>Syn Bank transaction and relationship simulation</x:v>
      </x:c>
      <x:c r="T141" s="63"/>
      <x:c r="U141" s="63" t="str">
        <x:v>internal://syn-bank/simulation/ltm</x:v>
      </x:c>
      <x:c r="V141" s="63" t="str">
        <x:v>760db23a86fe428be58bfc346ac83b89773b9e432f102f3df329840f46a32893</x:v>
      </x:c>
    </x:row>
    <x:row r="142">
      <x:c r="A142" s="63" t="str">
        <x:v>bec:E03:obs:latent:relationship_complexity</x:v>
      </x:c>
      <x:c r="B142" s="63" t="str">
        <x:v>E03</x:v>
      </x:c>
      <x:c r="C142" s="63" t="str">
        <x:v>bank_observed_relationship_complexity_index</x:v>
      </x:c>
      <x:c r="D142" s="63" t="str">
        <x:v>RATIO</x:v>
      </x:c>
      <x:c r="E142" s="63" t="str">
        <x:v>OBSERVED</x:v>
      </x:c>
      <x:c r="F142" s="65"/>
      <x:c r="G142" s="66" t="n">
        <x:v>1</x:v>
      </x:c>
      <x:c r="H142" s="67"/>
      <x:c r="I142" s="63"/>
      <x:c r="J142" s="63"/>
      <x:c r="K142" s="63" t="str">
        <x:v>index_0_1</x:v>
      </x:c>
      <x:c r="L142" s="63" t="str">
        <x:v>2025-06-01</x:v>
      </x:c>
      <x:c r="M142" s="63" t="str">
        <x:v>2026-06-30</x:v>
      </x:c>
      <x:c r="N142" s="63" t="str">
        <x:v>2026-06-30</x:v>
      </x:c>
      <x:c r="O142" s="63" t="str">
        <x:v>E0</x:v>
      </x:c>
      <x:c r="P142" s="63" t="str">
        <x:v>APPROVED</x:v>
      </x:c>
      <x:c r="Q142" s="64" t="b">
        <x:v>0</x:v>
      </x:c>
      <x:c r="R142" s="63" t="str">
        <x:v>OPERATING_MODEL</x:v>
      </x:c>
      <x:c r="S142" s="63" t="str">
        <x:v>Syn Bank transaction and relationship simulation</x:v>
      </x:c>
      <x:c r="T142" s="63"/>
      <x:c r="U142" s="63" t="str">
        <x:v>internal://syn-bank/simulation/ltm</x:v>
      </x:c>
      <x:c r="V142" s="63" t="str">
        <x:v>9058d2d9f36824d97df86b38fc2d6b10e7c6e1fde0aa3c561fc805b1db545d53</x:v>
      </x:c>
    </x:row>
    <x:row r="143">
      <x:c r="A143" s="63" t="str">
        <x:v>bec:E03:obs:events:trade-90d</x:v>
      </x:c>
      <x:c r="B143" s="63" t="str">
        <x:v>E03</x:v>
      </x:c>
      <x:c r="C143" s="63" t="str">
        <x:v>bank_observed_trade_events_next_90d</x:v>
      </x:c>
      <x:c r="D143" s="63" t="str">
        <x:v>COUNT</x:v>
      </x:c>
      <x:c r="E143" s="63" t="str">
        <x:v>OBSERVED</x:v>
      </x:c>
      <x:c r="F143" s="65"/>
      <x:c r="G143" s="66"/>
      <x:c r="H143" s="67" t="n">
        <x:v>61</x:v>
      </x:c>
      <x:c r="I143" s="63"/>
      <x:c r="J143" s="63"/>
      <x:c r="K143" s="63" t="str">
        <x:v>events</x:v>
      </x:c>
      <x:c r="L143" s="63" t="str">
        <x:v>2025-06-01</x:v>
      </x:c>
      <x:c r="M143" s="63" t="str">
        <x:v>2026-06-30</x:v>
      </x:c>
      <x:c r="N143" s="63" t="str">
        <x:v>2026-06-30</x:v>
      </x:c>
      <x:c r="O143" s="63" t="str">
        <x:v>E0</x:v>
      </x:c>
      <x:c r="P143" s="63" t="str">
        <x:v>APPROVED</x:v>
      </x:c>
      <x:c r="Q143" s="64" t="b">
        <x:v>1</x:v>
      </x:c>
      <x:c r="R143" s="63" t="str">
        <x:v>OPERATING_MODEL, WORKING_CAPITAL_CYCLE</x:v>
      </x:c>
      <x:c r="S143" s="63" t="str">
        <x:v>Syn Bank transaction and relationship simulation</x:v>
      </x:c>
      <x:c r="T143" s="63"/>
      <x:c r="U143" s="63" t="str">
        <x:v>internal://syn-bank/simulation/ltm</x:v>
      </x:c>
      <x:c r="V143" s="63" t="str">
        <x:v>077b530861c68c7537179b59f93906f78b0484085e0230610c854c2742e9698d</x:v>
      </x:c>
    </x:row>
    <x:row r="144">
      <x:c r="A144" s="63" t="str">
        <x:v>bec:E03:obs:events:trade-90d-value</x:v>
      </x:c>
      <x:c r="B144" s="63" t="str">
        <x:v>E03</x:v>
      </x:c>
      <x:c r="C144" s="63" t="str">
        <x:v>bank_observed_trade_events_value_next_90d</x:v>
      </x:c>
      <x:c r="D144" s="63" t="str">
        <x:v>MONEY</x:v>
      </x:c>
      <x:c r="E144" s="63" t="str">
        <x:v>OBSERVED</x:v>
      </x:c>
      <x:c r="F144" s="65" t="n">
        <x:v>101649403.36</x:v>
      </x:c>
      <x:c r="G144" s="66"/>
      <x:c r="H144" s="67"/>
      <x:c r="I144" s="63"/>
      <x:c r="J144" s="63" t="str">
        <x:v>ZAR</x:v>
      </x:c>
      <x:c r="K144" s="63" t="str">
        <x:v>ZAR</x:v>
      </x:c>
      <x:c r="L144" s="63" t="str">
        <x:v>2025-06-01</x:v>
      </x:c>
      <x:c r="M144" s="63" t="str">
        <x:v>2026-06-30</x:v>
      </x:c>
      <x:c r="N144" s="63" t="str">
        <x:v>2026-06-30</x:v>
      </x:c>
      <x:c r="O144" s="63" t="str">
        <x:v>E0</x:v>
      </x:c>
      <x:c r="P144" s="63" t="str">
        <x:v>APPROVED</x:v>
      </x:c>
      <x:c r="Q144" s="64" t="b">
        <x:v>0</x:v>
      </x:c>
      <x:c r="R144" s="63" t="str">
        <x:v>WORKING_CAPITAL_CYCLE</x:v>
      </x:c>
      <x:c r="S144" s="63" t="str">
        <x:v>Syn Bank transaction and relationship simulation</x:v>
      </x:c>
      <x:c r="T144" s="63"/>
      <x:c r="U144" s="63" t="str">
        <x:v>internal://syn-bank/simulation/ltm</x:v>
      </x:c>
      <x:c r="V144" s="63" t="str">
        <x:v>be44f9e55af7568dc8ef1cb6651b7722ffc1808010e4d7b94d9ca62c9b15e0c3</x:v>
      </x:c>
    </x:row>
    <x:row r="145">
      <x:c r="A145" s="63" t="str">
        <x:v>bec:E03:struct:operating-model</x:v>
      </x:c>
      <x:c r="B145" s="63" t="str">
        <x:v>E03</x:v>
      </x:c>
      <x:c r="C145" s="63" t="str">
        <x:v>sector_operating_model</x:v>
      </x:c>
      <x:c r="D145" s="63" t="str">
        <x:v>TEXTUAL</x:v>
      </x:c>
      <x:c r="E145" s="63" t="str">
        <x:v>SCENARIO</x:v>
      </x:c>
      <x:c r="F145" s="65"/>
      <x:c r="G145" s="66"/>
      <x:c r="H145" s="67"/>
      <x:c r="I145" s="63" t="str">
        <x:v>Multi-jurisdiction extractive operator with commodity-linked revenue, long-cycle capex and joint-venture structures.</x:v>
      </x:c>
      <x:c r="J145" s="63"/>
      <x:c r="K145" s="63" t="str">
        <x:v>statement</x:v>
      </x:c>
      <x:c r="L145" s="63" t="str">
        <x:v>2025-06-01</x:v>
      </x:c>
      <x:c r="M145" s="63" t="str">
        <x:v>2026-06-30</x:v>
      </x:c>
      <x:c r="N145" s="63" t="str">
        <x:v>2026-06-30</x:v>
      </x:c>
      <x:c r="O145" s="63" t="str">
        <x:v>E0</x:v>
      </x:c>
      <x:c r="P145" s="63" t="str">
        <x:v>APPROVED</x:v>
      </x:c>
      <x:c r="Q145" s="64" t="b">
        <x:v>0</x:v>
      </x:c>
      <x:c r="R145" s="63" t="str">
        <x:v>OPERATING_MODEL</x:v>
      </x:c>
      <x:c r="S145" s="63" t="str">
        <x:v>Governed sector operating-model and responsibility policy</x:v>
      </x:c>
      <x:c r="T145" s="63"/>
      <x:c r="U145" s="63" t="str">
        <x:v>internal://v31/governed-policy</x:v>
      </x:c>
      <x:c r="V145" s="63" t="str">
        <x:v>dd18469358f0bf47a3ddc819ccb24dcc550c60e349618c2312b806796f99b033</x:v>
      </x:c>
    </x:row>
    <x:row r="146">
      <x:c r="A146" s="63" t="str">
        <x:v>bec:E03:struct:risk:0</x:v>
      </x:c>
      <x:c r="B146" s="63" t="str">
        <x:v>E03</x:v>
      </x:c>
      <x:c r="C146" s="63" t="str">
        <x:v>sector_primary_risk</x:v>
      </x:c>
      <x:c r="D146" s="63" t="str">
        <x:v>CATEGORICAL</x:v>
      </x:c>
      <x:c r="E146" s="63" t="str">
        <x:v>SCENARIO</x:v>
      </x:c>
      <x:c r="F146" s="65"/>
      <x:c r="G146" s="66"/>
      <x:c r="H146" s="67"/>
      <x:c r="I146" s="63" t="str">
        <x:v>commodity price volatility</x:v>
      </x:c>
      <x:c r="J146" s="63"/>
      <x:c r="K146" s="63" t="str">
        <x:v>statement</x:v>
      </x:c>
      <x:c r="L146" s="63" t="str">
        <x:v>2025-06-01</x:v>
      </x:c>
      <x:c r="M146" s="63" t="str">
        <x:v>2026-06-30</x:v>
      </x:c>
      <x:c r="N146" s="63" t="str">
        <x:v>2026-06-30</x:v>
      </x:c>
      <x:c r="O146" s="63" t="str">
        <x:v>E0</x:v>
      </x:c>
      <x:c r="P146" s="63" t="str">
        <x:v>APPROVED</x:v>
      </x:c>
      <x:c r="Q146" s="64" t="b">
        <x:v>0</x:v>
      </x:c>
      <x:c r="R146" s="63" t="str">
        <x:v>BUSINESS_AND_FINANCIAL_RISKS</x:v>
      </x:c>
      <x:c r="S146" s="63" t="str">
        <x:v>Governed sector operating-model and responsibility policy</x:v>
      </x:c>
      <x:c r="T146" s="63"/>
      <x:c r="U146" s="63" t="str">
        <x:v>internal://v31/governed-policy</x:v>
      </x:c>
      <x:c r="V146" s="63" t="str">
        <x:v>d7fbd69a4043ade25d1cbe9feba53f52703b2170037665e0722f763c1fb8b530</x:v>
      </x:c>
    </x:row>
    <x:row r="147">
      <x:c r="A147" s="63" t="str">
        <x:v>bec:E03:struct:risk:1</x:v>
      </x:c>
      <x:c r="B147" s="63" t="str">
        <x:v>E03</x:v>
      </x:c>
      <x:c r="C147" s="63" t="str">
        <x:v>sector_primary_risk</x:v>
      </x:c>
      <x:c r="D147" s="63" t="str">
        <x:v>CATEGORICAL</x:v>
      </x:c>
      <x:c r="E147" s="63" t="str">
        <x:v>SCENARIO</x:v>
      </x:c>
      <x:c r="F147" s="65"/>
      <x:c r="G147" s="66"/>
      <x:c r="H147" s="67"/>
      <x:c r="I147" s="63" t="str">
        <x:v>jurisdictional and permitting risk</x:v>
      </x:c>
      <x:c r="J147" s="63"/>
      <x:c r="K147" s="63" t="str">
        <x:v>statement</x:v>
      </x:c>
      <x:c r="L147" s="63" t="str">
        <x:v>2025-06-01</x:v>
      </x:c>
      <x:c r="M147" s="63" t="str">
        <x:v>2026-06-30</x:v>
      </x:c>
      <x:c r="N147" s="63" t="str">
        <x:v>2026-06-30</x:v>
      </x:c>
      <x:c r="O147" s="63" t="str">
        <x:v>E0</x:v>
      </x:c>
      <x:c r="P147" s="63" t="str">
        <x:v>APPROVED</x:v>
      </x:c>
      <x:c r="Q147" s="64" t="b">
        <x:v>0</x:v>
      </x:c>
      <x:c r="R147" s="63" t="str">
        <x:v>BUSINESS_AND_FINANCIAL_RISKS</x:v>
      </x:c>
      <x:c r="S147" s="63" t="str">
        <x:v>Governed sector operating-model and responsibility policy</x:v>
      </x:c>
      <x:c r="T147" s="63"/>
      <x:c r="U147" s="63" t="str">
        <x:v>internal://v31/governed-policy</x:v>
      </x:c>
      <x:c r="V147" s="63" t="str">
        <x:v>47d653c64d7fda3e7b131a1bfcf10d953fd2d3f78d15686e1369ac9d8ecaf809</x:v>
      </x:c>
    </x:row>
    <x:row r="148">
      <x:c r="A148" s="63" t="str">
        <x:v>bec:E03:struct:risk:2</x:v>
      </x:c>
      <x:c r="B148" s="63" t="str">
        <x:v>E03</x:v>
      </x:c>
      <x:c r="C148" s="63" t="str">
        <x:v>sector_primary_risk</x:v>
      </x:c>
      <x:c r="D148" s="63" t="str">
        <x:v>CATEGORICAL</x:v>
      </x:c>
      <x:c r="E148" s="63" t="str">
        <x:v>SCENARIO</x:v>
      </x:c>
      <x:c r="F148" s="65"/>
      <x:c r="G148" s="66"/>
      <x:c r="H148" s="67"/>
      <x:c r="I148" s="63" t="str">
        <x:v>capex overrun</x:v>
      </x:c>
      <x:c r="J148" s="63"/>
      <x:c r="K148" s="63" t="str">
        <x:v>statement</x:v>
      </x:c>
      <x:c r="L148" s="63" t="str">
        <x:v>2025-06-01</x:v>
      </x:c>
      <x:c r="M148" s="63" t="str">
        <x:v>2026-06-30</x:v>
      </x:c>
      <x:c r="N148" s="63" t="str">
        <x:v>2026-06-30</x:v>
      </x:c>
      <x:c r="O148" s="63" t="str">
        <x:v>E0</x:v>
      </x:c>
      <x:c r="P148" s="63" t="str">
        <x:v>APPROVED</x:v>
      </x:c>
      <x:c r="Q148" s="64" t="b">
        <x:v>0</x:v>
      </x:c>
      <x:c r="R148" s="63" t="str">
        <x:v>BUSINESS_AND_FINANCIAL_RISKS</x:v>
      </x:c>
      <x:c r="S148" s="63" t="str">
        <x:v>Governed sector operating-model and responsibility policy</x:v>
      </x:c>
      <x:c r="T148" s="63"/>
      <x:c r="U148" s="63" t="str">
        <x:v>internal://v31/governed-policy</x:v>
      </x:c>
      <x:c r="V148" s="63" t="str">
        <x:v>4117b30d2af02333b4f5270f4d7f4260f0a8b49617c55e93d2ab7d0b4e0798c0</x:v>
      </x:c>
    </x:row>
    <x:row r="149">
      <x:c r="A149" s="63" t="str">
        <x:v>bec:E03:struct:responsibility-model</x:v>
      </x:c>
      <x:c r="B149" s="63" t="str">
        <x:v>E03</x:v>
      </x:c>
      <x:c r="C149" s="63" t="str">
        <x:v>stakeholder_responsibility_model</x:v>
      </x:c>
      <x:c r="D149" s="63" t="str">
        <x:v>TEXTUAL</x:v>
      </x:c>
      <x:c r="E149" s="63" t="str">
        <x:v>SCENARIO</x:v>
      </x:c>
      <x:c r="F149" s="65"/>
      <x:c r="G149" s="66"/>
      <x:c r="H149" s="67"/>
      <x:c r="I149" s="63" t="str">
        <x:v>Responsibility is assigned by role persona using governed matrix v31-stakeholder-responsibility-3.1.0. Named individuals are not resolved in the demonstration and require CRM entitlement checks in production.</x:v>
      </x:c>
      <x:c r="J149" s="63"/>
      <x:c r="K149" s="63" t="str">
        <x:v>statement</x:v>
      </x:c>
      <x:c r="L149" s="63" t="str">
        <x:v>2025-06-01</x:v>
      </x:c>
      <x:c r="M149" s="63" t="str">
        <x:v>2026-06-30</x:v>
      </x:c>
      <x:c r="N149" s="63" t="str">
        <x:v>2026-06-30</x:v>
      </x:c>
      <x:c r="O149" s="63" t="str">
        <x:v>E0</x:v>
      </x:c>
      <x:c r="P149" s="63" t="str">
        <x:v>APPROVED</x:v>
      </x:c>
      <x:c r="Q149" s="64" t="b">
        <x:v>0</x:v>
      </x:c>
      <x:c r="R149" s="63" t="str">
        <x:v>STAKEHOLDER_RESPONSIBILITY</x:v>
      </x:c>
      <x:c r="S149" s="63" t="str">
        <x:v>Governed sector operating-model and responsibility policy</x:v>
      </x:c>
      <x:c r="T149" s="63"/>
      <x:c r="U149" s="63" t="str">
        <x:v>internal://v31/governed-policy</x:v>
      </x:c>
      <x:c r="V149" s="63" t="str">
        <x:v>0cef9f653ecd4a8e1fffe2e9bef62951c9859382a041db86e439dc4be0ebd097</x:v>
      </x:c>
    </x:row>
    <x:row r="150">
      <x:c r="A150" s="63" t="str">
        <x:v>bec:E03:struct:responsibility:fx_exposure</x:v>
      </x:c>
      <x:c r="B150" s="63" t="str">
        <x:v>E03</x:v>
      </x:c>
      <x:c r="C150" s="63" t="str">
        <x:v>problem_role_ownership</x:v>
      </x:c>
      <x:c r="D150" s="63" t="str">
        <x:v>STRUCTURE_RELATIONSHIP</x:v>
      </x:c>
      <x:c r="E150" s="63" t="str">
        <x:v>SCENARIO</x:v>
      </x:c>
      <x:c r="F150" s="65"/>
      <x:c r="G150" s="66"/>
      <x:c r="H150" s="67"/>
      <x:c r="I150" s="63"/>
      <x:c r="J150" s="63"/>
      <x:c r="K150" s="63" t="str">
        <x:v>statement</x:v>
      </x:c>
      <x:c r="L150" s="63" t="str">
        <x:v>2025-06-01</x:v>
      </x:c>
      <x:c r="M150" s="63" t="str">
        <x:v>2026-06-30</x:v>
      </x:c>
      <x:c r="N150" s="63" t="str">
        <x:v>2026-06-30</x:v>
      </x:c>
      <x:c r="O150" s="63" t="str">
        <x:v>E0</x:v>
      </x:c>
      <x:c r="P150" s="63" t="str">
        <x:v>APPROVED</x:v>
      </x:c>
      <x:c r="Q150" s="64" t="b">
        <x:v>0</x:v>
      </x:c>
      <x:c r="R150" s="63" t="str">
        <x:v>STAKEHOLDER_RESPONSIBILITY</x:v>
      </x:c>
      <x:c r="S150" s="63" t="str">
        <x:v>Governed sector operating-model and responsibility policy</x:v>
      </x:c>
      <x:c r="T150" s="63"/>
      <x:c r="U150" s="63" t="str">
        <x:v>internal://v31/governed-policy</x:v>
      </x:c>
      <x:c r="V150" s="63" t="str">
        <x:v>19bf7f17986c9626dfdd1dfafabe6c0f5ec321695c636226996a596b01bc7ae0</x:v>
      </x:c>
    </x:row>
    <x:row r="151">
      <x:c r="A151" s="63" t="str">
        <x:v>bec:E03:struct:responsibility:refinancing_cliff</x:v>
      </x:c>
      <x:c r="B151" s="63" t="str">
        <x:v>E03</x:v>
      </x:c>
      <x:c r="C151" s="63" t="str">
        <x:v>problem_role_ownership</x:v>
      </x:c>
      <x:c r="D151" s="63" t="str">
        <x:v>STRUCTURE_RELATIONSHIP</x:v>
      </x:c>
      <x:c r="E151" s="63" t="str">
        <x:v>SCENARIO</x:v>
      </x:c>
      <x:c r="F151" s="65"/>
      <x:c r="G151" s="66"/>
      <x:c r="H151" s="67"/>
      <x:c r="I151" s="63"/>
      <x:c r="J151" s="63"/>
      <x:c r="K151" s="63" t="str">
        <x:v>statement</x:v>
      </x:c>
      <x:c r="L151" s="63" t="str">
        <x:v>2025-06-01</x:v>
      </x:c>
      <x:c r="M151" s="63" t="str">
        <x:v>2026-06-30</x:v>
      </x:c>
      <x:c r="N151" s="63" t="str">
        <x:v>2026-06-30</x:v>
      </x:c>
      <x:c r="O151" s="63" t="str">
        <x:v>E0</x:v>
      </x:c>
      <x:c r="P151" s="63" t="str">
        <x:v>APPROVED</x:v>
      </x:c>
      <x:c r="Q151" s="64" t="b">
        <x:v>0</x:v>
      </x:c>
      <x:c r="R151" s="63" t="str">
        <x:v>STAKEHOLDER_RESPONSIBILITY</x:v>
      </x:c>
      <x:c r="S151" s="63" t="str">
        <x:v>Governed sector operating-model and responsibility policy</x:v>
      </x:c>
      <x:c r="T151" s="63"/>
      <x:c r="U151" s="63" t="str">
        <x:v>internal://v31/governed-policy</x:v>
      </x:c>
      <x:c r="V151" s="63" t="str">
        <x:v>78441d7e9818ffba67529e6d8b7050cf269af371fa170afe82fb69a32fd641ad</x:v>
      </x:c>
    </x:row>
    <x:row r="152">
      <x:c r="A152" s="63" t="str">
        <x:v>bec:E03:struct:responsibility:working_capital_pressure</x:v>
      </x:c>
      <x:c r="B152" s="63" t="str">
        <x:v>E03</x:v>
      </x:c>
      <x:c r="C152" s="63" t="str">
        <x:v>problem_role_ownership</x:v>
      </x:c>
      <x:c r="D152" s="63" t="str">
        <x:v>STRUCTURE_RELATIONSHIP</x:v>
      </x:c>
      <x:c r="E152" s="63" t="str">
        <x:v>SCENARIO</x:v>
      </x:c>
      <x:c r="F152" s="65"/>
      <x:c r="G152" s="66"/>
      <x:c r="H152" s="67"/>
      <x:c r="I152" s="63"/>
      <x:c r="J152" s="63"/>
      <x:c r="K152" s="63" t="str">
        <x:v>statement</x:v>
      </x:c>
      <x:c r="L152" s="63" t="str">
        <x:v>2025-06-01</x:v>
      </x:c>
      <x:c r="M152" s="63" t="str">
        <x:v>2026-06-30</x:v>
      </x:c>
      <x:c r="N152" s="63" t="str">
        <x:v>2026-06-30</x:v>
      </x:c>
      <x:c r="O152" s="63" t="str">
        <x:v>E0</x:v>
      </x:c>
      <x:c r="P152" s="63" t="str">
        <x:v>APPROVED</x:v>
      </x:c>
      <x:c r="Q152" s="64" t="b">
        <x:v>0</x:v>
      </x:c>
      <x:c r="R152" s="63" t="str">
        <x:v>STAKEHOLDER_RESPONSIBILITY</x:v>
      </x:c>
      <x:c r="S152" s="63" t="str">
        <x:v>Governed sector operating-model and responsibility policy</x:v>
      </x:c>
      <x:c r="T152" s="63"/>
      <x:c r="U152" s="63" t="str">
        <x:v>internal://v31/governed-policy</x:v>
      </x:c>
      <x:c r="V152" s="63" t="str">
        <x:v>0b87c73cca3a202c5dcb05c8159f0dae07d64ca7bf75b01b3d57492cc8badfa4</x:v>
      </x:c>
    </x:row>
    <x:row r="153">
      <x:c r="A153" s="63" t="str">
        <x:v>bec:AGA-2025-REV</x:v>
      </x:c>
      <x:c r="B153" s="63" t="str">
        <x:v>E04</x:v>
      </x:c>
      <x:c r="C153" s="63" t="str">
        <x:v>revenue</x:v>
      </x:c>
      <x:c r="D153" s="63" t="str">
        <x:v>MONEY</x:v>
      </x:c>
      <x:c r="E153" s="63" t="str">
        <x:v>OBSERVED</x:v>
      </x:c>
      <x:c r="F153" s="65" t="n">
        <x:v>9893</x:v>
      </x:c>
      <x:c r="G153" s="66"/>
      <x:c r="H153" s="67"/>
      <x:c r="I153" s="63"/>
      <x:c r="J153" s="63" t="str">
        <x:v>USD</x:v>
      </x:c>
      <x:c r="K153" s="63" t="str">
        <x:v>million</x:v>
      </x:c>
      <x:c r="L153" s="63" t="str">
        <x:v>2025-01-01</x:v>
      </x:c>
      <x:c r="M153" s="63" t="str">
        <x:v>2025-12-31</x:v>
      </x:c>
      <x:c r="N153" s="63" t="str">
        <x:v>2026-03-26</x:v>
      </x:c>
      <x:c r="O153" s="63" t="str">
        <x:v>E1</x:v>
      </x:c>
      <x:c r="P153" s="63" t="str">
        <x:v>PENDING_REVIEW</x:v>
      </x:c>
      <x:c r="Q153" s="64" t="b">
        <x:v>1</x:v>
      </x:c>
      <x:c r="R153" s="63" t="str">
        <x:v>REVENUE_ENGINE</x:v>
      </x:c>
      <x:c r="S153" s="63" t="str">
        <x:v>AngloGold Ashanti Annual Report 2025</x:v>
      </x:c>
      <x:c r="T153" s="63" t="n">
        <x:v>158</x:v>
      </x:c>
      <x:c r="U153" s="63" t="str">
        <x:v>https://reports.anglogoldashanti.com/25/download/AGA-AR25.pdf</x:v>
      </x:c>
      <x:c r="V153" s="63" t="str">
        <x:v>958d89150d1125af3eb9032ac7f3c9da2c22c8bfd67e8447c688c8ad0c21dd35</x:v>
      </x:c>
    </x:row>
    <x:row r="154">
      <x:c r="A154" s="63" t="str">
        <x:v>bec:AGA-2025-CASH</x:v>
      </x:c>
      <x:c r="B154" s="63" t="str">
        <x:v>E04</x:v>
      </x:c>
      <x:c r="C154" s="63" t="str">
        <x:v>cash_and_cash_equivalents</x:v>
      </x:c>
      <x:c r="D154" s="63" t="str">
        <x:v>MONEY</x:v>
      </x:c>
      <x:c r="E154" s="63" t="str">
        <x:v>OBSERVED</x:v>
      </x:c>
      <x:c r="F154" s="65" t="n">
        <x:v>2905</x:v>
      </x:c>
      <x:c r="G154" s="66"/>
      <x:c r="H154" s="67"/>
      <x:c r="I154" s="63"/>
      <x:c r="J154" s="63" t="str">
        <x:v>USD</x:v>
      </x:c>
      <x:c r="K154" s="63" t="str">
        <x:v>million</x:v>
      </x:c>
      <x:c r="L154" s="63" t="str">
        <x:v>2025-12-31</x:v>
      </x:c>
      <x:c r="M154" s="63" t="str">
        <x:v>2025-12-31</x:v>
      </x:c>
      <x:c r="N154" s="63" t="str">
        <x:v>2026-03-26</x:v>
      </x:c>
      <x:c r="O154" s="63" t="str">
        <x:v>E1</x:v>
      </x:c>
      <x:c r="P154" s="63" t="str">
        <x:v>PENDING_REVIEW</x:v>
      </x:c>
      <x:c r="Q154" s="64" t="b">
        <x:v>1</x:v>
      </x:c>
      <x:c r="R154" s="63" t="str">
        <x:v>LIQUIDITY_AND_BUFFER</x:v>
      </x:c>
      <x:c r="S154" s="63" t="str">
        <x:v>AngloGold Ashanti Annual Report 2025</x:v>
      </x:c>
      <x:c r="T154" s="63" t="n">
        <x:v>160</x:v>
      </x:c>
      <x:c r="U154" s="63" t="str">
        <x:v>https://reports.anglogoldashanti.com/25/download/AGA-AR25.pdf</x:v>
      </x:c>
      <x:c r="V154" s="63" t="str">
        <x:v>958d89150d1125af3eb9032ac7f3c9da2c22c8bfd67e8447c688c8ad0c21dd35</x:v>
      </x:c>
    </x:row>
    <x:row r="155">
      <x:c r="A155" s="63" t="str">
        <x:v>bec:AGA-2025-DEBT</x:v>
      </x:c>
      <x:c r="B155" s="63" t="str">
        <x:v>E04</x:v>
      </x:c>
      <x:c r="C155" s="63" t="str">
        <x:v>current_debt</x:v>
      </x:c>
      <x:c r="D155" s="63" t="str">
        <x:v>MONEY</x:v>
      </x:c>
      <x:c r="E155" s="63" t="str">
        <x:v>OBSERVED</x:v>
      </x:c>
      <x:c r="F155" s="65" t="n">
        <x:v>19</x:v>
      </x:c>
      <x:c r="G155" s="66"/>
      <x:c r="H155" s="67"/>
      <x:c r="I155" s="63"/>
      <x:c r="J155" s="63" t="str">
        <x:v>USD</x:v>
      </x:c>
      <x:c r="K155" s="63" t="str">
        <x:v>million</x:v>
      </x:c>
      <x:c r="L155" s="63" t="str">
        <x:v>2025-12-31</x:v>
      </x:c>
      <x:c r="M155" s="63" t="str">
        <x:v>2025-12-31</x:v>
      </x:c>
      <x:c r="N155" s="63" t="str">
        <x:v>2026-03-26</x:v>
      </x:c>
      <x:c r="O155" s="63" t="str">
        <x:v>E1</x:v>
      </x:c>
      <x:c r="P155" s="63" t="str">
        <x:v>PENDING_REVIEW</x:v>
      </x:c>
      <x:c r="Q155" s="64" t="b">
        <x:v>1</x:v>
      </x:c>
      <x:c r="R155" s="63" t="str">
        <x:v>FUNDING_STRUCTURE</x:v>
      </x:c>
      <x:c r="S155" s="63" t="str">
        <x:v>AngloGold Ashanti Annual Report 2025</x:v>
      </x:c>
      <x:c r="T155" s="63" t="n">
        <x:v>160</x:v>
      </x:c>
      <x:c r="U155" s="63" t="str">
        <x:v>https://reports.anglogoldashanti.com/25/download/AGA-AR25.pdf</x:v>
      </x:c>
      <x:c r="V155" s="63" t="str">
        <x:v>958d89150d1125af3eb9032ac7f3c9da2c22c8bfd67e8447c688c8ad0c21dd35</x:v>
      </x:c>
    </x:row>
    <x:row r="156">
      <x:c r="A156" s="63" t="str">
        <x:v>bec:E04:obs:flow:collections</x:v>
      </x:c>
      <x:c r="B156" s="63" t="str">
        <x:v>E04</x:v>
      </x:c>
      <x:c r="C156" s="63" t="str">
        <x:v>bank_observed_collections_ltm</x:v>
      </x:c>
      <x:c r="D156" s="63" t="str">
        <x:v>MONEY</x:v>
      </x:c>
      <x:c r="E156" s="63" t="str">
        <x:v>OBSERVED</x:v>
      </x:c>
      <x:c r="F156" s="65" t="n">
        <x:v>1027502123.9642994</x:v>
      </x:c>
      <x:c r="G156" s="66"/>
      <x:c r="H156" s="67"/>
      <x:c r="I156" s="63"/>
      <x:c r="J156" s="63" t="str">
        <x:v>ZAR</x:v>
      </x:c>
      <x:c r="K156" s="63" t="str">
        <x:v>ZAR</x:v>
      </x:c>
      <x:c r="L156" s="63" t="str">
        <x:v>2025-06-01</x:v>
      </x:c>
      <x:c r="M156" s="63" t="str">
        <x:v>2026-06-30</x:v>
      </x:c>
      <x:c r="N156" s="63" t="str">
        <x:v>2026-06-30</x:v>
      </x:c>
      <x:c r="O156" s="63" t="str">
        <x:v>E0</x:v>
      </x:c>
      <x:c r="P156" s="63" t="str">
        <x:v>APPROVED</x:v>
      </x:c>
      <x:c r="Q156" s="64" t="b">
        <x:v>1</x:v>
      </x:c>
      <x:c r="R156" s="63" t="str">
        <x:v>REVENUE_ENGINE, WORKING_CAPITAL_CYCLE</x:v>
      </x:c>
      <x:c r="S156" s="63" t="str">
        <x:v>Syn Bank transaction and relationship simulation</x:v>
      </x:c>
      <x:c r="T156" s="63"/>
      <x:c r="U156" s="63" t="str">
        <x:v>internal://syn-bank/simulation/ltm</x:v>
      </x:c>
      <x:c r="V156" s="63" t="str">
        <x:v>1446d3d973a1822f9a2915d7088112c1182930f3ccd492c69943843495dbf7a3</x:v>
      </x:c>
    </x:row>
    <x:row r="157">
      <x:c r="A157" s="63" t="str">
        <x:v>bec:E04:obs:trend:collections</x:v>
      </x:c>
      <x:c r="B157" s="63" t="str">
        <x:v>E04</x:v>
      </x:c>
      <x:c r="C157" s="63" t="str">
        <x:v>bank_observed_collections_yoy_change</x:v>
      </x:c>
      <x:c r="D157" s="63" t="str">
        <x:v>RATIO</x:v>
      </x:c>
      <x:c r="E157" s="63" t="str">
        <x:v>OBSERVED</x:v>
      </x:c>
      <x:c r="F157" s="65"/>
      <x:c r="G157" s="66" t="n">
        <x:v>0.080492</x:v>
      </x:c>
      <x:c r="H157" s="67"/>
      <x:c r="I157" s="63"/>
      <x:c r="J157" s="63"/>
      <x:c r="K157" s="63" t="str">
        <x:v>ratio</x:v>
      </x:c>
      <x:c r="L157" s="63" t="str">
        <x:v>2025-06-01</x:v>
      </x:c>
      <x:c r="M157" s="63" t="str">
        <x:v>2026-06-30</x:v>
      </x:c>
      <x:c r="N157" s="63" t="str">
        <x:v>2026-06-30</x:v>
      </x:c>
      <x:c r="O157" s="63" t="str">
        <x:v>E0</x:v>
      </x:c>
      <x:c r="P157" s="63" t="str">
        <x:v>APPROVED</x:v>
      </x:c>
      <x:c r="Q157" s="64" t="b">
        <x:v>0</x:v>
      </x:c>
      <x:c r="R157" s="63" t="str">
        <x:v>REVENUE_ENGINE, WORKING_CAPITAL_CYCLE</x:v>
      </x:c>
      <x:c r="S157" s="63" t="str">
        <x:v>Syn Bank transaction and relationship simulation</x:v>
      </x:c>
      <x:c r="T157" s="63"/>
      <x:c r="U157" s="63" t="str">
        <x:v>internal://syn-bank/simulation/ltm</x:v>
      </x:c>
      <x:c r="V157" s="63" t="str">
        <x:v>b157cd870c95f4690fc5e218a6e370cd40009fbd8a36bbc782197d6086d86dee</x:v>
      </x:c>
    </x:row>
    <x:row r="158">
      <x:c r="A158" s="63" t="str">
        <x:v>bec:E04:obs:flow:payments</x:v>
      </x:c>
      <x:c r="B158" s="63" t="str">
        <x:v>E04</x:v>
      </x:c>
      <x:c r="C158" s="63" t="str">
        <x:v>bank_observed_payments_ltm</x:v>
      </x:c>
      <x:c r="D158" s="63" t="str">
        <x:v>MONEY</x:v>
      </x:c>
      <x:c r="E158" s="63" t="str">
        <x:v>OBSERVED</x:v>
      </x:c>
      <x:c r="F158" s="65" t="n">
        <x:v>906921192.7899997</x:v>
      </x:c>
      <x:c r="G158" s="66"/>
      <x:c r="H158" s="67"/>
      <x:c r="I158" s="63"/>
      <x:c r="J158" s="63" t="str">
        <x:v>ZAR</x:v>
      </x:c>
      <x:c r="K158" s="63" t="str">
        <x:v>ZAR</x:v>
      </x:c>
      <x:c r="L158" s="63" t="str">
        <x:v>2025-06-01</x:v>
      </x:c>
      <x:c r="M158" s="63" t="str">
        <x:v>2026-06-30</x:v>
      </x:c>
      <x:c r="N158" s="63" t="str">
        <x:v>2026-06-30</x:v>
      </x:c>
      <x:c r="O158" s="63" t="str">
        <x:v>E0</x:v>
      </x:c>
      <x:c r="P158" s="63" t="str">
        <x:v>APPROVED</x:v>
      </x:c>
      <x:c r="Q158" s="64" t="b">
        <x:v>1</x:v>
      </x:c>
      <x:c r="R158" s="63" t="str">
        <x:v>COST_ENGINE, WORKING_CAPITAL_CYCLE</x:v>
      </x:c>
      <x:c r="S158" s="63" t="str">
        <x:v>Syn Bank transaction and relationship simulation</x:v>
      </x:c>
      <x:c r="T158" s="63"/>
      <x:c r="U158" s="63" t="str">
        <x:v>internal://syn-bank/simulation/ltm</x:v>
      </x:c>
      <x:c r="V158" s="63" t="str">
        <x:v>456c45caa3be9b157b62e7557df8241fa4ca5ca48d4bea89a78b6ab596dba456</x:v>
      </x:c>
    </x:row>
    <x:row r="159">
      <x:c r="A159" s="63" t="str">
        <x:v>bec:E04:obs:trend:payments</x:v>
      </x:c>
      <x:c r="B159" s="63" t="str">
        <x:v>E04</x:v>
      </x:c>
      <x:c r="C159" s="63" t="str">
        <x:v>bank_observed_payments_yoy_change</x:v>
      </x:c>
      <x:c r="D159" s="63" t="str">
        <x:v>RATIO</x:v>
      </x:c>
      <x:c r="E159" s="63" t="str">
        <x:v>OBSERVED</x:v>
      </x:c>
      <x:c r="F159" s="65"/>
      <x:c r="G159" s="66" t="n">
        <x:v>0.141877</x:v>
      </x:c>
      <x:c r="H159" s="67"/>
      <x:c r="I159" s="63"/>
      <x:c r="J159" s="63"/>
      <x:c r="K159" s="63" t="str">
        <x:v>ratio</x:v>
      </x:c>
      <x:c r="L159" s="63" t="str">
        <x:v>2025-06-01</x:v>
      </x:c>
      <x:c r="M159" s="63" t="str">
        <x:v>2026-06-30</x:v>
      </x:c>
      <x:c r="N159" s="63" t="str">
        <x:v>2026-06-30</x:v>
      </x:c>
      <x:c r="O159" s="63" t="str">
        <x:v>E0</x:v>
      </x:c>
      <x:c r="P159" s="63" t="str">
        <x:v>APPROVED</x:v>
      </x:c>
      <x:c r="Q159" s="64" t="b">
        <x:v>0</x:v>
      </x:c>
      <x:c r="R159" s="63" t="str">
        <x:v>COST_ENGINE, WORKING_CAPITAL_CYCLE</x:v>
      </x:c>
      <x:c r="S159" s="63" t="str">
        <x:v>Syn Bank transaction and relationship simulation</x:v>
      </x:c>
      <x:c r="T159" s="63"/>
      <x:c r="U159" s="63" t="str">
        <x:v>internal://syn-bank/simulation/ltm</x:v>
      </x:c>
      <x:c r="V159" s="63" t="str">
        <x:v>8f434cece766f1b9f13357c93963f3a616e8c2e76a56ab16fd33747fc31f1998</x:v>
      </x:c>
    </x:row>
    <x:row r="160">
      <x:c r="A160" s="63" t="str">
        <x:v>bec:E04:obs:flow:liquidity</x:v>
      </x:c>
      <x:c r="B160" s="63" t="str">
        <x:v>E04</x:v>
      </x:c>
      <x:c r="C160" s="63" t="str">
        <x:v>bank_observed_liquidity_ltm</x:v>
      </x:c>
      <x:c r="D160" s="63" t="str">
        <x:v>MONEY</x:v>
      </x:c>
      <x:c r="E160" s="63" t="str">
        <x:v>OBSERVED</x:v>
      </x:c>
      <x:c r="F160" s="65" t="n">
        <x:v>967211658.3771496</x:v>
      </x:c>
      <x:c r="G160" s="66"/>
      <x:c r="H160" s="67"/>
      <x:c r="I160" s="63"/>
      <x:c r="J160" s="63" t="str">
        <x:v>ZAR</x:v>
      </x:c>
      <x:c r="K160" s="63" t="str">
        <x:v>ZAR</x:v>
      </x:c>
      <x:c r="L160" s="63" t="str">
        <x:v>2025-06-01</x:v>
      </x:c>
      <x:c r="M160" s="63" t="str">
        <x:v>2026-06-30</x:v>
      </x:c>
      <x:c r="N160" s="63" t="str">
        <x:v>2026-06-30</x:v>
      </x:c>
      <x:c r="O160" s="63" t="str">
        <x:v>E0</x:v>
      </x:c>
      <x:c r="P160" s="63" t="str">
        <x:v>APPROVED</x:v>
      </x:c>
      <x:c r="Q160" s="64" t="b">
        <x:v>1</x:v>
      </x:c>
      <x:c r="R160" s="63" t="str">
        <x:v>LIQUIDITY_AND_BUFFER</x:v>
      </x:c>
      <x:c r="S160" s="63" t="str">
        <x:v>Syn Bank transaction and relationship simulation</x:v>
      </x:c>
      <x:c r="T160" s="63"/>
      <x:c r="U160" s="63" t="str">
        <x:v>internal://syn-bank/simulation/ltm</x:v>
      </x:c>
      <x:c r="V160" s="63" t="str">
        <x:v>4c762c4f5cf6d7b98d542e2db5fe607953130a07563653104b0d639ac5a2b62b</x:v>
      </x:c>
    </x:row>
    <x:row r="161">
      <x:c r="A161" s="63" t="str">
        <x:v>bec:E04:obs:trend:liquidity</x:v>
      </x:c>
      <x:c r="B161" s="63" t="str">
        <x:v>E04</x:v>
      </x:c>
      <x:c r="C161" s="63" t="str">
        <x:v>bank_observed_liquidity_yoy_change</x:v>
      </x:c>
      <x:c r="D161" s="63" t="str">
        <x:v>RATIO</x:v>
      </x:c>
      <x:c r="E161" s="63" t="str">
        <x:v>OBSERVED</x:v>
      </x:c>
      <x:c r="F161" s="65"/>
      <x:c r="G161" s="66" t="n">
        <x:v>0.108428</x:v>
      </x:c>
      <x:c r="H161" s="67"/>
      <x:c r="I161" s="63"/>
      <x:c r="J161" s="63"/>
      <x:c r="K161" s="63" t="str">
        <x:v>ratio</x:v>
      </x:c>
      <x:c r="L161" s="63" t="str">
        <x:v>2025-06-01</x:v>
      </x:c>
      <x:c r="M161" s="63" t="str">
        <x:v>2026-06-30</x:v>
      </x:c>
      <x:c r="N161" s="63" t="str">
        <x:v>2026-06-30</x:v>
      </x:c>
      <x:c r="O161" s="63" t="str">
        <x:v>E0</x:v>
      </x:c>
      <x:c r="P161" s="63" t="str">
        <x:v>APPROVED</x:v>
      </x:c>
      <x:c r="Q161" s="64" t="b">
        <x:v>0</x:v>
      </x:c>
      <x:c r="R161" s="63" t="str">
        <x:v>LIQUIDITY_AND_BUFFER</x:v>
      </x:c>
      <x:c r="S161" s="63" t="str">
        <x:v>Syn Bank transaction and relationship simulation</x:v>
      </x:c>
      <x:c r="T161" s="63"/>
      <x:c r="U161" s="63" t="str">
        <x:v>internal://syn-bank/simulation/ltm</x:v>
      </x:c>
      <x:c r="V161" s="63" t="str">
        <x:v>552a520b9f962175569f0dd65cd242e95d1c9c6bee5d2c89e60b2a28db7a9b2c</x:v>
      </x:c>
    </x:row>
    <x:row r="162">
      <x:c r="A162" s="63" t="str">
        <x:v>bec:E04:obs:flow:cross-border-fx</x:v>
      </x:c>
      <x:c r="B162" s="63" t="str">
        <x:v>E04</x:v>
      </x:c>
      <x:c r="C162" s="63" t="str">
        <x:v>bank_observed_cross_border_fx_ltm</x:v>
      </x:c>
      <x:c r="D162" s="63" t="str">
        <x:v>MONEY</x:v>
      </x:c>
      <x:c r="E162" s="63" t="str">
        <x:v>OBSERVED</x:v>
      </x:c>
      <x:c r="F162" s="65" t="n">
        <x:v>846568733.0200001</x:v>
      </x:c>
      <x:c r="G162" s="66"/>
      <x:c r="H162" s="67"/>
      <x:c r="I162" s="63"/>
      <x:c r="J162" s="63" t="str">
        <x:v>ZAR</x:v>
      </x:c>
      <x:c r="K162" s="63" t="str">
        <x:v>ZAR</x:v>
      </x:c>
      <x:c r="L162" s="63" t="str">
        <x:v>2025-06-01</x:v>
      </x:c>
      <x:c r="M162" s="63" t="str">
        <x:v>2026-06-30</x:v>
      </x:c>
      <x:c r="N162" s="63" t="str">
        <x:v>2026-06-30</x:v>
      </x:c>
      <x:c r="O162" s="63" t="str">
        <x:v>E0</x:v>
      </x:c>
      <x:c r="P162" s="63" t="str">
        <x:v>APPROVED</x:v>
      </x:c>
      <x:c r="Q162" s="64" t="b">
        <x:v>1</x:v>
      </x:c>
      <x:c r="R162" s="63" t="str">
        <x:v>CURRENCY_AND_COMMODITY_EXPOSURE, GEOGRAPHIC_EXPOSURE</x:v>
      </x:c>
      <x:c r="S162" s="63" t="str">
        <x:v>Syn Bank transaction and relationship simulation</x:v>
      </x:c>
      <x:c r="T162" s="63"/>
      <x:c r="U162" s="63" t="str">
        <x:v>internal://syn-bank/simulation/ltm</x:v>
      </x:c>
      <x:c r="V162" s="63" t="str">
        <x:v>6585ff025dc06d42e1b69d142cdb35e35021b58eb4431ac7789cf5de8cec4888</x:v>
      </x:c>
    </x:row>
    <x:row r="163">
      <x:c r="A163" s="63" t="str">
        <x:v>bec:E04:obs:trend:cross-border-fx</x:v>
      </x:c>
      <x:c r="B163" s="63" t="str">
        <x:v>E04</x:v>
      </x:c>
      <x:c r="C163" s="63" t="str">
        <x:v>bank_observed_cross_border_fx_yoy_change</x:v>
      </x:c>
      <x:c r="D163" s="63" t="str">
        <x:v>RATIO</x:v>
      </x:c>
      <x:c r="E163" s="63" t="str">
        <x:v>OBSERVED</x:v>
      </x:c>
      <x:c r="F163" s="65"/>
      <x:c r="G163" s="66" t="n">
        <x:v>-0.050465</x:v>
      </x:c>
      <x:c r="H163" s="67"/>
      <x:c r="I163" s="63"/>
      <x:c r="J163" s="63"/>
      <x:c r="K163" s="63" t="str">
        <x:v>ratio</x:v>
      </x:c>
      <x:c r="L163" s="63" t="str">
        <x:v>2025-06-01</x:v>
      </x:c>
      <x:c r="M163" s="63" t="str">
        <x:v>2026-06-30</x:v>
      </x:c>
      <x:c r="N163" s="63" t="str">
        <x:v>2026-06-30</x:v>
      </x:c>
      <x:c r="O163" s="63" t="str">
        <x:v>E0</x:v>
      </x:c>
      <x:c r="P163" s="63" t="str">
        <x:v>APPROVED</x:v>
      </x:c>
      <x:c r="Q163" s="64" t="b">
        <x:v>0</x:v>
      </x:c>
      <x:c r="R163" s="63" t="str">
        <x:v>CURRENCY_AND_COMMODITY_EXPOSURE, GEOGRAPHIC_EXPOSURE</x:v>
      </x:c>
      <x:c r="S163" s="63" t="str">
        <x:v>Syn Bank transaction and relationship simulation</x:v>
      </x:c>
      <x:c r="T163" s="63"/>
      <x:c r="U163" s="63" t="str">
        <x:v>internal://syn-bank/simulation/ltm</x:v>
      </x:c>
      <x:c r="V163" s="63" t="str">
        <x:v>c774c4d526d69f1440cffeee1d2c817b44611033f4bf1c7904de7fba8268b81b</x:v>
      </x:c>
    </x:row>
    <x:row r="164">
      <x:c r="A164" s="63" t="str">
        <x:v>bec:E04:obs:flow:trade-finance</x:v>
      </x:c>
      <x:c r="B164" s="63" t="str">
        <x:v>E04</x:v>
      </x:c>
      <x:c r="C164" s="63" t="str">
        <x:v>bank_observed_trade_finance_ltm</x:v>
      </x:c>
      <x:c r="D164" s="63" t="str">
        <x:v>MONEY</x:v>
      </x:c>
      <x:c r="E164" s="63" t="str">
        <x:v>OBSERVED</x:v>
      </x:c>
      <x:c r="F164" s="65" t="n">
        <x:v>515693855.48999995</x:v>
      </x:c>
      <x:c r="G164" s="66"/>
      <x:c r="H164" s="67"/>
      <x:c r="I164" s="63"/>
      <x:c r="J164" s="63" t="str">
        <x:v>ZAR</x:v>
      </x:c>
      <x:c r="K164" s="63" t="str">
        <x:v>ZAR</x:v>
      </x:c>
      <x:c r="L164" s="63" t="str">
        <x:v>2025-06-01</x:v>
      </x:c>
      <x:c r="M164" s="63" t="str">
        <x:v>2026-06-30</x:v>
      </x:c>
      <x:c r="N164" s="63" t="str">
        <x:v>2026-06-30</x:v>
      </x:c>
      <x:c r="O164" s="63" t="str">
        <x:v>E0</x:v>
      </x:c>
      <x:c r="P164" s="63" t="str">
        <x:v>APPROVED</x:v>
      </x:c>
      <x:c r="Q164" s="64" t="b">
        <x:v>1</x:v>
      </x:c>
      <x:c r="R164" s="63" t="str">
        <x:v>WORKING_CAPITAL_CYCLE, OPERATING_MODEL</x:v>
      </x:c>
      <x:c r="S164" s="63" t="str">
        <x:v>Syn Bank transaction and relationship simulation</x:v>
      </x:c>
      <x:c r="T164" s="63"/>
      <x:c r="U164" s="63" t="str">
        <x:v>internal://syn-bank/simulation/ltm</x:v>
      </x:c>
      <x:c r="V164" s="63" t="str">
        <x:v>0530f821960579491678ed75cedce7ce5900eafe03f5d2d78d71f922517870cd</x:v>
      </x:c>
    </x:row>
    <x:row r="165">
      <x:c r="A165" s="63" t="str">
        <x:v>bec:E04:obs:trend:trade-finance</x:v>
      </x:c>
      <x:c r="B165" s="63" t="str">
        <x:v>E04</x:v>
      </x:c>
      <x:c r="C165" s="63" t="str">
        <x:v>bank_observed_trade_finance_yoy_change</x:v>
      </x:c>
      <x:c r="D165" s="63" t="str">
        <x:v>RATIO</x:v>
      </x:c>
      <x:c r="E165" s="63" t="str">
        <x:v>OBSERVED</x:v>
      </x:c>
      <x:c r="F165" s="65"/>
      <x:c r="G165" s="66" t="n">
        <x:v>0.152211</x:v>
      </x:c>
      <x:c r="H165" s="67"/>
      <x:c r="I165" s="63"/>
      <x:c r="J165" s="63"/>
      <x:c r="K165" s="63" t="str">
        <x:v>ratio</x:v>
      </x:c>
      <x:c r="L165" s="63" t="str">
        <x:v>2025-06-01</x:v>
      </x:c>
      <x:c r="M165" s="63" t="str">
        <x:v>2026-06-30</x:v>
      </x:c>
      <x:c r="N165" s="63" t="str">
        <x:v>2026-06-30</x:v>
      </x:c>
      <x:c r="O165" s="63" t="str">
        <x:v>E0</x:v>
      </x:c>
      <x:c r="P165" s="63" t="str">
        <x:v>APPROVED</x:v>
      </x:c>
      <x:c r="Q165" s="64" t="b">
        <x:v>0</x:v>
      </x:c>
      <x:c r="R165" s="63" t="str">
        <x:v>WORKING_CAPITAL_CYCLE, OPERATING_MODEL</x:v>
      </x:c>
      <x:c r="S165" s="63" t="str">
        <x:v>Syn Bank transaction and relationship simulation</x:v>
      </x:c>
      <x:c r="T165" s="63"/>
      <x:c r="U165" s="63" t="str">
        <x:v>internal://syn-bank/simulation/ltm</x:v>
      </x:c>
      <x:c r="V165" s="63" t="str">
        <x:v>48bca79f1c39524e72a3c930534044e9b2d1f7be8998b60fb295ce58d07a28f4</x:v>
      </x:c>
    </x:row>
    <x:row r="166">
      <x:c r="A166" s="63" t="str">
        <x:v>bec:E04:obs:corridor:0</x:v>
      </x:c>
      <x:c r="B166" s="63" t="str">
        <x:v>E04</x:v>
      </x:c>
      <x:c r="C166" s="63" t="str">
        <x:v>bank_observed_corridor_value</x:v>
      </x:c>
      <x:c r="D166" s="63" t="str">
        <x:v>MONEY</x:v>
      </x:c>
      <x:c r="E166" s="63" t="str">
        <x:v>OBSERVED</x:v>
      </x:c>
      <x:c r="F166" s="65" t="n">
        <x:v>425079125.8800001</x:v>
      </x:c>
      <x:c r="G166" s="66"/>
      <x:c r="H166" s="67"/>
      <x:c r="I166" s="63"/>
      <x:c r="J166" s="63" t="str">
        <x:v>ZAR</x:v>
      </x:c>
      <x:c r="K166" s="63" t="str">
        <x:v>ZAR</x:v>
      </x:c>
      <x:c r="L166" s="63" t="str">
        <x:v>2025-06-01</x:v>
      </x:c>
      <x:c r="M166" s="63" t="str">
        <x:v>2026-06-30</x:v>
      </x:c>
      <x:c r="N166" s="63" t="str">
        <x:v>2026-06-30</x:v>
      </x:c>
      <x:c r="O166" s="63" t="str">
        <x:v>E0</x:v>
      </x:c>
      <x:c r="P166" s="63" t="str">
        <x:v>APPROVED</x:v>
      </x:c>
      <x:c r="Q166" s="64" t="b">
        <x:v>1</x:v>
      </x:c>
      <x:c r="R166" s="63" t="str">
        <x:v>GEOGRAPHIC_EXPOSURE</x:v>
      </x:c>
      <x:c r="S166" s="63" t="str">
        <x:v>Syn Bank transaction and relationship simulation</x:v>
      </x:c>
      <x:c r="T166" s="63"/>
      <x:c r="U166" s="63" t="str">
        <x:v>internal://syn-bank/simulation/ltm</x:v>
      </x:c>
      <x:c r="V166" s="63" t="str">
        <x:v>e29d2ea5a67ce3de813dddeae7f8ac0454a09b224b0e4d4c3997aa9086442a25</x:v>
      </x:c>
    </x:row>
    <x:row r="167">
      <x:c r="A167" s="63" t="str">
        <x:v>bec:E04:obs:corridor-name:0</x:v>
      </x:c>
      <x:c r="B167" s="63" t="str">
        <x:v>E04</x:v>
      </x:c>
      <x:c r="C167" s="63" t="str">
        <x:v>bank_observed_corridor_country</x:v>
      </x:c>
      <x:c r="D167" s="63" t="str">
        <x:v>CATEGORICAL</x:v>
      </x:c>
      <x:c r="E167" s="63" t="str">
        <x:v>OBSERVED</x:v>
      </x:c>
      <x:c r="F167" s="65"/>
      <x:c r="G167" s="66"/>
      <x:c r="H167" s="67"/>
      <x:c r="I167" s="63" t="str">
        <x:v>Ghana</x:v>
      </x:c>
      <x:c r="J167" s="63"/>
      <x:c r="K167" s="63" t="str">
        <x:v>country</x:v>
      </x:c>
      <x:c r="L167" s="63" t="str">
        <x:v>2025-06-01</x:v>
      </x:c>
      <x:c r="M167" s="63" t="str">
        <x:v>2026-06-30</x:v>
      </x:c>
      <x:c r="N167" s="63" t="str">
        <x:v>2026-06-30</x:v>
      </x:c>
      <x:c r="O167" s="63" t="str">
        <x:v>E0</x:v>
      </x:c>
      <x:c r="P167" s="63" t="str">
        <x:v>APPROVED</x:v>
      </x:c>
      <x:c r="Q167" s="64" t="b">
        <x:v>0</x:v>
      </x:c>
      <x:c r="R167" s="63" t="str">
        <x:v>GEOGRAPHIC_EXPOSURE</x:v>
      </x:c>
      <x:c r="S167" s="63" t="str">
        <x:v>Syn Bank transaction and relationship simulation</x:v>
      </x:c>
      <x:c r="T167" s="63"/>
      <x:c r="U167" s="63" t="str">
        <x:v>internal://syn-bank/simulation/ltm</x:v>
      </x:c>
      <x:c r="V167" s="63" t="str">
        <x:v>16bbb0d633e0c1319b91a6897d108bf8943f7e90ea33de5f27a5439d6df7fc62</x:v>
      </x:c>
    </x:row>
    <x:row r="168">
      <x:c r="A168" s="63" t="str">
        <x:v>bec:E04:obs:corridor:1</x:v>
      </x:c>
      <x:c r="B168" s="63" t="str">
        <x:v>E04</x:v>
      </x:c>
      <x:c r="C168" s="63" t="str">
        <x:v>bank_observed_corridor_value</x:v>
      </x:c>
      <x:c r="D168" s="63" t="str">
        <x:v>MONEY</x:v>
      </x:c>
      <x:c r="E168" s="63" t="str">
        <x:v>OBSERVED</x:v>
      </x:c>
      <x:c r="F168" s="65" t="n">
        <x:v>337342410.3600001</x:v>
      </x:c>
      <x:c r="G168" s="66"/>
      <x:c r="H168" s="67"/>
      <x:c r="I168" s="63"/>
      <x:c r="J168" s="63" t="str">
        <x:v>ZAR</x:v>
      </x:c>
      <x:c r="K168" s="63" t="str">
        <x:v>ZAR</x:v>
      </x:c>
      <x:c r="L168" s="63" t="str">
        <x:v>2025-06-01</x:v>
      </x:c>
      <x:c r="M168" s="63" t="str">
        <x:v>2026-06-30</x:v>
      </x:c>
      <x:c r="N168" s="63" t="str">
        <x:v>2026-06-30</x:v>
      </x:c>
      <x:c r="O168" s="63" t="str">
        <x:v>E0</x:v>
      </x:c>
      <x:c r="P168" s="63" t="str">
        <x:v>APPROVED</x:v>
      </x:c>
      <x:c r="Q168" s="64" t="b">
        <x:v>0</x:v>
      </x:c>
      <x:c r="R168" s="63" t="str">
        <x:v>GEOGRAPHIC_EXPOSURE</x:v>
      </x:c>
      <x:c r="S168" s="63" t="str">
        <x:v>Syn Bank transaction and relationship simulation</x:v>
      </x:c>
      <x:c r="T168" s="63"/>
      <x:c r="U168" s="63" t="str">
        <x:v>internal://syn-bank/simulation/ltm</x:v>
      </x:c>
      <x:c r="V168" s="63" t="str">
        <x:v>0f9492c78d14ec23b82f08e68e875611cbc1654f748994db7bf4a825431e3395</x:v>
      </x:c>
    </x:row>
    <x:row r="169">
      <x:c r="A169" s="63" t="str">
        <x:v>bec:E04:obs:corridor-name:1</x:v>
      </x:c>
      <x:c r="B169" s="63" t="str">
        <x:v>E04</x:v>
      </x:c>
      <x:c r="C169" s="63" t="str">
        <x:v>bank_observed_corridor_country</x:v>
      </x:c>
      <x:c r="D169" s="63" t="str">
        <x:v>CATEGORICAL</x:v>
      </x:c>
      <x:c r="E169" s="63" t="str">
        <x:v>OBSERVED</x:v>
      </x:c>
      <x:c r="F169" s="65"/>
      <x:c r="G169" s="66"/>
      <x:c r="H169" s="67"/>
      <x:c r="I169" s="63" t="str">
        <x:v>Guinea</x:v>
      </x:c>
      <x:c r="J169" s="63"/>
      <x:c r="K169" s="63" t="str">
        <x:v>country</x:v>
      </x:c>
      <x:c r="L169" s="63" t="str">
        <x:v>2025-06-01</x:v>
      </x:c>
      <x:c r="M169" s="63" t="str">
        <x:v>2026-06-30</x:v>
      </x:c>
      <x:c r="N169" s="63" t="str">
        <x:v>2026-06-30</x:v>
      </x:c>
      <x:c r="O169" s="63" t="str">
        <x:v>E0</x:v>
      </x:c>
      <x:c r="P169" s="63" t="str">
        <x:v>APPROVED</x:v>
      </x:c>
      <x:c r="Q169" s="64" t="b">
        <x:v>0</x:v>
      </x:c>
      <x:c r="R169" s="63" t="str">
        <x:v>GEOGRAPHIC_EXPOSURE</x:v>
      </x:c>
      <x:c r="S169" s="63" t="str">
        <x:v>Syn Bank transaction and relationship simulation</x:v>
      </x:c>
      <x:c r="T169" s="63"/>
      <x:c r="U169" s="63" t="str">
        <x:v>internal://syn-bank/simulation/ltm</x:v>
      </x:c>
      <x:c r="V169" s="63" t="str">
        <x:v>f5bc01117e33240be3054a270b1cbdff55a2dec7027367ea9b8de2661f9b5cf4</x:v>
      </x:c>
    </x:row>
    <x:row r="170">
      <x:c r="A170" s="63" t="str">
        <x:v>bec:E04:obs:corridor:2</x:v>
      </x:c>
      <x:c r="B170" s="63" t="str">
        <x:v>E04</x:v>
      </x:c>
      <x:c r="C170" s="63" t="str">
        <x:v>bank_observed_corridor_value</x:v>
      </x:c>
      <x:c r="D170" s="63" t="str">
        <x:v>MONEY</x:v>
      </x:c>
      <x:c r="E170" s="63" t="str">
        <x:v>OBSERVED</x:v>
      </x:c>
      <x:c r="F170" s="65" t="n">
        <x:v>279738993.6499998</x:v>
      </x:c>
      <x:c r="G170" s="66"/>
      <x:c r="H170" s="67"/>
      <x:c r="I170" s="63"/>
      <x:c r="J170" s="63" t="str">
        <x:v>ZAR</x:v>
      </x:c>
      <x:c r="K170" s="63" t="str">
        <x:v>ZAR</x:v>
      </x:c>
      <x:c r="L170" s="63" t="str">
        <x:v>2025-06-01</x:v>
      </x:c>
      <x:c r="M170" s="63" t="str">
        <x:v>2026-06-30</x:v>
      </x:c>
      <x:c r="N170" s="63" t="str">
        <x:v>2026-06-30</x:v>
      </x:c>
      <x:c r="O170" s="63" t="str">
        <x:v>E0</x:v>
      </x:c>
      <x:c r="P170" s="63" t="str">
        <x:v>APPROVED</x:v>
      </x:c>
      <x:c r="Q170" s="64" t="b">
        <x:v>0</x:v>
      </x:c>
      <x:c r="R170" s="63" t="str">
        <x:v>GEOGRAPHIC_EXPOSURE</x:v>
      </x:c>
      <x:c r="S170" s="63" t="str">
        <x:v>Syn Bank transaction and relationship simulation</x:v>
      </x:c>
      <x:c r="T170" s="63"/>
      <x:c r="U170" s="63" t="str">
        <x:v>internal://syn-bank/simulation/ltm</x:v>
      </x:c>
      <x:c r="V170" s="63" t="str">
        <x:v>f18d58208a15e5b428f511f7867240f86b749ba1c8501cf27cc35dd7c3883dce</x:v>
      </x:c>
    </x:row>
    <x:row r="171">
      <x:c r="A171" s="63" t="str">
        <x:v>bec:E04:obs:corridor-name:2</x:v>
      </x:c>
      <x:c r="B171" s="63" t="str">
        <x:v>E04</x:v>
      </x:c>
      <x:c r="C171" s="63" t="str">
        <x:v>bank_observed_corridor_country</x:v>
      </x:c>
      <x:c r="D171" s="63" t="str">
        <x:v>CATEGORICAL</x:v>
      </x:c>
      <x:c r="E171" s="63" t="str">
        <x:v>OBSERVED</x:v>
      </x:c>
      <x:c r="F171" s="65"/>
      <x:c r="G171" s="66"/>
      <x:c r="H171" s="67"/>
      <x:c r="I171" s="63" t="str">
        <x:v>DRC</x:v>
      </x:c>
      <x:c r="J171" s="63"/>
      <x:c r="K171" s="63" t="str">
        <x:v>country</x:v>
      </x:c>
      <x:c r="L171" s="63" t="str">
        <x:v>2025-06-01</x:v>
      </x:c>
      <x:c r="M171" s="63" t="str">
        <x:v>2026-06-30</x:v>
      </x:c>
      <x:c r="N171" s="63" t="str">
        <x:v>2026-06-30</x:v>
      </x:c>
      <x:c r="O171" s="63" t="str">
        <x:v>E0</x:v>
      </x:c>
      <x:c r="P171" s="63" t="str">
        <x:v>APPROVED</x:v>
      </x:c>
      <x:c r="Q171" s="64" t="b">
        <x:v>0</x:v>
      </x:c>
      <x:c r="R171" s="63" t="str">
        <x:v>GEOGRAPHIC_EXPOSURE</x:v>
      </x:c>
      <x:c r="S171" s="63" t="str">
        <x:v>Syn Bank transaction and relationship simulation</x:v>
      </x:c>
      <x:c r="T171" s="63"/>
      <x:c r="U171" s="63" t="str">
        <x:v>internal://syn-bank/simulation/ltm</x:v>
      </x:c>
      <x:c r="V171" s="63" t="str">
        <x:v>1d5bb72cfdc294eb62f8b80b2c13917688ed5d4a9566ea94beff1a35ca5b1f52</x:v>
      </x:c>
    </x:row>
    <x:row r="172">
      <x:c r="A172" s="63" t="str">
        <x:v>bec:E04:obs:currency:0</x:v>
      </x:c>
      <x:c r="B172" s="63" t="str">
        <x:v>E04</x:v>
      </x:c>
      <x:c r="C172" s="63" t="str">
        <x:v>bank_observed_currency_pair_value</x:v>
      </x:c>
      <x:c r="D172" s="63" t="str">
        <x:v>MONEY</x:v>
      </x:c>
      <x:c r="E172" s="63" t="str">
        <x:v>OBSERVED</x:v>
      </x:c>
      <x:c r="F172" s="65" t="n">
        <x:v>553093751.0400001</x:v>
      </x:c>
      <x:c r="G172" s="66"/>
      <x:c r="H172" s="67"/>
      <x:c r="I172" s="63"/>
      <x:c r="J172" s="63" t="str">
        <x:v>ZAR</x:v>
      </x:c>
      <x:c r="K172" s="63" t="str">
        <x:v>ZAR</x:v>
      </x:c>
      <x:c r="L172" s="63" t="str">
        <x:v>2025-06-01</x:v>
      </x:c>
      <x:c r="M172" s="63" t="str">
        <x:v>2026-06-30</x:v>
      </x:c>
      <x:c r="N172" s="63" t="str">
        <x:v>2026-06-30</x:v>
      </x:c>
      <x:c r="O172" s="63" t="str">
        <x:v>E0</x:v>
      </x:c>
      <x:c r="P172" s="63" t="str">
        <x:v>APPROVED</x:v>
      </x:c>
      <x:c r="Q172" s="64" t="b">
        <x:v>1</x:v>
      </x:c>
      <x:c r="R172" s="63" t="str">
        <x:v>CURRENCY_AND_COMMODITY_EXPOSURE</x:v>
      </x:c>
      <x:c r="S172" s="63" t="str">
        <x:v>Syn Bank transaction and relationship simulation</x:v>
      </x:c>
      <x:c r="T172" s="63"/>
      <x:c r="U172" s="63" t="str">
        <x:v>internal://syn-bank/simulation/ltm</x:v>
      </x:c>
      <x:c r="V172" s="63" t="str">
        <x:v>e32f4f4833302b21459799b396aae0cbeaab11925c7a81ac04b0cc42d1de83a2</x:v>
      </x:c>
    </x:row>
    <x:row r="173">
      <x:c r="A173" s="63" t="str">
        <x:v>bec:E04:obs:currency-pair:0</x:v>
      </x:c>
      <x:c r="B173" s="63" t="str">
        <x:v>E04</x:v>
      </x:c>
      <x:c r="C173" s="63" t="str">
        <x:v>bank_observed_currency_pair</x:v>
      </x:c>
      <x:c r="D173" s="63" t="str">
        <x:v>CATEGORICAL</x:v>
      </x:c>
      <x:c r="E173" s="63" t="str">
        <x:v>OBSERVED</x:v>
      </x:c>
      <x:c r="F173" s="65"/>
      <x:c r="G173" s="66"/>
      <x:c r="H173" s="67"/>
      <x:c r="I173" s="63" t="str">
        <x:v>AED/ZAR</x:v>
      </x:c>
      <x:c r="J173" s="63"/>
      <x:c r="K173" s="63" t="str">
        <x:v>currency_pair</x:v>
      </x:c>
      <x:c r="L173" s="63" t="str">
        <x:v>2025-06-01</x:v>
      </x:c>
      <x:c r="M173" s="63" t="str">
        <x:v>2026-06-30</x:v>
      </x:c>
      <x:c r="N173" s="63" t="str">
        <x:v>2026-06-30</x:v>
      </x:c>
      <x:c r="O173" s="63" t="str">
        <x:v>E0</x:v>
      </x:c>
      <x:c r="P173" s="63" t="str">
        <x:v>APPROVED</x:v>
      </x:c>
      <x:c r="Q173" s="64" t="b">
        <x:v>0</x:v>
      </x:c>
      <x:c r="R173" s="63" t="str">
        <x:v>CURRENCY_AND_COMMODITY_EXPOSURE</x:v>
      </x:c>
      <x:c r="S173" s="63" t="str">
        <x:v>Syn Bank transaction and relationship simulation</x:v>
      </x:c>
      <x:c r="T173" s="63"/>
      <x:c r="U173" s="63" t="str">
        <x:v>internal://syn-bank/simulation/ltm</x:v>
      </x:c>
      <x:c r="V173" s="63" t="str">
        <x:v>e3d84cf1acf639f16c6d5fde883727a808eeb1ab067f34f3920047fab39ac923</x:v>
      </x:c>
    </x:row>
    <x:row r="174">
      <x:c r="A174" s="63" t="str">
        <x:v>bec:E04:obs:currency:1</x:v>
      </x:c>
      <x:c r="B174" s="63" t="str">
        <x:v>E04</x:v>
      </x:c>
      <x:c r="C174" s="63" t="str">
        <x:v>bank_observed_currency_pair_value</x:v>
      </x:c>
      <x:c r="D174" s="63" t="str">
        <x:v>MONEY</x:v>
      </x:c>
      <x:c r="E174" s="63" t="str">
        <x:v>OBSERVED</x:v>
      </x:c>
      <x:c r="F174" s="65" t="n">
        <x:v>529546934.8899998</x:v>
      </x:c>
      <x:c r="G174" s="66"/>
      <x:c r="H174" s="67"/>
      <x:c r="I174" s="63"/>
      <x:c r="J174" s="63" t="str">
        <x:v>ZAR</x:v>
      </x:c>
      <x:c r="K174" s="63" t="str">
        <x:v>ZAR</x:v>
      </x:c>
      <x:c r="L174" s="63" t="str">
        <x:v>2025-06-01</x:v>
      </x:c>
      <x:c r="M174" s="63" t="str">
        <x:v>2026-06-30</x:v>
      </x:c>
      <x:c r="N174" s="63" t="str">
        <x:v>2026-06-30</x:v>
      </x:c>
      <x:c r="O174" s="63" t="str">
        <x:v>E0</x:v>
      </x:c>
      <x:c r="P174" s="63" t="str">
        <x:v>APPROVED</x:v>
      </x:c>
      <x:c r="Q174" s="64" t="b">
        <x:v>0</x:v>
      </x:c>
      <x:c r="R174" s="63" t="str">
        <x:v>CURRENCY_AND_COMMODITY_EXPOSURE</x:v>
      </x:c>
      <x:c r="S174" s="63" t="str">
        <x:v>Syn Bank transaction and relationship simulation</x:v>
      </x:c>
      <x:c r="T174" s="63"/>
      <x:c r="U174" s="63" t="str">
        <x:v>internal://syn-bank/simulation/ltm</x:v>
      </x:c>
      <x:c r="V174" s="63" t="str">
        <x:v>30486e7232a6260af6228fe12db6872fe974b8775ca72b3819a7a582dd04dfe3</x:v>
      </x:c>
    </x:row>
    <x:row r="175">
      <x:c r="A175" s="63" t="str">
        <x:v>bec:E04:obs:currency-pair:1</x:v>
      </x:c>
      <x:c r="B175" s="63" t="str">
        <x:v>E04</x:v>
      </x:c>
      <x:c r="C175" s="63" t="str">
        <x:v>bank_observed_currency_pair</x:v>
      </x:c>
      <x:c r="D175" s="63" t="str">
        <x:v>CATEGORICAL</x:v>
      </x:c>
      <x:c r="E175" s="63" t="str">
        <x:v>OBSERVED</x:v>
      </x:c>
      <x:c r="F175" s="65"/>
      <x:c r="G175" s="66"/>
      <x:c r="H175" s="67"/>
      <x:c r="I175" s="63" t="str">
        <x:v>USD/ZAR</x:v>
      </x:c>
      <x:c r="J175" s="63"/>
      <x:c r="K175" s="63" t="str">
        <x:v>currency_pair</x:v>
      </x:c>
      <x:c r="L175" s="63" t="str">
        <x:v>2025-06-01</x:v>
      </x:c>
      <x:c r="M175" s="63" t="str">
        <x:v>2026-06-30</x:v>
      </x:c>
      <x:c r="N175" s="63" t="str">
        <x:v>2026-06-30</x:v>
      </x:c>
      <x:c r="O175" s="63" t="str">
        <x:v>E0</x:v>
      </x:c>
      <x:c r="P175" s="63" t="str">
        <x:v>APPROVED</x:v>
      </x:c>
      <x:c r="Q175" s="64" t="b">
        <x:v>0</x:v>
      </x:c>
      <x:c r="R175" s="63" t="str">
        <x:v>CURRENCY_AND_COMMODITY_EXPOSURE</x:v>
      </x:c>
      <x:c r="S175" s="63" t="str">
        <x:v>Syn Bank transaction and relationship simulation</x:v>
      </x:c>
      <x:c r="T175" s="63"/>
      <x:c r="U175" s="63" t="str">
        <x:v>internal://syn-bank/simulation/ltm</x:v>
      </x:c>
      <x:c r="V175" s="63" t="str">
        <x:v>23a5bb5d732fdbf4ec865a286f2574bd1bf817cf1c158fb29af9145b5351d19c</x:v>
      </x:c>
    </x:row>
    <x:row r="176">
      <x:c r="A176" s="63" t="str">
        <x:v>bec:E04:obs:currency:2</x:v>
      </x:c>
      <x:c r="B176" s="63" t="str">
        <x:v>E04</x:v>
      </x:c>
      <x:c r="C176" s="63" t="str">
        <x:v>bank_observed_currency_pair_value</x:v>
      </x:c>
      <x:c r="D176" s="63" t="str">
        <x:v>MONEY</x:v>
      </x:c>
      <x:c r="E176" s="63" t="str">
        <x:v>OBSERVED</x:v>
      </x:c>
      <x:c r="F176" s="65" t="n">
        <x:v>515476596.30999917</x:v>
      </x:c>
      <x:c r="G176" s="66"/>
      <x:c r="H176" s="67"/>
      <x:c r="I176" s="63"/>
      <x:c r="J176" s="63" t="str">
        <x:v>ZAR</x:v>
      </x:c>
      <x:c r="K176" s="63" t="str">
        <x:v>ZAR</x:v>
      </x:c>
      <x:c r="L176" s="63" t="str">
        <x:v>2025-06-01</x:v>
      </x:c>
      <x:c r="M176" s="63" t="str">
        <x:v>2026-06-30</x:v>
      </x:c>
      <x:c r="N176" s="63" t="str">
        <x:v>2026-06-30</x:v>
      </x:c>
      <x:c r="O176" s="63" t="str">
        <x:v>E0</x:v>
      </x:c>
      <x:c r="P176" s="63" t="str">
        <x:v>APPROVED</x:v>
      </x:c>
      <x:c r="Q176" s="64" t="b">
        <x:v>0</x:v>
      </x:c>
      <x:c r="R176" s="63" t="str">
        <x:v>CURRENCY_AND_COMMODITY_EXPOSURE</x:v>
      </x:c>
      <x:c r="S176" s="63" t="str">
        <x:v>Syn Bank transaction and relationship simulation</x:v>
      </x:c>
      <x:c r="T176" s="63"/>
      <x:c r="U176" s="63" t="str">
        <x:v>internal://syn-bank/simulation/ltm</x:v>
      </x:c>
      <x:c r="V176" s="63" t="str">
        <x:v>dbe7832e6ce94206b7a29bd677004c85766baeaab825ebba7429cf7bf183808b</x:v>
      </x:c>
    </x:row>
    <x:row r="177">
      <x:c r="A177" s="63" t="str">
        <x:v>bec:E04:obs:currency-pair:2</x:v>
      </x:c>
      <x:c r="B177" s="63" t="str">
        <x:v>E04</x:v>
      </x:c>
      <x:c r="C177" s="63" t="str">
        <x:v>bank_observed_currency_pair</x:v>
      </x:c>
      <x:c r="D177" s="63" t="str">
        <x:v>CATEGORICAL</x:v>
      </x:c>
      <x:c r="E177" s="63" t="str">
        <x:v>OBSERVED</x:v>
      </x:c>
      <x:c r="F177" s="65"/>
      <x:c r="G177" s="66"/>
      <x:c r="H177" s="67"/>
      <x:c r="I177" s="63" t="str">
        <x:v>GBP/ZAR</x:v>
      </x:c>
      <x:c r="J177" s="63"/>
      <x:c r="K177" s="63" t="str">
        <x:v>currency_pair</x:v>
      </x:c>
      <x:c r="L177" s="63" t="str">
        <x:v>2025-06-01</x:v>
      </x:c>
      <x:c r="M177" s="63" t="str">
        <x:v>2026-06-30</x:v>
      </x:c>
      <x:c r="N177" s="63" t="str">
        <x:v>2026-06-30</x:v>
      </x:c>
      <x:c r="O177" s="63" t="str">
        <x:v>E0</x:v>
      </x:c>
      <x:c r="P177" s="63" t="str">
        <x:v>APPROVED</x:v>
      </x:c>
      <x:c r="Q177" s="64" t="b">
        <x:v>0</x:v>
      </x:c>
      <x:c r="R177" s="63" t="str">
        <x:v>CURRENCY_AND_COMMODITY_EXPOSURE</x:v>
      </x:c>
      <x:c r="S177" s="63" t="str">
        <x:v>Syn Bank transaction and relationship simulation</x:v>
      </x:c>
      <x:c r="T177" s="63"/>
      <x:c r="U177" s="63" t="str">
        <x:v>internal://syn-bank/simulation/ltm</x:v>
      </x:c>
      <x:c r="V177" s="63" t="str">
        <x:v>17a8ac51baa4884bac29fca1955a06fbd41457335b7fe48343772da197069a49</x:v>
      </x:c>
    </x:row>
    <x:row r="178">
      <x:c r="A178" s="63" t="str">
        <x:v>bec:E04:obs:country-count</x:v>
      </x:c>
      <x:c r="B178" s="63" t="str">
        <x:v>E04</x:v>
      </x:c>
      <x:c r="C178" s="63" t="str">
        <x:v>bank_observed_active_country_count</x:v>
      </x:c>
      <x:c r="D178" s="63" t="str">
        <x:v>COUNT</x:v>
      </x:c>
      <x:c r="E178" s="63" t="str">
        <x:v>OBSERVED</x:v>
      </x:c>
      <x:c r="F178" s="65"/>
      <x:c r="G178" s="66"/>
      <x:c r="H178" s="67" t="n">
        <x:v>18</x:v>
      </x:c>
      <x:c r="I178" s="63"/>
      <x:c r="J178" s="63"/>
      <x:c r="K178" s="63" t="str">
        <x:v>countries</x:v>
      </x:c>
      <x:c r="L178" s="63" t="str">
        <x:v>2025-06-01</x:v>
      </x:c>
      <x:c r="M178" s="63" t="str">
        <x:v>2026-06-30</x:v>
      </x:c>
      <x:c r="N178" s="63" t="str">
        <x:v>2026-06-30</x:v>
      </x:c>
      <x:c r="O178" s="63" t="str">
        <x:v>E0</x:v>
      </x:c>
      <x:c r="P178" s="63" t="str">
        <x:v>APPROVED</x:v>
      </x:c>
      <x:c r="Q178" s="64" t="b">
        <x:v>1</x:v>
      </x:c>
      <x:c r="R178" s="63" t="str">
        <x:v>GEOGRAPHIC_EXPOSURE</x:v>
      </x:c>
      <x:c r="S178" s="63" t="str">
        <x:v>Syn Bank transaction and relationship simulation</x:v>
      </x:c>
      <x:c r="T178" s="63"/>
      <x:c r="U178" s="63" t="str">
        <x:v>internal://syn-bank/simulation/ltm</x:v>
      </x:c>
      <x:c r="V178" s="63" t="str">
        <x:v>a8da5c9f86ec928b9c63dca7dcbcfde9a0531cd19d7997bef1d76e6165914245</x:v>
      </x:c>
    </x:row>
    <x:row r="179">
      <x:c r="A179" s="63" t="str">
        <x:v>bec:E04:obs:relationship-breadth</x:v>
      </x:c>
      <x:c r="B179" s="63" t="str">
        <x:v>E04</x:v>
      </x:c>
      <x:c r="C179" s="63" t="str">
        <x:v>bank_observed_product_relationship_breadth</x:v>
      </x:c>
      <x:c r="D179" s="63" t="str">
        <x:v>COUNT</x:v>
      </x:c>
      <x:c r="E179" s="63" t="str">
        <x:v>OBSERVED</x:v>
      </x:c>
      <x:c r="F179" s="65"/>
      <x:c r="G179" s="66"/>
      <x:c r="H179" s="67" t="n">
        <x:v>5</x:v>
      </x:c>
      <x:c r="I179" s="63"/>
      <x:c r="J179" s="63"/>
      <x:c r="K179" s="63" t="str">
        <x:v>products</x:v>
      </x:c>
      <x:c r="L179" s="63" t="str">
        <x:v>2025-06-01</x:v>
      </x:c>
      <x:c r="M179" s="63" t="str">
        <x:v>2026-06-30</x:v>
      </x:c>
      <x:c r="N179" s="63" t="str">
        <x:v>2026-06-30</x:v>
      </x:c>
      <x:c r="O179" s="63" t="str">
        <x:v>E0</x:v>
      </x:c>
      <x:c r="P179" s="63" t="str">
        <x:v>APPROVED</x:v>
      </x:c>
      <x:c r="Q179" s="64" t="b">
        <x:v>1</x:v>
      </x:c>
      <x:c r="R179" s="63" t="str">
        <x:v>OPERATING_MODEL</x:v>
      </x:c>
      <x:c r="S179" s="63" t="str">
        <x:v>Syn Bank transaction and relationship simulation</x:v>
      </x:c>
      <x:c r="T179" s="63"/>
      <x:c r="U179" s="63" t="str">
        <x:v>internal://syn-bank/simulation/ltm</x:v>
      </x:c>
      <x:c r="V179" s="63" t="str">
        <x:v>daac4a03b6f2f579cfda20c7e9d5688dc9c499e030fbcaa421ea40e8c68c8b71</x:v>
      </x:c>
    </x:row>
    <x:row r="180">
      <x:c r="A180" s="63" t="str">
        <x:v>bec:E04:obs:latent:operating_scale</x:v>
      </x:c>
      <x:c r="B180" s="63" t="str">
        <x:v>E04</x:v>
      </x:c>
      <x:c r="C180" s="63" t="str">
        <x:v>bank_observed_operating_scale_index</x:v>
      </x:c>
      <x:c r="D180" s="63" t="str">
        <x:v>RATIO</x:v>
      </x:c>
      <x:c r="E180" s="63" t="str">
        <x:v>OBSERVED</x:v>
      </x:c>
      <x:c r="F180" s="65"/>
      <x:c r="G180" s="66" t="n">
        <x:v>0.35</x:v>
      </x:c>
      <x:c r="H180" s="67"/>
      <x:c r="I180" s="63"/>
      <x:c r="J180" s="63"/>
      <x:c r="K180" s="63" t="str">
        <x:v>index_0_1</x:v>
      </x:c>
      <x:c r="L180" s="63" t="str">
        <x:v>2025-06-01</x:v>
      </x:c>
      <x:c r="M180" s="63" t="str">
        <x:v>2026-06-30</x:v>
      </x:c>
      <x:c r="N180" s="63" t="str">
        <x:v>2026-06-30</x:v>
      </x:c>
      <x:c r="O180" s="63" t="str">
        <x:v>E0</x:v>
      </x:c>
      <x:c r="P180" s="63" t="str">
        <x:v>APPROVED</x:v>
      </x:c>
      <x:c r="Q180" s="64" t="b">
        <x:v>0</x:v>
      </x:c>
      <x:c r="R180" s="63" t="str">
        <x:v>OPERATING_MODEL</x:v>
      </x:c>
      <x:c r="S180" s="63" t="str">
        <x:v>Syn Bank transaction and relationship simulation</x:v>
      </x:c>
      <x:c r="T180" s="63"/>
      <x:c r="U180" s="63" t="str">
        <x:v>internal://syn-bank/simulation/ltm</x:v>
      </x:c>
      <x:c r="V180" s="63" t="str">
        <x:v>68a14b85edce645743b7a387f2ddaa9046dc04b0f0f14c9f85e717a5af108929</x:v>
      </x:c>
    </x:row>
    <x:row r="181">
      <x:c r="A181" s="63" t="str">
        <x:v>bec:E04:obs:latent:working_capital_intensity</x:v>
      </x:c>
      <x:c r="B181" s="63" t="str">
        <x:v>E04</x:v>
      </x:c>
      <x:c r="C181" s="63" t="str">
        <x:v>bank_observed_working_capital_intensity_index</x:v>
      </x:c>
      <x:c r="D181" s="63" t="str">
        <x:v>RATIO</x:v>
      </x:c>
      <x:c r="E181" s="63" t="str">
        <x:v>OBSERVED</x:v>
      </x:c>
      <x:c r="F181" s="65"/>
      <x:c r="G181" s="66" t="n">
        <x:v>0.587</x:v>
      </x:c>
      <x:c r="H181" s="67"/>
      <x:c r="I181" s="63"/>
      <x:c r="J181" s="63"/>
      <x:c r="K181" s="63" t="str">
        <x:v>index_0_1</x:v>
      </x:c>
      <x:c r="L181" s="63" t="str">
        <x:v>2025-06-01</x:v>
      </x:c>
      <x:c r="M181" s="63" t="str">
        <x:v>2026-06-30</x:v>
      </x:c>
      <x:c r="N181" s="63" t="str">
        <x:v>2026-06-30</x:v>
      </x:c>
      <x:c r="O181" s="63" t="str">
        <x:v>E0</x:v>
      </x:c>
      <x:c r="P181" s="63" t="str">
        <x:v>APPROVED</x:v>
      </x:c>
      <x:c r="Q181" s="64" t="b">
        <x:v>0</x:v>
      </x:c>
      <x:c r="R181" s="63" t="str">
        <x:v>WORKING_CAPITAL_CYCLE</x:v>
      </x:c>
      <x:c r="S181" s="63" t="str">
        <x:v>Syn Bank transaction and relationship simulation</x:v>
      </x:c>
      <x:c r="T181" s="63"/>
      <x:c r="U181" s="63" t="str">
        <x:v>internal://syn-bank/simulation/ltm</x:v>
      </x:c>
      <x:c r="V181" s="63" t="str">
        <x:v>39714bb1b4024f3757f8ee17f2b03dfb4cc9002a55eb70a826113cb202de00df</x:v>
      </x:c>
    </x:row>
    <x:row r="182">
      <x:c r="A182" s="63" t="str">
        <x:v>bec:E04:obs:latent:liquidity_volatility</x:v>
      </x:c>
      <x:c r="B182" s="63" t="str">
        <x:v>E04</x:v>
      </x:c>
      <x:c r="C182" s="63" t="str">
        <x:v>bank_observed_liquidity_volatility_index</x:v>
      </x:c>
      <x:c r="D182" s="63" t="str">
        <x:v>RATIO</x:v>
      </x:c>
      <x:c r="E182" s="63" t="str">
        <x:v>OBSERVED</x:v>
      </x:c>
      <x:c r="F182" s="65"/>
      <x:c r="G182" s="66" t="n">
        <x:v>0.111</x:v>
      </x:c>
      <x:c r="H182" s="67"/>
      <x:c r="I182" s="63"/>
      <x:c r="J182" s="63"/>
      <x:c r="K182" s="63" t="str">
        <x:v>index_0_1</x:v>
      </x:c>
      <x:c r="L182" s="63" t="str">
        <x:v>2025-06-01</x:v>
      </x:c>
      <x:c r="M182" s="63" t="str">
        <x:v>2026-06-30</x:v>
      </x:c>
      <x:c r="N182" s="63" t="str">
        <x:v>2026-06-30</x:v>
      </x:c>
      <x:c r="O182" s="63" t="str">
        <x:v>E0</x:v>
      </x:c>
      <x:c r="P182" s="63" t="str">
        <x:v>APPROVED</x:v>
      </x:c>
      <x:c r="Q182" s="64" t="b">
        <x:v>0</x:v>
      </x:c>
      <x:c r="R182" s="63" t="str">
        <x:v>LIQUIDITY_AND_BUFFER</x:v>
      </x:c>
      <x:c r="S182" s="63" t="str">
        <x:v>Syn Bank transaction and relationship simulation</x:v>
      </x:c>
      <x:c r="T182" s="63"/>
      <x:c r="U182" s="63" t="str">
        <x:v>internal://syn-bank/simulation/ltm</x:v>
      </x:c>
      <x:c r="V182" s="63" t="str">
        <x:v>b23a54cf83974e21162608c8bd8301a27963e638f67eca6b3f6bba06f397be22</x:v>
      </x:c>
    </x:row>
    <x:row r="183">
      <x:c r="A183" s="63" t="str">
        <x:v>bec:E04:obs:latent:international_exposure</x:v>
      </x:c>
      <x:c r="B183" s="63" t="str">
        <x:v>E04</x:v>
      </x:c>
      <x:c r="C183" s="63" t="str">
        <x:v>bank_observed_international_exposure_index</x:v>
      </x:c>
      <x:c r="D183" s="63" t="str">
        <x:v>RATIO</x:v>
      </x:c>
      <x:c r="E183" s="63" t="str">
        <x:v>OBSERVED</x:v>
      </x:c>
      <x:c r="F183" s="65"/>
      <x:c r="G183" s="66" t="n">
        <x:v>0.413</x:v>
      </x:c>
      <x:c r="H183" s="67"/>
      <x:c r="I183" s="63"/>
      <x:c r="J183" s="63"/>
      <x:c r="K183" s="63" t="str">
        <x:v>index_0_1</x:v>
      </x:c>
      <x:c r="L183" s="63" t="str">
        <x:v>2025-06-01</x:v>
      </x:c>
      <x:c r="M183" s="63" t="str">
        <x:v>2026-06-30</x:v>
      </x:c>
      <x:c r="N183" s="63" t="str">
        <x:v>2026-06-30</x:v>
      </x:c>
      <x:c r="O183" s="63" t="str">
        <x:v>E0</x:v>
      </x:c>
      <x:c r="P183" s="63" t="str">
        <x:v>APPROVED</x:v>
      </x:c>
      <x:c r="Q183" s="64" t="b">
        <x:v>0</x:v>
      </x:c>
      <x:c r="R183" s="63" t="str">
        <x:v>GEOGRAPHIC_EXPOSURE</x:v>
      </x:c>
      <x:c r="S183" s="63" t="str">
        <x:v>Syn Bank transaction and relationship simulation</x:v>
      </x:c>
      <x:c r="T183" s="63"/>
      <x:c r="U183" s="63" t="str">
        <x:v>internal://syn-bank/simulation/ltm</x:v>
      </x:c>
      <x:c r="V183" s="63" t="str">
        <x:v>48695c6634cf9a7c27f9020078781984ccd35bac1ef7e6bc7888bb72b459315b</x:v>
      </x:c>
    </x:row>
    <x:row r="184">
      <x:c r="A184" s="63" t="str">
        <x:v>bec:E04:obs:latent:financing_need</x:v>
      </x:c>
      <x:c r="B184" s="63" t="str">
        <x:v>E04</x:v>
      </x:c>
      <x:c r="C184" s="63" t="str">
        <x:v>bank_observed_financing_need_index</x:v>
      </x:c>
      <x:c r="D184" s="63" t="str">
        <x:v>RATIO</x:v>
      </x:c>
      <x:c r="E184" s="63" t="str">
        <x:v>OBSERVED</x:v>
      </x:c>
      <x:c r="F184" s="65"/>
      <x:c r="G184" s="66" t="n">
        <x:v>0.096</x:v>
      </x:c>
      <x:c r="H184" s="67"/>
      <x:c r="I184" s="63"/>
      <x:c r="J184" s="63"/>
      <x:c r="K184" s="63" t="str">
        <x:v>index_0_1</x:v>
      </x:c>
      <x:c r="L184" s="63" t="str">
        <x:v>2025-06-01</x:v>
      </x:c>
      <x:c r="M184" s="63" t="str">
        <x:v>2026-06-30</x:v>
      </x:c>
      <x:c r="N184" s="63" t="str">
        <x:v>2026-06-30</x:v>
      </x:c>
      <x:c r="O184" s="63" t="str">
        <x:v>E0</x:v>
      </x:c>
      <x:c r="P184" s="63" t="str">
        <x:v>APPROVED</x:v>
      </x:c>
      <x:c r="Q184" s="64" t="b">
        <x:v>0</x:v>
      </x:c>
      <x:c r="R184" s="63" t="str">
        <x:v>FUNDING_STRUCTURE</x:v>
      </x:c>
      <x:c r="S184" s="63" t="str">
        <x:v>Syn Bank transaction and relationship simulation</x:v>
      </x:c>
      <x:c r="T184" s="63"/>
      <x:c r="U184" s="63" t="str">
        <x:v>internal://syn-bank/simulation/ltm</x:v>
      </x:c>
      <x:c r="V184" s="63" t="str">
        <x:v>370f02eec8d077b98a519cd1e61bff640428c12849894457e00aa5f5bb40fc96</x:v>
      </x:c>
    </x:row>
    <x:row r="185">
      <x:c r="A185" s="63" t="str">
        <x:v>bec:E04:obs:latent:event_intensity</x:v>
      </x:c>
      <x:c r="B185" s="63" t="str">
        <x:v>E04</x:v>
      </x:c>
      <x:c r="C185" s="63" t="str">
        <x:v>bank_observed_event_intensity_index</x:v>
      </x:c>
      <x:c r="D185" s="63" t="str">
        <x:v>RATIO</x:v>
      </x:c>
      <x:c r="E185" s="63" t="str">
        <x:v>OBSERVED</x:v>
      </x:c>
      <x:c r="F185" s="65"/>
      <x:c r="G185" s="66" t="n">
        <x:v>1</x:v>
      </x:c>
      <x:c r="H185" s="67"/>
      <x:c r="I185" s="63"/>
      <x:c r="J185" s="63"/>
      <x:c r="K185" s="63" t="str">
        <x:v>index_0_1</x:v>
      </x:c>
      <x:c r="L185" s="63" t="str">
        <x:v>2025-06-01</x:v>
      </x:c>
      <x:c r="M185" s="63" t="str">
        <x:v>2026-06-30</x:v>
      </x:c>
      <x:c r="N185" s="63" t="str">
        <x:v>2026-06-30</x:v>
      </x:c>
      <x:c r="O185" s="63" t="str">
        <x:v>E0</x:v>
      </x:c>
      <x:c r="P185" s="63" t="str">
        <x:v>APPROVED</x:v>
      </x:c>
      <x:c r="Q185" s="64" t="b">
        <x:v>0</x:v>
      </x:c>
      <x:c r="R185" s="63" t="str">
        <x:v>STRATEGY_ACTIONS_AND_ESG</x:v>
      </x:c>
      <x:c r="S185" s="63" t="str">
        <x:v>Syn Bank transaction and relationship simulation</x:v>
      </x:c>
      <x:c r="T185" s="63"/>
      <x:c r="U185" s="63" t="str">
        <x:v>internal://syn-bank/simulation/ltm</x:v>
      </x:c>
      <x:c r="V185" s="63" t="str">
        <x:v>3c3110908212fd54cb91a010ac5961d9dd4a0a4e72bb09cf2d5ea2bc350b2283</x:v>
      </x:c>
    </x:row>
    <x:row r="186">
      <x:c r="A186" s="63" t="str">
        <x:v>bec:E04:obs:latent:relationship_complexity</x:v>
      </x:c>
      <x:c r="B186" s="63" t="str">
        <x:v>E04</x:v>
      </x:c>
      <x:c r="C186" s="63" t="str">
        <x:v>bank_observed_relationship_complexity_index</x:v>
      </x:c>
      <x:c r="D186" s="63" t="str">
        <x:v>RATIO</x:v>
      </x:c>
      <x:c r="E186" s="63" t="str">
        <x:v>OBSERVED</x:v>
      </x:c>
      <x:c r="F186" s="65"/>
      <x:c r="G186" s="66" t="n">
        <x:v>1</x:v>
      </x:c>
      <x:c r="H186" s="67"/>
      <x:c r="I186" s="63"/>
      <x:c r="J186" s="63"/>
      <x:c r="K186" s="63" t="str">
        <x:v>index_0_1</x:v>
      </x:c>
      <x:c r="L186" s="63" t="str">
        <x:v>2025-06-01</x:v>
      </x:c>
      <x:c r="M186" s="63" t="str">
        <x:v>2026-06-30</x:v>
      </x:c>
      <x:c r="N186" s="63" t="str">
        <x:v>2026-06-30</x:v>
      </x:c>
      <x:c r="O186" s="63" t="str">
        <x:v>E0</x:v>
      </x:c>
      <x:c r="P186" s="63" t="str">
        <x:v>APPROVED</x:v>
      </x:c>
      <x:c r="Q186" s="64" t="b">
        <x:v>0</x:v>
      </x:c>
      <x:c r="R186" s="63" t="str">
        <x:v>OPERATING_MODEL</x:v>
      </x:c>
      <x:c r="S186" s="63" t="str">
        <x:v>Syn Bank transaction and relationship simulation</x:v>
      </x:c>
      <x:c r="T186" s="63"/>
      <x:c r="U186" s="63" t="str">
        <x:v>internal://syn-bank/simulation/ltm</x:v>
      </x:c>
      <x:c r="V186" s="63" t="str">
        <x:v>aeecf6ff37bf33c6e2106d8c660c24b399457e976e43bbd3d92830484a84a19c</x:v>
      </x:c>
    </x:row>
    <x:row r="187">
      <x:c r="A187" s="63" t="str">
        <x:v>bec:E04:obs:events:trade-90d</x:v>
      </x:c>
      <x:c r="B187" s="63" t="str">
        <x:v>E04</x:v>
      </x:c>
      <x:c r="C187" s="63" t="str">
        <x:v>bank_observed_trade_events_next_90d</x:v>
      </x:c>
      <x:c r="D187" s="63" t="str">
        <x:v>COUNT</x:v>
      </x:c>
      <x:c r="E187" s="63" t="str">
        <x:v>OBSERVED</x:v>
      </x:c>
      <x:c r="F187" s="65"/>
      <x:c r="G187" s="66"/>
      <x:c r="H187" s="67" t="n">
        <x:v>71</x:v>
      </x:c>
      <x:c r="I187" s="63"/>
      <x:c r="J187" s="63"/>
      <x:c r="K187" s="63" t="str">
        <x:v>events</x:v>
      </x:c>
      <x:c r="L187" s="63" t="str">
        <x:v>2025-06-01</x:v>
      </x:c>
      <x:c r="M187" s="63" t="str">
        <x:v>2026-06-30</x:v>
      </x:c>
      <x:c r="N187" s="63" t="str">
        <x:v>2026-06-30</x:v>
      </x:c>
      <x:c r="O187" s="63" t="str">
        <x:v>E0</x:v>
      </x:c>
      <x:c r="P187" s="63" t="str">
        <x:v>APPROVED</x:v>
      </x:c>
      <x:c r="Q187" s="64" t="b">
        <x:v>1</x:v>
      </x:c>
      <x:c r="R187" s="63" t="str">
        <x:v>OPERATING_MODEL, WORKING_CAPITAL_CYCLE</x:v>
      </x:c>
      <x:c r="S187" s="63" t="str">
        <x:v>Syn Bank transaction and relationship simulation</x:v>
      </x:c>
      <x:c r="T187" s="63"/>
      <x:c r="U187" s="63" t="str">
        <x:v>internal://syn-bank/simulation/ltm</x:v>
      </x:c>
      <x:c r="V187" s="63" t="str">
        <x:v>cee72292074eb7c63e25b971377b234ae3ae7fc93fc65c12c886381f442823b4</x:v>
      </x:c>
    </x:row>
    <x:row r="188">
      <x:c r="A188" s="63" t="str">
        <x:v>bec:E04:obs:events:trade-90d-value</x:v>
      </x:c>
      <x:c r="B188" s="63" t="str">
        <x:v>E04</x:v>
      </x:c>
      <x:c r="C188" s="63" t="str">
        <x:v>bank_observed_trade_events_value_next_90d</x:v>
      </x:c>
      <x:c r="D188" s="63" t="str">
        <x:v>MONEY</x:v>
      </x:c>
      <x:c r="E188" s="63" t="str">
        <x:v>OBSERVED</x:v>
      </x:c>
      <x:c r="F188" s="65" t="n">
        <x:v>142597552.11</x:v>
      </x:c>
      <x:c r="G188" s="66"/>
      <x:c r="H188" s="67"/>
      <x:c r="I188" s="63"/>
      <x:c r="J188" s="63" t="str">
        <x:v>ZAR</x:v>
      </x:c>
      <x:c r="K188" s="63" t="str">
        <x:v>ZAR</x:v>
      </x:c>
      <x:c r="L188" s="63" t="str">
        <x:v>2025-06-01</x:v>
      </x:c>
      <x:c r="M188" s="63" t="str">
        <x:v>2026-06-30</x:v>
      </x:c>
      <x:c r="N188" s="63" t="str">
        <x:v>2026-06-30</x:v>
      </x:c>
      <x:c r="O188" s="63" t="str">
        <x:v>E0</x:v>
      </x:c>
      <x:c r="P188" s="63" t="str">
        <x:v>APPROVED</x:v>
      </x:c>
      <x:c r="Q188" s="64" t="b">
        <x:v>0</x:v>
      </x:c>
      <x:c r="R188" s="63" t="str">
        <x:v>WORKING_CAPITAL_CYCLE</x:v>
      </x:c>
      <x:c r="S188" s="63" t="str">
        <x:v>Syn Bank transaction and relationship simulation</x:v>
      </x:c>
      <x:c r="T188" s="63"/>
      <x:c r="U188" s="63" t="str">
        <x:v>internal://syn-bank/simulation/ltm</x:v>
      </x:c>
      <x:c r="V188" s="63" t="str">
        <x:v>4abc36bcf608da771593f6bd280190d9b57bff2c787d8b668158248e4b2083e5</x:v>
      </x:c>
    </x:row>
    <x:row r="189">
      <x:c r="A189" s="63" t="str">
        <x:v>bec:E04:struct:operating-model</x:v>
      </x:c>
      <x:c r="B189" s="63" t="str">
        <x:v>E04</x:v>
      </x:c>
      <x:c r="C189" s="63" t="str">
        <x:v>sector_operating_model</x:v>
      </x:c>
      <x:c r="D189" s="63" t="str">
        <x:v>TEXTUAL</x:v>
      </x:c>
      <x:c r="E189" s="63" t="str">
        <x:v>SCENARIO</x:v>
      </x:c>
      <x:c r="F189" s="65"/>
      <x:c r="G189" s="66"/>
      <x:c r="H189" s="67"/>
      <x:c r="I189" s="63" t="str">
        <x:v>Multi-jurisdiction extractive operator with commodity-linked revenue, long-cycle capex and joint-venture structures.</x:v>
      </x:c>
      <x:c r="J189" s="63"/>
      <x:c r="K189" s="63" t="str">
        <x:v>statement</x:v>
      </x:c>
      <x:c r="L189" s="63" t="str">
        <x:v>2025-06-01</x:v>
      </x:c>
      <x:c r="M189" s="63" t="str">
        <x:v>2026-06-30</x:v>
      </x:c>
      <x:c r="N189" s="63" t="str">
        <x:v>2026-06-30</x:v>
      </x:c>
      <x:c r="O189" s="63" t="str">
        <x:v>E0</x:v>
      </x:c>
      <x:c r="P189" s="63" t="str">
        <x:v>APPROVED</x:v>
      </x:c>
      <x:c r="Q189" s="64" t="b">
        <x:v>0</x:v>
      </x:c>
      <x:c r="R189" s="63" t="str">
        <x:v>OPERATING_MODEL</x:v>
      </x:c>
      <x:c r="S189" s="63" t="str">
        <x:v>Governed sector operating-model and responsibility policy</x:v>
      </x:c>
      <x:c r="T189" s="63"/>
      <x:c r="U189" s="63" t="str">
        <x:v>internal://v31/governed-policy</x:v>
      </x:c>
      <x:c r="V189" s="63" t="str">
        <x:v>add65e11329ce1f6e26da06af610c3b096cc6f62dd952bd3be9398856c1d9828</x:v>
      </x:c>
    </x:row>
    <x:row r="190">
      <x:c r="A190" s="63" t="str">
        <x:v>bec:E04:struct:risk:0</x:v>
      </x:c>
      <x:c r="B190" s="63" t="str">
        <x:v>E04</x:v>
      </x:c>
      <x:c r="C190" s="63" t="str">
        <x:v>sector_primary_risk</x:v>
      </x:c>
      <x:c r="D190" s="63" t="str">
        <x:v>CATEGORICAL</x:v>
      </x:c>
      <x:c r="E190" s="63" t="str">
        <x:v>SCENARIO</x:v>
      </x:c>
      <x:c r="F190" s="65"/>
      <x:c r="G190" s="66"/>
      <x:c r="H190" s="67"/>
      <x:c r="I190" s="63" t="str">
        <x:v>commodity price volatility</x:v>
      </x:c>
      <x:c r="J190" s="63"/>
      <x:c r="K190" s="63" t="str">
        <x:v>statement</x:v>
      </x:c>
      <x:c r="L190" s="63" t="str">
        <x:v>2025-06-01</x:v>
      </x:c>
      <x:c r="M190" s="63" t="str">
        <x:v>2026-06-30</x:v>
      </x:c>
      <x:c r="N190" s="63" t="str">
        <x:v>2026-06-30</x:v>
      </x:c>
      <x:c r="O190" s="63" t="str">
        <x:v>E0</x:v>
      </x:c>
      <x:c r="P190" s="63" t="str">
        <x:v>APPROVED</x:v>
      </x:c>
      <x:c r="Q190" s="64" t="b">
        <x:v>0</x:v>
      </x:c>
      <x:c r="R190" s="63" t="str">
        <x:v>BUSINESS_AND_FINANCIAL_RISKS</x:v>
      </x:c>
      <x:c r="S190" s="63" t="str">
        <x:v>Governed sector operating-model and responsibility policy</x:v>
      </x:c>
      <x:c r="T190" s="63"/>
      <x:c r="U190" s="63" t="str">
        <x:v>internal://v31/governed-policy</x:v>
      </x:c>
      <x:c r="V190" s="63" t="str">
        <x:v>150895288643bcae5923ccf72825909eff230db69d67190d7b83b4d916b368cf</x:v>
      </x:c>
    </x:row>
    <x:row r="191">
      <x:c r="A191" s="63" t="str">
        <x:v>bec:E04:struct:risk:1</x:v>
      </x:c>
      <x:c r="B191" s="63" t="str">
        <x:v>E04</x:v>
      </x:c>
      <x:c r="C191" s="63" t="str">
        <x:v>sector_primary_risk</x:v>
      </x:c>
      <x:c r="D191" s="63" t="str">
        <x:v>CATEGORICAL</x:v>
      </x:c>
      <x:c r="E191" s="63" t="str">
        <x:v>SCENARIO</x:v>
      </x:c>
      <x:c r="F191" s="65"/>
      <x:c r="G191" s="66"/>
      <x:c r="H191" s="67"/>
      <x:c r="I191" s="63" t="str">
        <x:v>jurisdictional and permitting risk</x:v>
      </x:c>
      <x:c r="J191" s="63"/>
      <x:c r="K191" s="63" t="str">
        <x:v>statement</x:v>
      </x:c>
      <x:c r="L191" s="63" t="str">
        <x:v>2025-06-01</x:v>
      </x:c>
      <x:c r="M191" s="63" t="str">
        <x:v>2026-06-30</x:v>
      </x:c>
      <x:c r="N191" s="63" t="str">
        <x:v>2026-06-30</x:v>
      </x:c>
      <x:c r="O191" s="63" t="str">
        <x:v>E0</x:v>
      </x:c>
      <x:c r="P191" s="63" t="str">
        <x:v>APPROVED</x:v>
      </x:c>
      <x:c r="Q191" s="64" t="b">
        <x:v>0</x:v>
      </x:c>
      <x:c r="R191" s="63" t="str">
        <x:v>BUSINESS_AND_FINANCIAL_RISKS</x:v>
      </x:c>
      <x:c r="S191" s="63" t="str">
        <x:v>Governed sector operating-model and responsibility policy</x:v>
      </x:c>
      <x:c r="T191" s="63"/>
      <x:c r="U191" s="63" t="str">
        <x:v>internal://v31/governed-policy</x:v>
      </x:c>
      <x:c r="V191" s="63" t="str">
        <x:v>27ada7c1e615b265e8cbf6f134fd81b12991ef02b9846558caf1a39f81c44a11</x:v>
      </x:c>
    </x:row>
    <x:row r="192">
      <x:c r="A192" s="63" t="str">
        <x:v>bec:E04:struct:risk:2</x:v>
      </x:c>
      <x:c r="B192" s="63" t="str">
        <x:v>E04</x:v>
      </x:c>
      <x:c r="C192" s="63" t="str">
        <x:v>sector_primary_risk</x:v>
      </x:c>
      <x:c r="D192" s="63" t="str">
        <x:v>CATEGORICAL</x:v>
      </x:c>
      <x:c r="E192" s="63" t="str">
        <x:v>SCENARIO</x:v>
      </x:c>
      <x:c r="F192" s="65"/>
      <x:c r="G192" s="66"/>
      <x:c r="H192" s="67"/>
      <x:c r="I192" s="63" t="str">
        <x:v>capex overrun</x:v>
      </x:c>
      <x:c r="J192" s="63"/>
      <x:c r="K192" s="63" t="str">
        <x:v>statement</x:v>
      </x:c>
      <x:c r="L192" s="63" t="str">
        <x:v>2025-06-01</x:v>
      </x:c>
      <x:c r="M192" s="63" t="str">
        <x:v>2026-06-30</x:v>
      </x:c>
      <x:c r="N192" s="63" t="str">
        <x:v>2026-06-30</x:v>
      </x:c>
      <x:c r="O192" s="63" t="str">
        <x:v>E0</x:v>
      </x:c>
      <x:c r="P192" s="63" t="str">
        <x:v>APPROVED</x:v>
      </x:c>
      <x:c r="Q192" s="64" t="b">
        <x:v>0</x:v>
      </x:c>
      <x:c r="R192" s="63" t="str">
        <x:v>BUSINESS_AND_FINANCIAL_RISKS</x:v>
      </x:c>
      <x:c r="S192" s="63" t="str">
        <x:v>Governed sector operating-model and responsibility policy</x:v>
      </x:c>
      <x:c r="T192" s="63"/>
      <x:c r="U192" s="63" t="str">
        <x:v>internal://v31/governed-policy</x:v>
      </x:c>
      <x:c r="V192" s="63" t="str">
        <x:v>7e95a41747d5aa5af52cf3f6fb62d742b1f36f3a2a6f25249509f461ed32447b</x:v>
      </x:c>
    </x:row>
    <x:row r="193">
      <x:c r="A193" s="63" t="str">
        <x:v>bec:E04:struct:responsibility-model</x:v>
      </x:c>
      <x:c r="B193" s="63" t="str">
        <x:v>E04</x:v>
      </x:c>
      <x:c r="C193" s="63" t="str">
        <x:v>stakeholder_responsibility_model</x:v>
      </x:c>
      <x:c r="D193" s="63" t="str">
        <x:v>TEXTUAL</x:v>
      </x:c>
      <x:c r="E193" s="63" t="str">
        <x:v>SCENARIO</x:v>
      </x:c>
      <x:c r="F193" s="65"/>
      <x:c r="G193" s="66"/>
      <x:c r="H193" s="67"/>
      <x:c r="I193" s="63" t="str">
        <x:v>Responsibility is assigned by role persona using governed matrix v31-stakeholder-responsibility-3.1.0. Named individuals are not resolved in the demonstration and require CRM entitlement checks in production.</x:v>
      </x:c>
      <x:c r="J193" s="63"/>
      <x:c r="K193" s="63" t="str">
        <x:v>statement</x:v>
      </x:c>
      <x:c r="L193" s="63" t="str">
        <x:v>2025-06-01</x:v>
      </x:c>
      <x:c r="M193" s="63" t="str">
        <x:v>2026-06-30</x:v>
      </x:c>
      <x:c r="N193" s="63" t="str">
        <x:v>2026-06-30</x:v>
      </x:c>
      <x:c r="O193" s="63" t="str">
        <x:v>E0</x:v>
      </x:c>
      <x:c r="P193" s="63" t="str">
        <x:v>APPROVED</x:v>
      </x:c>
      <x:c r="Q193" s="64" t="b">
        <x:v>0</x:v>
      </x:c>
      <x:c r="R193" s="63" t="str">
        <x:v>STAKEHOLDER_RESPONSIBILITY</x:v>
      </x:c>
      <x:c r="S193" s="63" t="str">
        <x:v>Governed sector operating-model and responsibility policy</x:v>
      </x:c>
      <x:c r="T193" s="63"/>
      <x:c r="U193" s="63" t="str">
        <x:v>internal://v31/governed-policy</x:v>
      </x:c>
      <x:c r="V193" s="63" t="str">
        <x:v>916be45571d886777e76c7e07094f8af7a94cc74f63e354f19688f4aadf8522b</x:v>
      </x:c>
    </x:row>
    <x:row r="194">
      <x:c r="A194" s="63" t="str">
        <x:v>bec:E04:struct:responsibility:fx_exposure</x:v>
      </x:c>
      <x:c r="B194" s="63" t="str">
        <x:v>E04</x:v>
      </x:c>
      <x:c r="C194" s="63" t="str">
        <x:v>problem_role_ownership</x:v>
      </x:c>
      <x:c r="D194" s="63" t="str">
        <x:v>STRUCTURE_RELATIONSHIP</x:v>
      </x:c>
      <x:c r="E194" s="63" t="str">
        <x:v>SCENARIO</x:v>
      </x:c>
      <x:c r="F194" s="65"/>
      <x:c r="G194" s="66"/>
      <x:c r="H194" s="67"/>
      <x:c r="I194" s="63"/>
      <x:c r="J194" s="63"/>
      <x:c r="K194" s="63" t="str">
        <x:v>statement</x:v>
      </x:c>
      <x:c r="L194" s="63" t="str">
        <x:v>2025-06-01</x:v>
      </x:c>
      <x:c r="M194" s="63" t="str">
        <x:v>2026-06-30</x:v>
      </x:c>
      <x:c r="N194" s="63" t="str">
        <x:v>2026-06-30</x:v>
      </x:c>
      <x:c r="O194" s="63" t="str">
        <x:v>E0</x:v>
      </x:c>
      <x:c r="P194" s="63" t="str">
        <x:v>APPROVED</x:v>
      </x:c>
      <x:c r="Q194" s="64" t="b">
        <x:v>0</x:v>
      </x:c>
      <x:c r="R194" s="63" t="str">
        <x:v>STAKEHOLDER_RESPONSIBILITY</x:v>
      </x:c>
      <x:c r="S194" s="63" t="str">
        <x:v>Governed sector operating-model and responsibility policy</x:v>
      </x:c>
      <x:c r="T194" s="63"/>
      <x:c r="U194" s="63" t="str">
        <x:v>internal://v31/governed-policy</x:v>
      </x:c>
      <x:c r="V194" s="63" t="str">
        <x:v>7f45c3782148149d8d9478e06bd287adfd7fb99285d7b2bb8bb67f1d61a90169</x:v>
      </x:c>
    </x:row>
    <x:row r="195">
      <x:c r="A195" s="63" t="str">
        <x:v>bec:E04:struct:responsibility:refinancing_cliff</x:v>
      </x:c>
      <x:c r="B195" s="63" t="str">
        <x:v>E04</x:v>
      </x:c>
      <x:c r="C195" s="63" t="str">
        <x:v>problem_role_ownership</x:v>
      </x:c>
      <x:c r="D195" s="63" t="str">
        <x:v>STRUCTURE_RELATIONSHIP</x:v>
      </x:c>
      <x:c r="E195" s="63" t="str">
        <x:v>SCENARIO</x:v>
      </x:c>
      <x:c r="F195" s="65"/>
      <x:c r="G195" s="66"/>
      <x:c r="H195" s="67"/>
      <x:c r="I195" s="63"/>
      <x:c r="J195" s="63"/>
      <x:c r="K195" s="63" t="str">
        <x:v>statement</x:v>
      </x:c>
      <x:c r="L195" s="63" t="str">
        <x:v>2025-06-01</x:v>
      </x:c>
      <x:c r="M195" s="63" t="str">
        <x:v>2026-06-30</x:v>
      </x:c>
      <x:c r="N195" s="63" t="str">
        <x:v>2026-06-30</x:v>
      </x:c>
      <x:c r="O195" s="63" t="str">
        <x:v>E0</x:v>
      </x:c>
      <x:c r="P195" s="63" t="str">
        <x:v>APPROVED</x:v>
      </x:c>
      <x:c r="Q195" s="64" t="b">
        <x:v>0</x:v>
      </x:c>
      <x:c r="R195" s="63" t="str">
        <x:v>STAKEHOLDER_RESPONSIBILITY</x:v>
      </x:c>
      <x:c r="S195" s="63" t="str">
        <x:v>Governed sector operating-model and responsibility policy</x:v>
      </x:c>
      <x:c r="T195" s="63"/>
      <x:c r="U195" s="63" t="str">
        <x:v>internal://v31/governed-policy</x:v>
      </x:c>
      <x:c r="V195" s="63" t="str">
        <x:v>dfb23c72ce01199ae7683092576e43b0cf8d4180e37288df7197fe9f1e23041a</x:v>
      </x:c>
    </x:row>
    <x:row r="196">
      <x:c r="A196" s="63" t="str">
        <x:v>bec:E04:struct:responsibility:working_capital_pressure</x:v>
      </x:c>
      <x:c r="B196" s="63" t="str">
        <x:v>E04</x:v>
      </x:c>
      <x:c r="C196" s="63" t="str">
        <x:v>problem_role_ownership</x:v>
      </x:c>
      <x:c r="D196" s="63" t="str">
        <x:v>STRUCTURE_RELATIONSHIP</x:v>
      </x:c>
      <x:c r="E196" s="63" t="str">
        <x:v>SCENARIO</x:v>
      </x:c>
      <x:c r="F196" s="65"/>
      <x:c r="G196" s="66"/>
      <x:c r="H196" s="67"/>
      <x:c r="I196" s="63"/>
      <x:c r="J196" s="63"/>
      <x:c r="K196" s="63" t="str">
        <x:v>statement</x:v>
      </x:c>
      <x:c r="L196" s="63" t="str">
        <x:v>2025-06-01</x:v>
      </x:c>
      <x:c r="M196" s="63" t="str">
        <x:v>2026-06-30</x:v>
      </x:c>
      <x:c r="N196" s="63" t="str">
        <x:v>2026-06-30</x:v>
      </x:c>
      <x:c r="O196" s="63" t="str">
        <x:v>E0</x:v>
      </x:c>
      <x:c r="P196" s="63" t="str">
        <x:v>APPROVED</x:v>
      </x:c>
      <x:c r="Q196" s="64" t="b">
        <x:v>0</x:v>
      </x:c>
      <x:c r="R196" s="63" t="str">
        <x:v>STAKEHOLDER_RESPONSIBILITY</x:v>
      </x:c>
      <x:c r="S196" s="63" t="str">
        <x:v>Governed sector operating-model and responsibility policy</x:v>
      </x:c>
      <x:c r="T196" s="63"/>
      <x:c r="U196" s="63" t="str">
        <x:v>internal://v31/governed-policy</x:v>
      </x:c>
      <x:c r="V196" s="63" t="str">
        <x:v>370f4addd452ebeca04310ff5a5fbdffc068339f03626338a90410db5318ef58</x:v>
      </x:c>
    </x:row>
    <x:row r="197">
      <x:c r="A197" s="63" t="str">
        <x:v>bec:GF-2025-REV</x:v>
      </x:c>
      <x:c r="B197" s="63" t="str">
        <x:v>E05</x:v>
      </x:c>
      <x:c r="C197" s="63" t="str">
        <x:v>revenue</x:v>
      </x:c>
      <x:c r="D197" s="63" t="str">
        <x:v>MONEY</x:v>
      </x:c>
      <x:c r="E197" s="63" t="str">
        <x:v>OBSERVED</x:v>
      </x:c>
      <x:c r="F197" s="65" t="n">
        <x:v>8751.3</x:v>
      </x:c>
      <x:c r="G197" s="66"/>
      <x:c r="H197" s="67"/>
      <x:c r="I197" s="63"/>
      <x:c r="J197" s="63" t="str">
        <x:v>USD</x:v>
      </x:c>
      <x:c r="K197" s="63" t="str">
        <x:v>million</x:v>
      </x:c>
      <x:c r="L197" s="63" t="str">
        <x:v>2025-01-01</x:v>
      </x:c>
      <x:c r="M197" s="63" t="str">
        <x:v>2025-12-31</x:v>
      </x:c>
      <x:c r="N197" s="63" t="str">
        <x:v>2026-03-27</x:v>
      </x:c>
      <x:c r="O197" s="63" t="str">
        <x:v>E1</x:v>
      </x:c>
      <x:c r="P197" s="63" t="str">
        <x:v>PENDING_REVIEW</x:v>
      </x:c>
      <x:c r="Q197" s="64" t="b">
        <x:v>1</x:v>
      </x:c>
      <x:c r="R197" s="63" t="str">
        <x:v>REVENUE_ENGINE</x:v>
      </x:c>
      <x:c r="S197" s="63" t="str">
        <x:v>Gold Fields Annual Financial Report 2025</x:v>
      </x:c>
      <x:c r="T197" s="63" t="n">
        <x:v>72</x:v>
      </x:c>
      <x:c r="U197" s="63" t="str">
        <x:v>https://www.goldfields.com/pdf/investors/integrated-annual-reports/2025/afs-2025.pdf</x:v>
      </x:c>
      <x:c r="V197" s="63" t="str">
        <x:v>0819d8e37085aaa5adb8305c3bcdd5b5a9631cf40f594950beaeb6c77077fc0a</x:v>
      </x:c>
    </x:row>
    <x:row r="198">
      <x:c r="A198" s="63" t="str">
        <x:v>bec:GF-2025-CASH</x:v>
      </x:c>
      <x:c r="B198" s="63" t="str">
        <x:v>E05</x:v>
      </x:c>
      <x:c r="C198" s="63" t="str">
        <x:v>cash_and_cash_equivalents</x:v>
      </x:c>
      <x:c r="D198" s="63" t="str">
        <x:v>MONEY</x:v>
      </x:c>
      <x:c r="E198" s="63" t="str">
        <x:v>OBSERVED</x:v>
      </x:c>
      <x:c r="F198" s="65" t="n">
        <x:v>1779.2</x:v>
      </x:c>
      <x:c r="G198" s="66"/>
      <x:c r="H198" s="67"/>
      <x:c r="I198" s="63"/>
      <x:c r="J198" s="63" t="str">
        <x:v>USD</x:v>
      </x:c>
      <x:c r="K198" s="63" t="str">
        <x:v>million</x:v>
      </x:c>
      <x:c r="L198" s="63" t="str">
        <x:v>2025-12-31</x:v>
      </x:c>
      <x:c r="M198" s="63" t="str">
        <x:v>2025-12-31</x:v>
      </x:c>
      <x:c r="N198" s="63" t="str">
        <x:v>2026-03-27</x:v>
      </x:c>
      <x:c r="O198" s="63" t="str">
        <x:v>E1</x:v>
      </x:c>
      <x:c r="P198" s="63" t="str">
        <x:v>PENDING_REVIEW</x:v>
      </x:c>
      <x:c r="Q198" s="64" t="b">
        <x:v>1</x:v>
      </x:c>
      <x:c r="R198" s="63" t="str">
        <x:v>LIQUIDITY_AND_BUFFER</x:v>
      </x:c>
      <x:c r="S198" s="63" t="str">
        <x:v>Gold Fields Annual Financial Report 2025</x:v>
      </x:c>
      <x:c r="T198" s="63" t="n">
        <x:v>74</x:v>
      </x:c>
      <x:c r="U198" s="63" t="str">
        <x:v>https://www.goldfields.com/pdf/investors/integrated-annual-reports/2025/afs-2025.pdf</x:v>
      </x:c>
      <x:c r="V198" s="63" t="str">
        <x:v>0819d8e37085aaa5adb8305c3bcdd5b5a9631cf40f594950beaeb6c77077fc0a</x:v>
      </x:c>
    </x:row>
    <x:row r="199">
      <x:c r="A199" s="63" t="str">
        <x:v>bec:GF-2025-DEBT</x:v>
      </x:c>
      <x:c r="B199" s="63" t="str">
        <x:v>E05</x:v>
      </x:c>
      <x:c r="C199" s="63" t="str">
        <x:v>current_debt</x:v>
      </x:c>
      <x:c r="D199" s="63" t="str">
        <x:v>MONEY</x:v>
      </x:c>
      <x:c r="E199" s="63" t="str">
        <x:v>OBSERVED</x:v>
      </x:c>
      <x:c r="F199" s="65" t="n">
        <x:v>178.7</x:v>
      </x:c>
      <x:c r="G199" s="66"/>
      <x:c r="H199" s="67"/>
      <x:c r="I199" s="63"/>
      <x:c r="J199" s="63" t="str">
        <x:v>USD</x:v>
      </x:c>
      <x:c r="K199" s="63" t="str">
        <x:v>million</x:v>
      </x:c>
      <x:c r="L199" s="63" t="str">
        <x:v>2025-12-31</x:v>
      </x:c>
      <x:c r="M199" s="63" t="str">
        <x:v>2025-12-31</x:v>
      </x:c>
      <x:c r="N199" s="63" t="str">
        <x:v>2026-03-27</x:v>
      </x:c>
      <x:c r="O199" s="63" t="str">
        <x:v>E1</x:v>
      </x:c>
      <x:c r="P199" s="63" t="str">
        <x:v>PENDING_REVIEW</x:v>
      </x:c>
      <x:c r="Q199" s="64" t="b">
        <x:v>1</x:v>
      </x:c>
      <x:c r="R199" s="63" t="str">
        <x:v>FUNDING_STRUCTURE</x:v>
      </x:c>
      <x:c r="S199" s="63" t="str">
        <x:v>Gold Fields Annual Financial Report 2025</x:v>
      </x:c>
      <x:c r="T199" s="63" t="n">
        <x:v>74</x:v>
      </x:c>
      <x:c r="U199" s="63" t="str">
        <x:v>https://www.goldfields.com/pdf/investors/integrated-annual-reports/2025/afs-2025.pdf</x:v>
      </x:c>
      <x:c r="V199" s="63" t="str">
        <x:v>0819d8e37085aaa5adb8305c3bcdd5b5a9631cf40f594950beaeb6c77077fc0a</x:v>
      </x:c>
    </x:row>
    <x:row r="200">
      <x:c r="A200" s="63" t="str">
        <x:v>bec:E05:obs:flow:collections</x:v>
      </x:c>
      <x:c r="B200" s="63" t="str">
        <x:v>E05</x:v>
      </x:c>
      <x:c r="C200" s="63" t="str">
        <x:v>bank_observed_collections_ltm</x:v>
      </x:c>
      <x:c r="D200" s="63" t="str">
        <x:v>MONEY</x:v>
      </x:c>
      <x:c r="E200" s="63" t="str">
        <x:v>OBSERVED</x:v>
      </x:c>
      <x:c r="F200" s="65" t="n">
        <x:v>905404726.9369229</x:v>
      </x:c>
      <x:c r="G200" s="66"/>
      <x:c r="H200" s="67"/>
      <x:c r="I200" s="63"/>
      <x:c r="J200" s="63" t="str">
        <x:v>ZAR</x:v>
      </x:c>
      <x:c r="K200" s="63" t="str">
        <x:v>ZAR</x:v>
      </x:c>
      <x:c r="L200" s="63" t="str">
        <x:v>2025-06-01</x:v>
      </x:c>
      <x:c r="M200" s="63" t="str">
        <x:v>2026-06-30</x:v>
      </x:c>
      <x:c r="N200" s="63" t="str">
        <x:v>2026-06-30</x:v>
      </x:c>
      <x:c r="O200" s="63" t="str">
        <x:v>E0</x:v>
      </x:c>
      <x:c r="P200" s="63" t="str">
        <x:v>APPROVED</x:v>
      </x:c>
      <x:c r="Q200" s="64" t="b">
        <x:v>1</x:v>
      </x:c>
      <x:c r="R200" s="63" t="str">
        <x:v>REVENUE_ENGINE, WORKING_CAPITAL_CYCLE</x:v>
      </x:c>
      <x:c r="S200" s="63" t="str">
        <x:v>Syn Bank transaction and relationship simulation</x:v>
      </x:c>
      <x:c r="T200" s="63"/>
      <x:c r="U200" s="63" t="str">
        <x:v>internal://syn-bank/simulation/ltm</x:v>
      </x:c>
      <x:c r="V200" s="63" t="str">
        <x:v>8bacf9e295f7a74162380042cee596424fc14794b302aeb89211e83f51253490</x:v>
      </x:c>
    </x:row>
    <x:row r="201">
      <x:c r="A201" s="63" t="str">
        <x:v>bec:E05:obs:trend:collections</x:v>
      </x:c>
      <x:c r="B201" s="63" t="str">
        <x:v>E05</x:v>
      </x:c>
      <x:c r="C201" s="63" t="str">
        <x:v>bank_observed_collections_yoy_change</x:v>
      </x:c>
      <x:c r="D201" s="63" t="str">
        <x:v>RATIO</x:v>
      </x:c>
      <x:c r="E201" s="63" t="str">
        <x:v>OBSERVED</x:v>
      </x:c>
      <x:c r="F201" s="65"/>
      <x:c r="G201" s="66" t="n">
        <x:v>0.105932</x:v>
      </x:c>
      <x:c r="H201" s="67"/>
      <x:c r="I201" s="63"/>
      <x:c r="J201" s="63"/>
      <x:c r="K201" s="63" t="str">
        <x:v>ratio</x:v>
      </x:c>
      <x:c r="L201" s="63" t="str">
        <x:v>2025-06-01</x:v>
      </x:c>
      <x:c r="M201" s="63" t="str">
        <x:v>2026-06-30</x:v>
      </x:c>
      <x:c r="N201" s="63" t="str">
        <x:v>2026-06-30</x:v>
      </x:c>
      <x:c r="O201" s="63" t="str">
        <x:v>E0</x:v>
      </x:c>
      <x:c r="P201" s="63" t="str">
        <x:v>APPROVED</x:v>
      </x:c>
      <x:c r="Q201" s="64" t="b">
        <x:v>0</x:v>
      </x:c>
      <x:c r="R201" s="63" t="str">
        <x:v>REVENUE_ENGINE, WORKING_CAPITAL_CYCLE</x:v>
      </x:c>
      <x:c r="S201" s="63" t="str">
        <x:v>Syn Bank transaction and relationship simulation</x:v>
      </x:c>
      <x:c r="T201" s="63"/>
      <x:c r="U201" s="63" t="str">
        <x:v>internal://syn-bank/simulation/ltm</x:v>
      </x:c>
      <x:c r="V201" s="63" t="str">
        <x:v>f98ae78586657e54e30896dedf244cb3c0a8305f399a6f88106c9a7517fec495</x:v>
      </x:c>
    </x:row>
    <x:row r="202">
      <x:c r="A202" s="63" t="str">
        <x:v>bec:E05:obs:flow:payments</x:v>
      </x:c>
      <x:c r="B202" s="63" t="str">
        <x:v>E05</x:v>
      </x:c>
      <x:c r="C202" s="63" t="str">
        <x:v>bank_observed_payments_ltm</x:v>
      </x:c>
      <x:c r="D202" s="63" t="str">
        <x:v>MONEY</x:v>
      </x:c>
      <x:c r="E202" s="63" t="str">
        <x:v>OBSERVED</x:v>
      </x:c>
      <x:c r="F202" s="65" t="n">
        <x:v>777545050.7299999</x:v>
      </x:c>
      <x:c r="G202" s="66"/>
      <x:c r="H202" s="67"/>
      <x:c r="I202" s="63"/>
      <x:c r="J202" s="63" t="str">
        <x:v>ZAR</x:v>
      </x:c>
      <x:c r="K202" s="63" t="str">
        <x:v>ZAR</x:v>
      </x:c>
      <x:c r="L202" s="63" t="str">
        <x:v>2025-06-01</x:v>
      </x:c>
      <x:c r="M202" s="63" t="str">
        <x:v>2026-06-30</x:v>
      </x:c>
      <x:c r="N202" s="63" t="str">
        <x:v>2026-06-30</x:v>
      </x:c>
      <x:c r="O202" s="63" t="str">
        <x:v>E0</x:v>
      </x:c>
      <x:c r="P202" s="63" t="str">
        <x:v>APPROVED</x:v>
      </x:c>
      <x:c r="Q202" s="64" t="b">
        <x:v>1</x:v>
      </x:c>
      <x:c r="R202" s="63" t="str">
        <x:v>COST_ENGINE, WORKING_CAPITAL_CYCLE</x:v>
      </x:c>
      <x:c r="S202" s="63" t="str">
        <x:v>Syn Bank transaction and relationship simulation</x:v>
      </x:c>
      <x:c r="T202" s="63"/>
      <x:c r="U202" s="63" t="str">
        <x:v>internal://syn-bank/simulation/ltm</x:v>
      </x:c>
      <x:c r="V202" s="63" t="str">
        <x:v>55b45151062167df966d76183e6b9e3da9210c1232f9566f49041d330a46bf77</x:v>
      </x:c>
    </x:row>
    <x:row r="203">
      <x:c r="A203" s="63" t="str">
        <x:v>bec:E05:obs:trend:payments</x:v>
      </x:c>
      <x:c r="B203" s="63" t="str">
        <x:v>E05</x:v>
      </x:c>
      <x:c r="C203" s="63" t="str">
        <x:v>bank_observed_payments_yoy_change</x:v>
      </x:c>
      <x:c r="D203" s="63" t="str">
        <x:v>RATIO</x:v>
      </x:c>
      <x:c r="E203" s="63" t="str">
        <x:v>OBSERVED</x:v>
      </x:c>
      <x:c r="F203" s="65"/>
      <x:c r="G203" s="66" t="n">
        <x:v>0.164105</x:v>
      </x:c>
      <x:c r="H203" s="67"/>
      <x:c r="I203" s="63"/>
      <x:c r="J203" s="63"/>
      <x:c r="K203" s="63" t="str">
        <x:v>ratio</x:v>
      </x:c>
      <x:c r="L203" s="63" t="str">
        <x:v>2025-06-01</x:v>
      </x:c>
      <x:c r="M203" s="63" t="str">
        <x:v>2026-06-30</x:v>
      </x:c>
      <x:c r="N203" s="63" t="str">
        <x:v>2026-06-30</x:v>
      </x:c>
      <x:c r="O203" s="63" t="str">
        <x:v>E0</x:v>
      </x:c>
      <x:c r="P203" s="63" t="str">
        <x:v>APPROVED</x:v>
      </x:c>
      <x:c r="Q203" s="64" t="b">
        <x:v>0</x:v>
      </x:c>
      <x:c r="R203" s="63" t="str">
        <x:v>COST_ENGINE, WORKING_CAPITAL_CYCLE</x:v>
      </x:c>
      <x:c r="S203" s="63" t="str">
        <x:v>Syn Bank transaction and relationship simulation</x:v>
      </x:c>
      <x:c r="T203" s="63"/>
      <x:c r="U203" s="63" t="str">
        <x:v>internal://syn-bank/simulation/ltm</x:v>
      </x:c>
      <x:c r="V203" s="63" t="str">
        <x:v>aad451428217ad14f4d7acbfea35e63c6058f3d4c644e99917cc9f483d5339e8</x:v>
      </x:c>
    </x:row>
    <x:row r="204">
      <x:c r="A204" s="63" t="str">
        <x:v>bec:E05:obs:flow:liquidity</x:v>
      </x:c>
      <x:c r="B204" s="63" t="str">
        <x:v>E05</x:v>
      </x:c>
      <x:c r="C204" s="63" t="str">
        <x:v>bank_observed_liquidity_ltm</x:v>
      </x:c>
      <x:c r="D204" s="63" t="str">
        <x:v>MONEY</x:v>
      </x:c>
      <x:c r="E204" s="63" t="str">
        <x:v>OBSERVED</x:v>
      </x:c>
      <x:c r="F204" s="65" t="n">
        <x:v>841474888.8334614</x:v>
      </x:c>
      <x:c r="G204" s="66"/>
      <x:c r="H204" s="67"/>
      <x:c r="I204" s="63"/>
      <x:c r="J204" s="63" t="str">
        <x:v>ZAR</x:v>
      </x:c>
      <x:c r="K204" s="63" t="str">
        <x:v>ZAR</x:v>
      </x:c>
      <x:c r="L204" s="63" t="str">
        <x:v>2025-06-01</x:v>
      </x:c>
      <x:c r="M204" s="63" t="str">
        <x:v>2026-06-30</x:v>
      </x:c>
      <x:c r="N204" s="63" t="str">
        <x:v>2026-06-30</x:v>
      </x:c>
      <x:c r="O204" s="63" t="str">
        <x:v>E0</x:v>
      </x:c>
      <x:c r="P204" s="63" t="str">
        <x:v>APPROVED</x:v>
      </x:c>
      <x:c r="Q204" s="64" t="b">
        <x:v>1</x:v>
      </x:c>
      <x:c r="R204" s="63" t="str">
        <x:v>LIQUIDITY_AND_BUFFER</x:v>
      </x:c>
      <x:c r="S204" s="63" t="str">
        <x:v>Syn Bank transaction and relationship simulation</x:v>
      </x:c>
      <x:c r="T204" s="63"/>
      <x:c r="U204" s="63" t="str">
        <x:v>internal://syn-bank/simulation/ltm</x:v>
      </x:c>
      <x:c r="V204" s="63" t="str">
        <x:v>df646c41e8f00f0e68397ba168f8ad1bca89ee8e27e0902c75149af87cfe13b5</x:v>
      </x:c>
    </x:row>
    <x:row r="205">
      <x:c r="A205" s="63" t="str">
        <x:v>bec:E05:obs:trend:liquidity</x:v>
      </x:c>
      <x:c r="B205" s="63" t="str">
        <x:v>E05</x:v>
      </x:c>
      <x:c r="C205" s="63" t="str">
        <x:v>bank_observed_liquidity_yoy_change</x:v>
      </x:c>
      <x:c r="D205" s="63" t="str">
        <x:v>RATIO</x:v>
      </x:c>
      <x:c r="E205" s="63" t="str">
        <x:v>OBSERVED</x:v>
      </x:c>
      <x:c r="F205" s="65"/>
      <x:c r="G205" s="66" t="n">
        <x:v>0.132069</x:v>
      </x:c>
      <x:c r="H205" s="67"/>
      <x:c r="I205" s="63"/>
      <x:c r="J205" s="63"/>
      <x:c r="K205" s="63" t="str">
        <x:v>ratio</x:v>
      </x:c>
      <x:c r="L205" s="63" t="str">
        <x:v>2025-06-01</x:v>
      </x:c>
      <x:c r="M205" s="63" t="str">
        <x:v>2026-06-30</x:v>
      </x:c>
      <x:c r="N205" s="63" t="str">
        <x:v>2026-06-30</x:v>
      </x:c>
      <x:c r="O205" s="63" t="str">
        <x:v>E0</x:v>
      </x:c>
      <x:c r="P205" s="63" t="str">
        <x:v>APPROVED</x:v>
      </x:c>
      <x:c r="Q205" s="64" t="b">
        <x:v>0</x:v>
      </x:c>
      <x:c r="R205" s="63" t="str">
        <x:v>LIQUIDITY_AND_BUFFER</x:v>
      </x:c>
      <x:c r="S205" s="63" t="str">
        <x:v>Syn Bank transaction and relationship simulation</x:v>
      </x:c>
      <x:c r="T205" s="63"/>
      <x:c r="U205" s="63" t="str">
        <x:v>internal://syn-bank/simulation/ltm</x:v>
      </x:c>
      <x:c r="V205" s="63" t="str">
        <x:v>aedb016583f2af1b46c48631f3e40934fbaf243691ea20d028ce19a2ddd84b65</x:v>
      </x:c>
    </x:row>
    <x:row r="206">
      <x:c r="A206" s="63" t="str">
        <x:v>bec:E05:obs:flow:cross-border-fx</x:v>
      </x:c>
      <x:c r="B206" s="63" t="str">
        <x:v>E05</x:v>
      </x:c>
      <x:c r="C206" s="63" t="str">
        <x:v>bank_observed_cross_border_fx_ltm</x:v>
      </x:c>
      <x:c r="D206" s="63" t="str">
        <x:v>MONEY</x:v>
      </x:c>
      <x:c r="E206" s="63" t="str">
        <x:v>OBSERVED</x:v>
      </x:c>
      <x:c r="F206" s="65" t="n">
        <x:v>895360389.99</x:v>
      </x:c>
      <x:c r="G206" s="66"/>
      <x:c r="H206" s="67"/>
      <x:c r="I206" s="63"/>
      <x:c r="J206" s="63" t="str">
        <x:v>ZAR</x:v>
      </x:c>
      <x:c r="K206" s="63" t="str">
        <x:v>ZAR</x:v>
      </x:c>
      <x:c r="L206" s="63" t="str">
        <x:v>2025-06-01</x:v>
      </x:c>
      <x:c r="M206" s="63" t="str">
        <x:v>2026-06-30</x:v>
      </x:c>
      <x:c r="N206" s="63" t="str">
        <x:v>2026-06-30</x:v>
      </x:c>
      <x:c r="O206" s="63" t="str">
        <x:v>E0</x:v>
      </x:c>
      <x:c r="P206" s="63" t="str">
        <x:v>APPROVED</x:v>
      </x:c>
      <x:c r="Q206" s="64" t="b">
        <x:v>1</x:v>
      </x:c>
      <x:c r="R206" s="63" t="str">
        <x:v>CURRENCY_AND_COMMODITY_EXPOSURE, GEOGRAPHIC_EXPOSURE</x:v>
      </x:c>
      <x:c r="S206" s="63" t="str">
        <x:v>Syn Bank transaction and relationship simulation</x:v>
      </x:c>
      <x:c r="T206" s="63"/>
      <x:c r="U206" s="63" t="str">
        <x:v>internal://syn-bank/simulation/ltm</x:v>
      </x:c>
      <x:c r="V206" s="63" t="str">
        <x:v>8559c35b9ab4dbfb57ecea06ba261e129ddeccfcc7eb531583bcf79a9d500c0d</x:v>
      </x:c>
    </x:row>
    <x:row r="207">
      <x:c r="A207" s="63" t="str">
        <x:v>bec:E05:obs:trend:cross-border-fx</x:v>
      </x:c>
      <x:c r="B207" s="63" t="str">
        <x:v>E05</x:v>
      </x:c>
      <x:c r="C207" s="63" t="str">
        <x:v>bank_observed_cross_border_fx_yoy_change</x:v>
      </x:c>
      <x:c r="D207" s="63" t="str">
        <x:v>RATIO</x:v>
      </x:c>
      <x:c r="E207" s="63" t="str">
        <x:v>OBSERVED</x:v>
      </x:c>
      <x:c r="F207" s="65"/>
      <x:c r="G207" s="66" t="n">
        <x:v>-0.055204</x:v>
      </x:c>
      <x:c r="H207" s="67"/>
      <x:c r="I207" s="63"/>
      <x:c r="J207" s="63"/>
      <x:c r="K207" s="63" t="str">
        <x:v>ratio</x:v>
      </x:c>
      <x:c r="L207" s="63" t="str">
        <x:v>2025-06-01</x:v>
      </x:c>
      <x:c r="M207" s="63" t="str">
        <x:v>2026-06-30</x:v>
      </x:c>
      <x:c r="N207" s="63" t="str">
        <x:v>2026-06-30</x:v>
      </x:c>
      <x:c r="O207" s="63" t="str">
        <x:v>E0</x:v>
      </x:c>
      <x:c r="P207" s="63" t="str">
        <x:v>APPROVED</x:v>
      </x:c>
      <x:c r="Q207" s="64" t="b">
        <x:v>0</x:v>
      </x:c>
      <x:c r="R207" s="63" t="str">
        <x:v>CURRENCY_AND_COMMODITY_EXPOSURE, GEOGRAPHIC_EXPOSURE</x:v>
      </x:c>
      <x:c r="S207" s="63" t="str">
        <x:v>Syn Bank transaction and relationship simulation</x:v>
      </x:c>
      <x:c r="T207" s="63"/>
      <x:c r="U207" s="63" t="str">
        <x:v>internal://syn-bank/simulation/ltm</x:v>
      </x:c>
      <x:c r="V207" s="63" t="str">
        <x:v>8f8e6a0adfaeb1ee0339a631f076fccf6cc5daa82f49d98d1ccb18b17f1482b0</x:v>
      </x:c>
    </x:row>
    <x:row r="208">
      <x:c r="A208" s="63" t="str">
        <x:v>bec:E05:obs:flow:trade-finance</x:v>
      </x:c>
      <x:c r="B208" s="63" t="str">
        <x:v>E05</x:v>
      </x:c>
      <x:c r="C208" s="63" t="str">
        <x:v>bank_observed_trade_finance_ltm</x:v>
      </x:c>
      <x:c r="D208" s="63" t="str">
        <x:v>MONEY</x:v>
      </x:c>
      <x:c r="E208" s="63" t="str">
        <x:v>OBSERVED</x:v>
      </x:c>
      <x:c r="F208" s="65" t="n">
        <x:v>695385751.8499999</x:v>
      </x:c>
      <x:c r="G208" s="66"/>
      <x:c r="H208" s="67"/>
      <x:c r="I208" s="63"/>
      <x:c r="J208" s="63" t="str">
        <x:v>ZAR</x:v>
      </x:c>
      <x:c r="K208" s="63" t="str">
        <x:v>ZAR</x:v>
      </x:c>
      <x:c r="L208" s="63" t="str">
        <x:v>2025-06-01</x:v>
      </x:c>
      <x:c r="M208" s="63" t="str">
        <x:v>2026-06-30</x:v>
      </x:c>
      <x:c r="N208" s="63" t="str">
        <x:v>2026-06-30</x:v>
      </x:c>
      <x:c r="O208" s="63" t="str">
        <x:v>E0</x:v>
      </x:c>
      <x:c r="P208" s="63" t="str">
        <x:v>APPROVED</x:v>
      </x:c>
      <x:c r="Q208" s="64" t="b">
        <x:v>1</x:v>
      </x:c>
      <x:c r="R208" s="63" t="str">
        <x:v>WORKING_CAPITAL_CYCLE, OPERATING_MODEL</x:v>
      </x:c>
      <x:c r="S208" s="63" t="str">
        <x:v>Syn Bank transaction and relationship simulation</x:v>
      </x:c>
      <x:c r="T208" s="63"/>
      <x:c r="U208" s="63" t="str">
        <x:v>internal://syn-bank/simulation/ltm</x:v>
      </x:c>
      <x:c r="V208" s="63" t="str">
        <x:v>a1b06e4e6707353e49a6cd600b2b04f8544986ca6e6dee00ba2130331062df05</x:v>
      </x:c>
    </x:row>
    <x:row r="209">
      <x:c r="A209" s="63" t="str">
        <x:v>bec:E05:obs:trend:trade-finance</x:v>
      </x:c>
      <x:c r="B209" s="63" t="str">
        <x:v>E05</x:v>
      </x:c>
      <x:c r="C209" s="63" t="str">
        <x:v>bank_observed_trade_finance_yoy_change</x:v>
      </x:c>
      <x:c r="D209" s="63" t="str">
        <x:v>RATIO</x:v>
      </x:c>
      <x:c r="E209" s="63" t="str">
        <x:v>OBSERVED</x:v>
      </x:c>
      <x:c r="F209" s="65"/>
      <x:c r="G209" s="66" t="n">
        <x:v>0.58752</x:v>
      </x:c>
      <x:c r="H209" s="67"/>
      <x:c r="I209" s="63"/>
      <x:c r="J209" s="63"/>
      <x:c r="K209" s="63" t="str">
        <x:v>ratio</x:v>
      </x:c>
      <x:c r="L209" s="63" t="str">
        <x:v>2025-06-01</x:v>
      </x:c>
      <x:c r="M209" s="63" t="str">
        <x:v>2026-06-30</x:v>
      </x:c>
      <x:c r="N209" s="63" t="str">
        <x:v>2026-06-30</x:v>
      </x:c>
      <x:c r="O209" s="63" t="str">
        <x:v>E0</x:v>
      </x:c>
      <x:c r="P209" s="63" t="str">
        <x:v>APPROVED</x:v>
      </x:c>
      <x:c r="Q209" s="64" t="b">
        <x:v>0</x:v>
      </x:c>
      <x:c r="R209" s="63" t="str">
        <x:v>WORKING_CAPITAL_CYCLE, OPERATING_MODEL</x:v>
      </x:c>
      <x:c r="S209" s="63" t="str">
        <x:v>Syn Bank transaction and relationship simulation</x:v>
      </x:c>
      <x:c r="T209" s="63"/>
      <x:c r="U209" s="63" t="str">
        <x:v>internal://syn-bank/simulation/ltm</x:v>
      </x:c>
      <x:c r="V209" s="63" t="str">
        <x:v>d4839dd3f96298fe76dcf8da0e12dc41949da8d9402a9493f5baac46a8f81a08</x:v>
      </x:c>
    </x:row>
    <x:row r="210">
      <x:c r="A210" s="63" t="str">
        <x:v>bec:E05:obs:corridor:0</x:v>
      </x:c>
      <x:c r="B210" s="63" t="str">
        <x:v>E05</x:v>
      </x:c>
      <x:c r="C210" s="63" t="str">
        <x:v>bank_observed_corridor_value</x:v>
      </x:c>
      <x:c r="D210" s="63" t="str">
        <x:v>MONEY</x:v>
      </x:c>
      <x:c r="E210" s="63" t="str">
        <x:v>OBSERVED</x:v>
      </x:c>
      <x:c r="F210" s="65" t="n">
        <x:v>1653408337.3100035</x:v>
      </x:c>
      <x:c r="G210" s="66"/>
      <x:c r="H210" s="67"/>
      <x:c r="I210" s="63"/>
      <x:c r="J210" s="63" t="str">
        <x:v>ZAR</x:v>
      </x:c>
      <x:c r="K210" s="63" t="str">
        <x:v>ZAR</x:v>
      </x:c>
      <x:c r="L210" s="63" t="str">
        <x:v>2025-06-01</x:v>
      </x:c>
      <x:c r="M210" s="63" t="str">
        <x:v>2026-06-30</x:v>
      </x:c>
      <x:c r="N210" s="63" t="str">
        <x:v>2026-06-30</x:v>
      </x:c>
      <x:c r="O210" s="63" t="str">
        <x:v>E0</x:v>
      </x:c>
      <x:c r="P210" s="63" t="str">
        <x:v>APPROVED</x:v>
      </x:c>
      <x:c r="Q210" s="64" t="b">
        <x:v>1</x:v>
      </x:c>
      <x:c r="R210" s="63" t="str">
        <x:v>GEOGRAPHIC_EXPOSURE</x:v>
      </x:c>
      <x:c r="S210" s="63" t="str">
        <x:v>Syn Bank transaction and relationship simulation</x:v>
      </x:c>
      <x:c r="T210" s="63"/>
      <x:c r="U210" s="63" t="str">
        <x:v>internal://syn-bank/simulation/ltm</x:v>
      </x:c>
      <x:c r="V210" s="63" t="str">
        <x:v>e76c6c8530303fc9fbf53f7fca159df267691a6564ed121ef2967d58d434c4b2</x:v>
      </x:c>
    </x:row>
    <x:row r="211">
      <x:c r="A211" s="63" t="str">
        <x:v>bec:E05:obs:corridor-name:0</x:v>
      </x:c>
      <x:c r="B211" s="63" t="str">
        <x:v>E05</x:v>
      </x:c>
      <x:c r="C211" s="63" t="str">
        <x:v>bank_observed_corridor_country</x:v>
      </x:c>
      <x:c r="D211" s="63" t="str">
        <x:v>CATEGORICAL</x:v>
      </x:c>
      <x:c r="E211" s="63" t="str">
        <x:v>OBSERVED</x:v>
      </x:c>
      <x:c r="F211" s="65"/>
      <x:c r="G211" s="66"/>
      <x:c r="H211" s="67"/>
      <x:c r="I211" s="63" t="str">
        <x:v>Ghana</x:v>
      </x:c>
      <x:c r="J211" s="63"/>
      <x:c r="K211" s="63" t="str">
        <x:v>country</x:v>
      </x:c>
      <x:c r="L211" s="63" t="str">
        <x:v>2025-06-01</x:v>
      </x:c>
      <x:c r="M211" s="63" t="str">
        <x:v>2026-06-30</x:v>
      </x:c>
      <x:c r="N211" s="63" t="str">
        <x:v>2026-06-30</x:v>
      </x:c>
      <x:c r="O211" s="63" t="str">
        <x:v>E0</x:v>
      </x:c>
      <x:c r="P211" s="63" t="str">
        <x:v>APPROVED</x:v>
      </x:c>
      <x:c r="Q211" s="64" t="b">
        <x:v>0</x:v>
      </x:c>
      <x:c r="R211" s="63" t="str">
        <x:v>GEOGRAPHIC_EXPOSURE</x:v>
      </x:c>
      <x:c r="S211" s="63" t="str">
        <x:v>Syn Bank transaction and relationship simulation</x:v>
      </x:c>
      <x:c r="T211" s="63"/>
      <x:c r="U211" s="63" t="str">
        <x:v>internal://syn-bank/simulation/ltm</x:v>
      </x:c>
      <x:c r="V211" s="63" t="str">
        <x:v>5e9b91f31efb7a769e24e08f11140884e63d2395dded8598e8e8afd1e5480386</x:v>
      </x:c>
    </x:row>
    <x:row r="212">
      <x:c r="A212" s="63" t="str">
        <x:v>bec:E05:obs:corridor:1</x:v>
      </x:c>
      <x:c r="B212" s="63" t="str">
        <x:v>E05</x:v>
      </x:c>
      <x:c r="C212" s="63" t="str">
        <x:v>bank_observed_corridor_value</x:v>
      </x:c>
      <x:c r="D212" s="63" t="str">
        <x:v>MONEY</x:v>
      </x:c>
      <x:c r="E212" s="63" t="str">
        <x:v>OBSERVED</x:v>
      </x:c>
      <x:c r="F212" s="65" t="n">
        <x:v>255095703.66999993</x:v>
      </x:c>
      <x:c r="G212" s="66"/>
      <x:c r="H212" s="67"/>
      <x:c r="I212" s="63"/>
      <x:c r="J212" s="63" t="str">
        <x:v>ZAR</x:v>
      </x:c>
      <x:c r="K212" s="63" t="str">
        <x:v>ZAR</x:v>
      </x:c>
      <x:c r="L212" s="63" t="str">
        <x:v>2025-06-01</x:v>
      </x:c>
      <x:c r="M212" s="63" t="str">
        <x:v>2026-06-30</x:v>
      </x:c>
      <x:c r="N212" s="63" t="str">
        <x:v>2026-06-30</x:v>
      </x:c>
      <x:c r="O212" s="63" t="str">
        <x:v>E0</x:v>
      </x:c>
      <x:c r="P212" s="63" t="str">
        <x:v>APPROVED</x:v>
      </x:c>
      <x:c r="Q212" s="64" t="b">
        <x:v>0</x:v>
      </x:c>
      <x:c r="R212" s="63" t="str">
        <x:v>GEOGRAPHIC_EXPOSURE</x:v>
      </x:c>
      <x:c r="S212" s="63" t="str">
        <x:v>Syn Bank transaction and relationship simulation</x:v>
      </x:c>
      <x:c r="T212" s="63"/>
      <x:c r="U212" s="63" t="str">
        <x:v>internal://syn-bank/simulation/ltm</x:v>
      </x:c>
      <x:c r="V212" s="63" t="str">
        <x:v>cdb312f459ee91de6a8c4fdde0d8764199cb04ec21c29d455ec0031965cb1115</x:v>
      </x:c>
    </x:row>
    <x:row r="213">
      <x:c r="A213" s="63" t="str">
        <x:v>bec:E05:obs:corridor-name:1</x:v>
      </x:c>
      <x:c r="B213" s="63" t="str">
        <x:v>E05</x:v>
      </x:c>
      <x:c r="C213" s="63" t="str">
        <x:v>bank_observed_corridor_country</x:v>
      </x:c>
      <x:c r="D213" s="63" t="str">
        <x:v>CATEGORICAL</x:v>
      </x:c>
      <x:c r="E213" s="63" t="str">
        <x:v>OBSERVED</x:v>
      </x:c>
      <x:c r="F213" s="65"/>
      <x:c r="G213" s="66"/>
      <x:c r="H213" s="67"/>
      <x:c r="I213" s="63" t="str">
        <x:v>United Arab Emirates</x:v>
      </x:c>
      <x:c r="J213" s="63"/>
      <x:c r="K213" s="63" t="str">
        <x:v>country</x:v>
      </x:c>
      <x:c r="L213" s="63" t="str">
        <x:v>2025-06-01</x:v>
      </x:c>
      <x:c r="M213" s="63" t="str">
        <x:v>2026-06-30</x:v>
      </x:c>
      <x:c r="N213" s="63" t="str">
        <x:v>2026-06-30</x:v>
      </x:c>
      <x:c r="O213" s="63" t="str">
        <x:v>E0</x:v>
      </x:c>
      <x:c r="P213" s="63" t="str">
        <x:v>APPROVED</x:v>
      </x:c>
      <x:c r="Q213" s="64" t="b">
        <x:v>0</x:v>
      </x:c>
      <x:c r="R213" s="63" t="str">
        <x:v>GEOGRAPHIC_EXPOSURE</x:v>
      </x:c>
      <x:c r="S213" s="63" t="str">
        <x:v>Syn Bank transaction and relationship simulation</x:v>
      </x:c>
      <x:c r="T213" s="63"/>
      <x:c r="U213" s="63" t="str">
        <x:v>internal://syn-bank/simulation/ltm</x:v>
      </x:c>
      <x:c r="V213" s="63" t="str">
        <x:v>13c27e080b568d143b220587c659ba2f9b5ee7e4c13032e8a2e41ecc26a53ac7</x:v>
      </x:c>
    </x:row>
    <x:row r="214">
      <x:c r="A214" s="63" t="str">
        <x:v>bec:E05:obs:corridor:2</x:v>
      </x:c>
      <x:c r="B214" s="63" t="str">
        <x:v>E05</x:v>
      </x:c>
      <x:c r="C214" s="63" t="str">
        <x:v>bank_observed_corridor_value</x:v>
      </x:c>
      <x:c r="D214" s="63" t="str">
        <x:v>MONEY</x:v>
      </x:c>
      <x:c r="E214" s="63" t="str">
        <x:v>OBSERVED</x:v>
      </x:c>
      <x:c r="F214" s="65" t="n">
        <x:v>252673961.5999999</x:v>
      </x:c>
      <x:c r="G214" s="66"/>
      <x:c r="H214" s="67"/>
      <x:c r="I214" s="63"/>
      <x:c r="J214" s="63" t="str">
        <x:v>ZAR</x:v>
      </x:c>
      <x:c r="K214" s="63" t="str">
        <x:v>ZAR</x:v>
      </x:c>
      <x:c r="L214" s="63" t="str">
        <x:v>2025-06-01</x:v>
      </x:c>
      <x:c r="M214" s="63" t="str">
        <x:v>2026-06-30</x:v>
      </x:c>
      <x:c r="N214" s="63" t="str">
        <x:v>2026-06-30</x:v>
      </x:c>
      <x:c r="O214" s="63" t="str">
        <x:v>E0</x:v>
      </x:c>
      <x:c r="P214" s="63" t="str">
        <x:v>APPROVED</x:v>
      </x:c>
      <x:c r="Q214" s="64" t="b">
        <x:v>0</x:v>
      </x:c>
      <x:c r="R214" s="63" t="str">
        <x:v>GEOGRAPHIC_EXPOSURE</x:v>
      </x:c>
      <x:c r="S214" s="63" t="str">
        <x:v>Syn Bank transaction and relationship simulation</x:v>
      </x:c>
      <x:c r="T214" s="63"/>
      <x:c r="U214" s="63" t="str">
        <x:v>internal://syn-bank/simulation/ltm</x:v>
      </x:c>
      <x:c r="V214" s="63" t="str">
        <x:v>e0b86e5eee63e5bdec99363167f4ef97cd098b81c6683c731a4de65a0e8a151b</x:v>
      </x:c>
    </x:row>
    <x:row r="215">
      <x:c r="A215" s="63" t="str">
        <x:v>bec:E05:obs:corridor-name:2</x:v>
      </x:c>
      <x:c r="B215" s="63" t="str">
        <x:v>E05</x:v>
      </x:c>
      <x:c r="C215" s="63" t="str">
        <x:v>bank_observed_corridor_country</x:v>
      </x:c>
      <x:c r="D215" s="63" t="str">
        <x:v>CATEGORICAL</x:v>
      </x:c>
      <x:c r="E215" s="63" t="str">
        <x:v>OBSERVED</x:v>
      </x:c>
      <x:c r="F215" s="65"/>
      <x:c r="G215" s="66"/>
      <x:c r="H215" s="67"/>
      <x:c r="I215" s="63" t="str">
        <x:v>Netherlands</x:v>
      </x:c>
      <x:c r="J215" s="63"/>
      <x:c r="K215" s="63" t="str">
        <x:v>country</x:v>
      </x:c>
      <x:c r="L215" s="63" t="str">
        <x:v>2025-06-01</x:v>
      </x:c>
      <x:c r="M215" s="63" t="str">
        <x:v>2026-06-30</x:v>
      </x:c>
      <x:c r="N215" s="63" t="str">
        <x:v>2026-06-30</x:v>
      </x:c>
      <x:c r="O215" s="63" t="str">
        <x:v>E0</x:v>
      </x:c>
      <x:c r="P215" s="63" t="str">
        <x:v>APPROVED</x:v>
      </x:c>
      <x:c r="Q215" s="64" t="b">
        <x:v>0</x:v>
      </x:c>
      <x:c r="R215" s="63" t="str">
        <x:v>GEOGRAPHIC_EXPOSURE</x:v>
      </x:c>
      <x:c r="S215" s="63" t="str">
        <x:v>Syn Bank transaction and relationship simulation</x:v>
      </x:c>
      <x:c r="T215" s="63"/>
      <x:c r="U215" s="63" t="str">
        <x:v>internal://syn-bank/simulation/ltm</x:v>
      </x:c>
      <x:c r="V215" s="63" t="str">
        <x:v>d8e545f9018489e41aca68b1c08b5cfb17706e37de18bda9bd4596ab985ab347</x:v>
      </x:c>
    </x:row>
    <x:row r="216">
      <x:c r="A216" s="63" t="str">
        <x:v>bec:E05:obs:currency:0</x:v>
      </x:c>
      <x:c r="B216" s="63" t="str">
        <x:v>E05</x:v>
      </x:c>
      <x:c r="C216" s="63" t="str">
        <x:v>bank_observed_currency_pair_value</x:v>
      </x:c>
      <x:c r="D216" s="63" t="str">
        <x:v>MONEY</x:v>
      </x:c>
      <x:c r="E216" s="63" t="str">
        <x:v>OBSERVED</x:v>
      </x:c>
      <x:c r="F216" s="65" t="n">
        <x:v>587167559.95</x:v>
      </x:c>
      <x:c r="G216" s="66"/>
      <x:c r="H216" s="67"/>
      <x:c r="I216" s="63"/>
      <x:c r="J216" s="63" t="str">
        <x:v>ZAR</x:v>
      </x:c>
      <x:c r="K216" s="63" t="str">
        <x:v>ZAR</x:v>
      </x:c>
      <x:c r="L216" s="63" t="str">
        <x:v>2025-06-01</x:v>
      </x:c>
      <x:c r="M216" s="63" t="str">
        <x:v>2026-06-30</x:v>
      </x:c>
      <x:c r="N216" s="63" t="str">
        <x:v>2026-06-30</x:v>
      </x:c>
      <x:c r="O216" s="63" t="str">
        <x:v>E0</x:v>
      </x:c>
      <x:c r="P216" s="63" t="str">
        <x:v>APPROVED</x:v>
      </x:c>
      <x:c r="Q216" s="64" t="b">
        <x:v>1</x:v>
      </x:c>
      <x:c r="R216" s="63" t="str">
        <x:v>CURRENCY_AND_COMMODITY_EXPOSURE</x:v>
      </x:c>
      <x:c r="S216" s="63" t="str">
        <x:v>Syn Bank transaction and relationship simulation</x:v>
      </x:c>
      <x:c r="T216" s="63"/>
      <x:c r="U216" s="63" t="str">
        <x:v>internal://syn-bank/simulation/ltm</x:v>
      </x:c>
      <x:c r="V216" s="63" t="str">
        <x:v>dd6582469c324b20d2f5a85e53df2d5ebab4c540de3929cf287ce510616acf39</x:v>
      </x:c>
    </x:row>
    <x:row r="217">
      <x:c r="A217" s="63" t="str">
        <x:v>bec:E05:obs:currency-pair:0</x:v>
      </x:c>
      <x:c r="B217" s="63" t="str">
        <x:v>E05</x:v>
      </x:c>
      <x:c r="C217" s="63" t="str">
        <x:v>bank_observed_currency_pair</x:v>
      </x:c>
      <x:c r="D217" s="63" t="str">
        <x:v>CATEGORICAL</x:v>
      </x:c>
      <x:c r="E217" s="63" t="str">
        <x:v>OBSERVED</x:v>
      </x:c>
      <x:c r="F217" s="65"/>
      <x:c r="G217" s="66"/>
      <x:c r="H217" s="67"/>
      <x:c r="I217" s="63" t="str">
        <x:v>CNY/ZAR</x:v>
      </x:c>
      <x:c r="J217" s="63"/>
      <x:c r="K217" s="63" t="str">
        <x:v>currency_pair</x:v>
      </x:c>
      <x:c r="L217" s="63" t="str">
        <x:v>2025-06-01</x:v>
      </x:c>
      <x:c r="M217" s="63" t="str">
        <x:v>2026-06-30</x:v>
      </x:c>
      <x:c r="N217" s="63" t="str">
        <x:v>2026-06-30</x:v>
      </x:c>
      <x:c r="O217" s="63" t="str">
        <x:v>E0</x:v>
      </x:c>
      <x:c r="P217" s="63" t="str">
        <x:v>APPROVED</x:v>
      </x:c>
      <x:c r="Q217" s="64" t="b">
        <x:v>0</x:v>
      </x:c>
      <x:c r="R217" s="63" t="str">
        <x:v>CURRENCY_AND_COMMODITY_EXPOSURE</x:v>
      </x:c>
      <x:c r="S217" s="63" t="str">
        <x:v>Syn Bank transaction and relationship simulation</x:v>
      </x:c>
      <x:c r="T217" s="63"/>
      <x:c r="U217" s="63" t="str">
        <x:v>internal://syn-bank/simulation/ltm</x:v>
      </x:c>
      <x:c r="V217" s="63" t="str">
        <x:v>726b48417fbcfd57b3dd5de04c4c4ef03ff7c101bab8e7396bdbf1f4ff0a03bc</x:v>
      </x:c>
    </x:row>
    <x:row r="218">
      <x:c r="A218" s="63" t="str">
        <x:v>bec:E05:obs:currency:1</x:v>
      </x:c>
      <x:c r="B218" s="63" t="str">
        <x:v>E05</x:v>
      </x:c>
      <x:c r="C218" s="63" t="str">
        <x:v>bank_observed_currency_pair_value</x:v>
      </x:c>
      <x:c r="D218" s="63" t="str">
        <x:v>MONEY</x:v>
      </x:c>
      <x:c r="E218" s="63" t="str">
        <x:v>OBSERVED</x:v>
      </x:c>
      <x:c r="F218" s="65" t="n">
        <x:v>586715673.6499999</x:v>
      </x:c>
      <x:c r="G218" s="66"/>
      <x:c r="H218" s="67"/>
      <x:c r="I218" s="63"/>
      <x:c r="J218" s="63" t="str">
        <x:v>ZAR</x:v>
      </x:c>
      <x:c r="K218" s="63" t="str">
        <x:v>ZAR</x:v>
      </x:c>
      <x:c r="L218" s="63" t="str">
        <x:v>2025-06-01</x:v>
      </x:c>
      <x:c r="M218" s="63" t="str">
        <x:v>2026-06-30</x:v>
      </x:c>
      <x:c r="N218" s="63" t="str">
        <x:v>2026-06-30</x:v>
      </x:c>
      <x:c r="O218" s="63" t="str">
        <x:v>E0</x:v>
      </x:c>
      <x:c r="P218" s="63" t="str">
        <x:v>APPROVED</x:v>
      </x:c>
      <x:c r="Q218" s="64" t="b">
        <x:v>0</x:v>
      </x:c>
      <x:c r="R218" s="63" t="str">
        <x:v>CURRENCY_AND_COMMODITY_EXPOSURE</x:v>
      </x:c>
      <x:c r="S218" s="63" t="str">
        <x:v>Syn Bank transaction and relationship simulation</x:v>
      </x:c>
      <x:c r="T218" s="63"/>
      <x:c r="U218" s="63" t="str">
        <x:v>internal://syn-bank/simulation/ltm</x:v>
      </x:c>
      <x:c r="V218" s="63" t="str">
        <x:v>8b44e5ce8b5e97ab7509da03f3f2f0eea525d2612cc2acedb1aba3068a538d72</x:v>
      </x:c>
    </x:row>
    <x:row r="219">
      <x:c r="A219" s="63" t="str">
        <x:v>bec:E05:obs:currency-pair:1</x:v>
      </x:c>
      <x:c r="B219" s="63" t="str">
        <x:v>E05</x:v>
      </x:c>
      <x:c r="C219" s="63" t="str">
        <x:v>bank_observed_currency_pair</x:v>
      </x:c>
      <x:c r="D219" s="63" t="str">
        <x:v>CATEGORICAL</x:v>
      </x:c>
      <x:c r="E219" s="63" t="str">
        <x:v>OBSERVED</x:v>
      </x:c>
      <x:c r="F219" s="65"/>
      <x:c r="G219" s="66"/>
      <x:c r="H219" s="67"/>
      <x:c r="I219" s="63" t="str">
        <x:v>GBP/ZAR</x:v>
      </x:c>
      <x:c r="J219" s="63"/>
      <x:c r="K219" s="63" t="str">
        <x:v>currency_pair</x:v>
      </x:c>
      <x:c r="L219" s="63" t="str">
        <x:v>2025-06-01</x:v>
      </x:c>
      <x:c r="M219" s="63" t="str">
        <x:v>2026-06-30</x:v>
      </x:c>
      <x:c r="N219" s="63" t="str">
        <x:v>2026-06-30</x:v>
      </x:c>
      <x:c r="O219" s="63" t="str">
        <x:v>E0</x:v>
      </x:c>
      <x:c r="P219" s="63" t="str">
        <x:v>APPROVED</x:v>
      </x:c>
      <x:c r="Q219" s="64" t="b">
        <x:v>0</x:v>
      </x:c>
      <x:c r="R219" s="63" t="str">
        <x:v>CURRENCY_AND_COMMODITY_EXPOSURE</x:v>
      </x:c>
      <x:c r="S219" s="63" t="str">
        <x:v>Syn Bank transaction and relationship simulation</x:v>
      </x:c>
      <x:c r="T219" s="63"/>
      <x:c r="U219" s="63" t="str">
        <x:v>internal://syn-bank/simulation/ltm</x:v>
      </x:c>
      <x:c r="V219" s="63" t="str">
        <x:v>8fffd6603079d0d4dfc78c80ac98ea94d81d157b832cd3b8669e83bff2f85d53</x:v>
      </x:c>
    </x:row>
    <x:row r="220">
      <x:c r="A220" s="63" t="str">
        <x:v>bec:E05:obs:currency:2</x:v>
      </x:c>
      <x:c r="B220" s="63" t="str">
        <x:v>E05</x:v>
      </x:c>
      <x:c r="C220" s="63" t="str">
        <x:v>bank_observed_currency_pair_value</x:v>
      </x:c>
      <x:c r="D220" s="63" t="str">
        <x:v>MONEY</x:v>
      </x:c>
      <x:c r="E220" s="63" t="str">
        <x:v>OBSERVED</x:v>
      </x:c>
      <x:c r="F220" s="65" t="n">
        <x:v>566742396.18</x:v>
      </x:c>
      <x:c r="G220" s="66"/>
      <x:c r="H220" s="67"/>
      <x:c r="I220" s="63"/>
      <x:c r="J220" s="63" t="str">
        <x:v>ZAR</x:v>
      </x:c>
      <x:c r="K220" s="63" t="str">
        <x:v>ZAR</x:v>
      </x:c>
      <x:c r="L220" s="63" t="str">
        <x:v>2025-06-01</x:v>
      </x:c>
      <x:c r="M220" s="63" t="str">
        <x:v>2026-06-30</x:v>
      </x:c>
      <x:c r="N220" s="63" t="str">
        <x:v>2026-06-30</x:v>
      </x:c>
      <x:c r="O220" s="63" t="str">
        <x:v>E0</x:v>
      </x:c>
      <x:c r="P220" s="63" t="str">
        <x:v>APPROVED</x:v>
      </x:c>
      <x:c r="Q220" s="64" t="b">
        <x:v>0</x:v>
      </x:c>
      <x:c r="R220" s="63" t="str">
        <x:v>CURRENCY_AND_COMMODITY_EXPOSURE</x:v>
      </x:c>
      <x:c r="S220" s="63" t="str">
        <x:v>Syn Bank transaction and relationship simulation</x:v>
      </x:c>
      <x:c r="T220" s="63"/>
      <x:c r="U220" s="63" t="str">
        <x:v>internal://syn-bank/simulation/ltm</x:v>
      </x:c>
      <x:c r="V220" s="63" t="str">
        <x:v>8e993cf641fcca1a9a4aa68c4858ba0b3bbd5b0252d09cb6f61ef39f30371053</x:v>
      </x:c>
    </x:row>
    <x:row r="221">
      <x:c r="A221" s="63" t="str">
        <x:v>bec:E05:obs:currency-pair:2</x:v>
      </x:c>
      <x:c r="B221" s="63" t="str">
        <x:v>E05</x:v>
      </x:c>
      <x:c r="C221" s="63" t="str">
        <x:v>bank_observed_currency_pair</x:v>
      </x:c>
      <x:c r="D221" s="63" t="str">
        <x:v>CATEGORICAL</x:v>
      </x:c>
      <x:c r="E221" s="63" t="str">
        <x:v>OBSERVED</x:v>
      </x:c>
      <x:c r="F221" s="65"/>
      <x:c r="G221" s="66"/>
      <x:c r="H221" s="67"/>
      <x:c r="I221" s="63" t="str">
        <x:v>EUR/ZAR</x:v>
      </x:c>
      <x:c r="J221" s="63"/>
      <x:c r="K221" s="63" t="str">
        <x:v>currency_pair</x:v>
      </x:c>
      <x:c r="L221" s="63" t="str">
        <x:v>2025-06-01</x:v>
      </x:c>
      <x:c r="M221" s="63" t="str">
        <x:v>2026-06-30</x:v>
      </x:c>
      <x:c r="N221" s="63" t="str">
        <x:v>2026-06-30</x:v>
      </x:c>
      <x:c r="O221" s="63" t="str">
        <x:v>E0</x:v>
      </x:c>
      <x:c r="P221" s="63" t="str">
        <x:v>APPROVED</x:v>
      </x:c>
      <x:c r="Q221" s="64" t="b">
        <x:v>0</x:v>
      </x:c>
      <x:c r="R221" s="63" t="str">
        <x:v>CURRENCY_AND_COMMODITY_EXPOSURE</x:v>
      </x:c>
      <x:c r="S221" s="63" t="str">
        <x:v>Syn Bank transaction and relationship simulation</x:v>
      </x:c>
      <x:c r="T221" s="63"/>
      <x:c r="U221" s="63" t="str">
        <x:v>internal://syn-bank/simulation/ltm</x:v>
      </x:c>
      <x:c r="V221" s="63" t="str">
        <x:v>a4434b370d127b75e46716275000fe57ea160b34b7f11143434eb71784ac663e</x:v>
      </x:c>
    </x:row>
    <x:row r="222">
      <x:c r="A222" s="63" t="str">
        <x:v>bec:E05:obs:country-count</x:v>
      </x:c>
      <x:c r="B222" s="63" t="str">
        <x:v>E05</x:v>
      </x:c>
      <x:c r="C222" s="63" t="str">
        <x:v>bank_observed_active_country_count</x:v>
      </x:c>
      <x:c r="D222" s="63" t="str">
        <x:v>COUNT</x:v>
      </x:c>
      <x:c r="E222" s="63" t="str">
        <x:v>OBSERVED</x:v>
      </x:c>
      <x:c r="F222" s="65"/>
      <x:c r="G222" s="66"/>
      <x:c r="H222" s="67" t="n">
        <x:v>14</x:v>
      </x:c>
      <x:c r="I222" s="63"/>
      <x:c r="J222" s="63"/>
      <x:c r="K222" s="63" t="str">
        <x:v>countries</x:v>
      </x:c>
      <x:c r="L222" s="63" t="str">
        <x:v>2025-06-01</x:v>
      </x:c>
      <x:c r="M222" s="63" t="str">
        <x:v>2026-06-30</x:v>
      </x:c>
      <x:c r="N222" s="63" t="str">
        <x:v>2026-06-30</x:v>
      </x:c>
      <x:c r="O222" s="63" t="str">
        <x:v>E0</x:v>
      </x:c>
      <x:c r="P222" s="63" t="str">
        <x:v>APPROVED</x:v>
      </x:c>
      <x:c r="Q222" s="64" t="b">
        <x:v>1</x:v>
      </x:c>
      <x:c r="R222" s="63" t="str">
        <x:v>GEOGRAPHIC_EXPOSURE</x:v>
      </x:c>
      <x:c r="S222" s="63" t="str">
        <x:v>Syn Bank transaction and relationship simulation</x:v>
      </x:c>
      <x:c r="T222" s="63"/>
      <x:c r="U222" s="63" t="str">
        <x:v>internal://syn-bank/simulation/ltm</x:v>
      </x:c>
      <x:c r="V222" s="63" t="str">
        <x:v>78a1e0236778bc3975687c6f9feaa68ea44a6728dab45462b657fef1ae047a48</x:v>
      </x:c>
    </x:row>
    <x:row r="223">
      <x:c r="A223" s="63" t="str">
        <x:v>bec:E05:obs:relationship-breadth</x:v>
      </x:c>
      <x:c r="B223" s="63" t="str">
        <x:v>E05</x:v>
      </x:c>
      <x:c r="C223" s="63" t="str">
        <x:v>bank_observed_product_relationship_breadth</x:v>
      </x:c>
      <x:c r="D223" s="63" t="str">
        <x:v>COUNT</x:v>
      </x:c>
      <x:c r="E223" s="63" t="str">
        <x:v>OBSERVED</x:v>
      </x:c>
      <x:c r="F223" s="65"/>
      <x:c r="G223" s="66"/>
      <x:c r="H223" s="67" t="n">
        <x:v>5</x:v>
      </x:c>
      <x:c r="I223" s="63"/>
      <x:c r="J223" s="63"/>
      <x:c r="K223" s="63" t="str">
        <x:v>products</x:v>
      </x:c>
      <x:c r="L223" s="63" t="str">
        <x:v>2025-06-01</x:v>
      </x:c>
      <x:c r="M223" s="63" t="str">
        <x:v>2026-06-30</x:v>
      </x:c>
      <x:c r="N223" s="63" t="str">
        <x:v>2026-06-30</x:v>
      </x:c>
      <x:c r="O223" s="63" t="str">
        <x:v>E0</x:v>
      </x:c>
      <x:c r="P223" s="63" t="str">
        <x:v>APPROVED</x:v>
      </x:c>
      <x:c r="Q223" s="64" t="b">
        <x:v>1</x:v>
      </x:c>
      <x:c r="R223" s="63" t="str">
        <x:v>OPERATING_MODEL</x:v>
      </x:c>
      <x:c r="S223" s="63" t="str">
        <x:v>Syn Bank transaction and relationship simulation</x:v>
      </x:c>
      <x:c r="T223" s="63"/>
      <x:c r="U223" s="63" t="str">
        <x:v>internal://syn-bank/simulation/ltm</x:v>
      </x:c>
      <x:c r="V223" s="63" t="str">
        <x:v>a49bd9d69aa24c6f545f78c2b962d1af0335adec30422e3a5ece28c4d560e9f8</x:v>
      </x:c>
    </x:row>
    <x:row r="224">
      <x:c r="A224" s="63" t="str">
        <x:v>bec:E05:obs:latent:operating_scale</x:v>
      </x:c>
      <x:c r="B224" s="63" t="str">
        <x:v>E05</x:v>
      </x:c>
      <x:c r="C224" s="63" t="str">
        <x:v>bank_observed_operating_scale_index</x:v>
      </x:c>
      <x:c r="D224" s="63" t="str">
        <x:v>RATIO</x:v>
      </x:c>
      <x:c r="E224" s="63" t="str">
        <x:v>OBSERVED</x:v>
      </x:c>
      <x:c r="F224" s="65"/>
      <x:c r="G224" s="66" t="n">
        <x:v>0.3</x:v>
      </x:c>
      <x:c r="H224" s="67"/>
      <x:c r="I224" s="63"/>
      <x:c r="J224" s="63"/>
      <x:c r="K224" s="63" t="str">
        <x:v>index_0_1</x:v>
      </x:c>
      <x:c r="L224" s="63" t="str">
        <x:v>2025-06-01</x:v>
      </x:c>
      <x:c r="M224" s="63" t="str">
        <x:v>2026-06-30</x:v>
      </x:c>
      <x:c r="N224" s="63" t="str">
        <x:v>2026-06-30</x:v>
      </x:c>
      <x:c r="O224" s="63" t="str">
        <x:v>E0</x:v>
      </x:c>
      <x:c r="P224" s="63" t="str">
        <x:v>APPROVED</x:v>
      </x:c>
      <x:c r="Q224" s="64" t="b">
        <x:v>0</x:v>
      </x:c>
      <x:c r="R224" s="63" t="str">
        <x:v>OPERATING_MODEL</x:v>
      </x:c>
      <x:c r="S224" s="63" t="str">
        <x:v>Syn Bank transaction and relationship simulation</x:v>
      </x:c>
      <x:c r="T224" s="63"/>
      <x:c r="U224" s="63" t="str">
        <x:v>internal://syn-bank/simulation/ltm</x:v>
      </x:c>
      <x:c r="V224" s="63" t="str">
        <x:v>90b97f8f7ab9bacea1fa9db3e2b948854f58b95f80f202a10d25a67e51773fae</x:v>
      </x:c>
    </x:row>
    <x:row r="225">
      <x:c r="A225" s="63" t="str">
        <x:v>bec:E05:obs:latent:working_capital_intensity</x:v>
      </x:c>
      <x:c r="B225" s="63" t="str">
        <x:v>E05</x:v>
      </x:c>
      <x:c r="C225" s="63" t="str">
        <x:v>bank_observed_working_capital_intensity_index</x:v>
      </x:c>
      <x:c r="D225" s="63" t="str">
        <x:v>RATIO</x:v>
      </x:c>
      <x:c r="E225" s="63" t="str">
        <x:v>OBSERVED</x:v>
      </x:c>
      <x:c r="F225" s="65"/>
      <x:c r="G225" s="66" t="n">
        <x:v>0.514</x:v>
      </x:c>
      <x:c r="H225" s="67"/>
      <x:c r="I225" s="63"/>
      <x:c r="J225" s="63"/>
      <x:c r="K225" s="63" t="str">
        <x:v>index_0_1</x:v>
      </x:c>
      <x:c r="L225" s="63" t="str">
        <x:v>2025-06-01</x:v>
      </x:c>
      <x:c r="M225" s="63" t="str">
        <x:v>2026-06-30</x:v>
      </x:c>
      <x:c r="N225" s="63" t="str">
        <x:v>2026-06-30</x:v>
      </x:c>
      <x:c r="O225" s="63" t="str">
        <x:v>E0</x:v>
      </x:c>
      <x:c r="P225" s="63" t="str">
        <x:v>APPROVED</x:v>
      </x:c>
      <x:c r="Q225" s="64" t="b">
        <x:v>0</x:v>
      </x:c>
      <x:c r="R225" s="63" t="str">
        <x:v>WORKING_CAPITAL_CYCLE</x:v>
      </x:c>
      <x:c r="S225" s="63" t="str">
        <x:v>Syn Bank transaction and relationship simulation</x:v>
      </x:c>
      <x:c r="T225" s="63"/>
      <x:c r="U225" s="63" t="str">
        <x:v>internal://syn-bank/simulation/ltm</x:v>
      </x:c>
      <x:c r="V225" s="63" t="str">
        <x:v>10268354ba5e3745b026a8b4daae33f9a36f1e72b5654ba6f6e28f6ec0b642b0</x:v>
      </x:c>
    </x:row>
    <x:row r="226">
      <x:c r="A226" s="63" t="str">
        <x:v>bec:E05:obs:latent:liquidity_volatility</x:v>
      </x:c>
      <x:c r="B226" s="63" t="str">
        <x:v>E05</x:v>
      </x:c>
      <x:c r="C226" s="63" t="str">
        <x:v>bank_observed_liquidity_volatility_index</x:v>
      </x:c>
      <x:c r="D226" s="63" t="str">
        <x:v>RATIO</x:v>
      </x:c>
      <x:c r="E226" s="63" t="str">
        <x:v>OBSERVED</x:v>
      </x:c>
      <x:c r="F226" s="65"/>
      <x:c r="G226" s="66" t="n">
        <x:v>0.129</x:v>
      </x:c>
      <x:c r="H226" s="67"/>
      <x:c r="I226" s="63"/>
      <x:c r="J226" s="63"/>
      <x:c r="K226" s="63" t="str">
        <x:v>index_0_1</x:v>
      </x:c>
      <x:c r="L226" s="63" t="str">
        <x:v>2025-06-01</x:v>
      </x:c>
      <x:c r="M226" s="63" t="str">
        <x:v>2026-06-30</x:v>
      </x:c>
      <x:c r="N226" s="63" t="str">
        <x:v>2026-06-30</x:v>
      </x:c>
      <x:c r="O226" s="63" t="str">
        <x:v>E0</x:v>
      </x:c>
      <x:c r="P226" s="63" t="str">
        <x:v>APPROVED</x:v>
      </x:c>
      <x:c r="Q226" s="64" t="b">
        <x:v>0</x:v>
      </x:c>
      <x:c r="R226" s="63" t="str">
        <x:v>LIQUIDITY_AND_BUFFER</x:v>
      </x:c>
      <x:c r="S226" s="63" t="str">
        <x:v>Syn Bank transaction and relationship simulation</x:v>
      </x:c>
      <x:c r="T226" s="63"/>
      <x:c r="U226" s="63" t="str">
        <x:v>internal://syn-bank/simulation/ltm</x:v>
      </x:c>
      <x:c r="V226" s="63" t="str">
        <x:v>4b74b2cb3702fa525ca72feca6a37ccd3998abde0f424c871bc044e83e091bcc</x:v>
      </x:c>
    </x:row>
    <x:row r="227">
      <x:c r="A227" s="63" t="str">
        <x:v>bec:E05:obs:latent:international_exposure</x:v>
      </x:c>
      <x:c r="B227" s="63" t="str">
        <x:v>E05</x:v>
      </x:c>
      <x:c r="C227" s="63" t="str">
        <x:v>bank_observed_international_exposure_index</x:v>
      </x:c>
      <x:c r="D227" s="63" t="str">
        <x:v>RATIO</x:v>
      </x:c>
      <x:c r="E227" s="63" t="str">
        <x:v>OBSERVED</x:v>
      </x:c>
      <x:c r="F227" s="65"/>
      <x:c r="G227" s="66" t="n">
        <x:v>0.486</x:v>
      </x:c>
      <x:c r="H227" s="67"/>
      <x:c r="I227" s="63"/>
      <x:c r="J227" s="63"/>
      <x:c r="K227" s="63" t="str">
        <x:v>index_0_1</x:v>
      </x:c>
      <x:c r="L227" s="63" t="str">
        <x:v>2025-06-01</x:v>
      </x:c>
      <x:c r="M227" s="63" t="str">
        <x:v>2026-06-30</x:v>
      </x:c>
      <x:c r="N227" s="63" t="str">
        <x:v>2026-06-30</x:v>
      </x:c>
      <x:c r="O227" s="63" t="str">
        <x:v>E0</x:v>
      </x:c>
      <x:c r="P227" s="63" t="str">
        <x:v>APPROVED</x:v>
      </x:c>
      <x:c r="Q227" s="64" t="b">
        <x:v>0</x:v>
      </x:c>
      <x:c r="R227" s="63" t="str">
        <x:v>GEOGRAPHIC_EXPOSURE</x:v>
      </x:c>
      <x:c r="S227" s="63" t="str">
        <x:v>Syn Bank transaction and relationship simulation</x:v>
      </x:c>
      <x:c r="T227" s="63"/>
      <x:c r="U227" s="63" t="str">
        <x:v>internal://syn-bank/simulation/ltm</x:v>
      </x:c>
      <x:c r="V227" s="63" t="str">
        <x:v>9359dfa2dd4020a78ac44d8ef7558c66149781a61658c8e88e24247e49a0cbc6</x:v>
      </x:c>
    </x:row>
    <x:row r="228">
      <x:c r="A228" s="63" t="str">
        <x:v>bec:E05:obs:latent:financing_need</x:v>
      </x:c>
      <x:c r="B228" s="63" t="str">
        <x:v>E05</x:v>
      </x:c>
      <x:c r="C228" s="63" t="str">
        <x:v>bank_observed_financing_need_index</x:v>
      </x:c>
      <x:c r="D228" s="63" t="str">
        <x:v>RATIO</x:v>
      </x:c>
      <x:c r="E228" s="63" t="str">
        <x:v>OBSERVED</x:v>
      </x:c>
      <x:c r="F228" s="65"/>
      <x:c r="G228" s="66" t="n">
        <x:v>0.124</x:v>
      </x:c>
      <x:c r="H228" s="67"/>
      <x:c r="I228" s="63"/>
      <x:c r="J228" s="63"/>
      <x:c r="K228" s="63" t="str">
        <x:v>index_0_1</x:v>
      </x:c>
      <x:c r="L228" s="63" t="str">
        <x:v>2025-06-01</x:v>
      </x:c>
      <x:c r="M228" s="63" t="str">
        <x:v>2026-06-30</x:v>
      </x:c>
      <x:c r="N228" s="63" t="str">
        <x:v>2026-06-30</x:v>
      </x:c>
      <x:c r="O228" s="63" t="str">
        <x:v>E0</x:v>
      </x:c>
      <x:c r="P228" s="63" t="str">
        <x:v>APPROVED</x:v>
      </x:c>
      <x:c r="Q228" s="64" t="b">
        <x:v>0</x:v>
      </x:c>
      <x:c r="R228" s="63" t="str">
        <x:v>FUNDING_STRUCTURE</x:v>
      </x:c>
      <x:c r="S228" s="63" t="str">
        <x:v>Syn Bank transaction and relationship simulation</x:v>
      </x:c>
      <x:c r="T228" s="63"/>
      <x:c r="U228" s="63" t="str">
        <x:v>internal://syn-bank/simulation/ltm</x:v>
      </x:c>
      <x:c r="V228" s="63" t="str">
        <x:v>b14b084003ab0cf2ec4875a79b03084f284ec9ba09ccca684b7d36b19e242178</x:v>
      </x:c>
    </x:row>
    <x:row r="229">
      <x:c r="A229" s="63" t="str">
        <x:v>bec:E05:obs:latent:event_intensity</x:v>
      </x:c>
      <x:c r="B229" s="63" t="str">
        <x:v>E05</x:v>
      </x:c>
      <x:c r="C229" s="63" t="str">
        <x:v>bank_observed_event_intensity_index</x:v>
      </x:c>
      <x:c r="D229" s="63" t="str">
        <x:v>RATIO</x:v>
      </x:c>
      <x:c r="E229" s="63" t="str">
        <x:v>OBSERVED</x:v>
      </x:c>
      <x:c r="F229" s="65"/>
      <x:c r="G229" s="66" t="n">
        <x:v>1</x:v>
      </x:c>
      <x:c r="H229" s="67"/>
      <x:c r="I229" s="63"/>
      <x:c r="J229" s="63"/>
      <x:c r="K229" s="63" t="str">
        <x:v>index_0_1</x:v>
      </x:c>
      <x:c r="L229" s="63" t="str">
        <x:v>2025-06-01</x:v>
      </x:c>
      <x:c r="M229" s="63" t="str">
        <x:v>2026-06-30</x:v>
      </x:c>
      <x:c r="N229" s="63" t="str">
        <x:v>2026-06-30</x:v>
      </x:c>
      <x:c r="O229" s="63" t="str">
        <x:v>E0</x:v>
      </x:c>
      <x:c r="P229" s="63" t="str">
        <x:v>APPROVED</x:v>
      </x:c>
      <x:c r="Q229" s="64" t="b">
        <x:v>0</x:v>
      </x:c>
      <x:c r="R229" s="63" t="str">
        <x:v>STRATEGY_ACTIONS_AND_ESG</x:v>
      </x:c>
      <x:c r="S229" s="63" t="str">
        <x:v>Syn Bank transaction and relationship simulation</x:v>
      </x:c>
      <x:c r="T229" s="63"/>
      <x:c r="U229" s="63" t="str">
        <x:v>internal://syn-bank/simulation/ltm</x:v>
      </x:c>
      <x:c r="V229" s="63" t="str">
        <x:v>6b4769d0164c8284115a68210d11ab2d731a747df1045859a46b646366af1740</x:v>
      </x:c>
    </x:row>
    <x:row r="230">
      <x:c r="A230" s="63" t="str">
        <x:v>bec:E05:obs:latent:relationship_complexity</x:v>
      </x:c>
      <x:c r="B230" s="63" t="str">
        <x:v>E05</x:v>
      </x:c>
      <x:c r="C230" s="63" t="str">
        <x:v>bank_observed_relationship_complexity_index</x:v>
      </x:c>
      <x:c r="D230" s="63" t="str">
        <x:v>RATIO</x:v>
      </x:c>
      <x:c r="E230" s="63" t="str">
        <x:v>OBSERVED</x:v>
      </x:c>
      <x:c r="F230" s="65"/>
      <x:c r="G230" s="66" t="n">
        <x:v>1</x:v>
      </x:c>
      <x:c r="H230" s="67"/>
      <x:c r="I230" s="63"/>
      <x:c r="J230" s="63"/>
      <x:c r="K230" s="63" t="str">
        <x:v>index_0_1</x:v>
      </x:c>
      <x:c r="L230" s="63" t="str">
        <x:v>2025-06-01</x:v>
      </x:c>
      <x:c r="M230" s="63" t="str">
        <x:v>2026-06-30</x:v>
      </x:c>
      <x:c r="N230" s="63" t="str">
        <x:v>2026-06-30</x:v>
      </x:c>
      <x:c r="O230" s="63" t="str">
        <x:v>E0</x:v>
      </x:c>
      <x:c r="P230" s="63" t="str">
        <x:v>APPROVED</x:v>
      </x:c>
      <x:c r="Q230" s="64" t="b">
        <x:v>0</x:v>
      </x:c>
      <x:c r="R230" s="63" t="str">
        <x:v>OPERATING_MODEL</x:v>
      </x:c>
      <x:c r="S230" s="63" t="str">
        <x:v>Syn Bank transaction and relationship simulation</x:v>
      </x:c>
      <x:c r="T230" s="63"/>
      <x:c r="U230" s="63" t="str">
        <x:v>internal://syn-bank/simulation/ltm</x:v>
      </x:c>
      <x:c r="V230" s="63" t="str">
        <x:v>cc9ecd8db9d976af6d0b532b309273b3e7d0193ac57b89f1d44db580791bf710</x:v>
      </x:c>
    </x:row>
    <x:row r="231">
      <x:c r="A231" s="63" t="str">
        <x:v>bec:E05:obs:events:trade-90d</x:v>
      </x:c>
      <x:c r="B231" s="63" t="str">
        <x:v>E05</x:v>
      </x:c>
      <x:c r="C231" s="63" t="str">
        <x:v>bank_observed_trade_events_next_90d</x:v>
      </x:c>
      <x:c r="D231" s="63" t="str">
        <x:v>COUNT</x:v>
      </x:c>
      <x:c r="E231" s="63" t="str">
        <x:v>OBSERVED</x:v>
      </x:c>
      <x:c r="F231" s="65"/>
      <x:c r="G231" s="66"/>
      <x:c r="H231" s="67" t="n">
        <x:v>79</x:v>
      </x:c>
      <x:c r="I231" s="63"/>
      <x:c r="J231" s="63"/>
      <x:c r="K231" s="63" t="str">
        <x:v>events</x:v>
      </x:c>
      <x:c r="L231" s="63" t="str">
        <x:v>2025-06-01</x:v>
      </x:c>
      <x:c r="M231" s="63" t="str">
        <x:v>2026-06-30</x:v>
      </x:c>
      <x:c r="N231" s="63" t="str">
        <x:v>2026-06-30</x:v>
      </x:c>
      <x:c r="O231" s="63" t="str">
        <x:v>E0</x:v>
      </x:c>
      <x:c r="P231" s="63" t="str">
        <x:v>APPROVED</x:v>
      </x:c>
      <x:c r="Q231" s="64" t="b">
        <x:v>1</x:v>
      </x:c>
      <x:c r="R231" s="63" t="str">
        <x:v>OPERATING_MODEL, WORKING_CAPITAL_CYCLE</x:v>
      </x:c>
      <x:c r="S231" s="63" t="str">
        <x:v>Syn Bank transaction and relationship simulation</x:v>
      </x:c>
      <x:c r="T231" s="63"/>
      <x:c r="U231" s="63" t="str">
        <x:v>internal://syn-bank/simulation/ltm</x:v>
      </x:c>
      <x:c r="V231" s="63" t="str">
        <x:v>8ba03ace6279c02f5cfae75d7b7417ea3225e67a95f7a556fc2e2f57b0b6b94d</x:v>
      </x:c>
    </x:row>
    <x:row r="232">
      <x:c r="A232" s="63" t="str">
        <x:v>bec:E05:obs:events:trade-90d-value</x:v>
      </x:c>
      <x:c r="B232" s="63" t="str">
        <x:v>E05</x:v>
      </x:c>
      <x:c r="C232" s="63" t="str">
        <x:v>bank_observed_trade_events_value_next_90d</x:v>
      </x:c>
      <x:c r="D232" s="63" t="str">
        <x:v>MONEY</x:v>
      </x:c>
      <x:c r="E232" s="63" t="str">
        <x:v>OBSERVED</x:v>
      </x:c>
      <x:c r="F232" s="65" t="n">
        <x:v>200373275.11</x:v>
      </x:c>
      <x:c r="G232" s="66"/>
      <x:c r="H232" s="67"/>
      <x:c r="I232" s="63"/>
      <x:c r="J232" s="63" t="str">
        <x:v>ZAR</x:v>
      </x:c>
      <x:c r="K232" s="63" t="str">
        <x:v>ZAR</x:v>
      </x:c>
      <x:c r="L232" s="63" t="str">
        <x:v>2025-06-01</x:v>
      </x:c>
      <x:c r="M232" s="63" t="str">
        <x:v>2026-06-30</x:v>
      </x:c>
      <x:c r="N232" s="63" t="str">
        <x:v>2026-06-30</x:v>
      </x:c>
      <x:c r="O232" s="63" t="str">
        <x:v>E0</x:v>
      </x:c>
      <x:c r="P232" s="63" t="str">
        <x:v>APPROVED</x:v>
      </x:c>
      <x:c r="Q232" s="64" t="b">
        <x:v>0</x:v>
      </x:c>
      <x:c r="R232" s="63" t="str">
        <x:v>WORKING_CAPITAL_CYCLE</x:v>
      </x:c>
      <x:c r="S232" s="63" t="str">
        <x:v>Syn Bank transaction and relationship simulation</x:v>
      </x:c>
      <x:c r="T232" s="63"/>
      <x:c r="U232" s="63" t="str">
        <x:v>internal://syn-bank/simulation/ltm</x:v>
      </x:c>
      <x:c r="V232" s="63" t="str">
        <x:v>840dcffa6f7e1ea0dbb1a38f415eaaa91e60349fc247a9e9da3a7cf7a9128a56</x:v>
      </x:c>
    </x:row>
    <x:row r="233">
      <x:c r="A233" s="63" t="str">
        <x:v>bec:E05:struct:operating-model</x:v>
      </x:c>
      <x:c r="B233" s="63" t="str">
        <x:v>E05</x:v>
      </x:c>
      <x:c r="C233" s="63" t="str">
        <x:v>sector_operating_model</x:v>
      </x:c>
      <x:c r="D233" s="63" t="str">
        <x:v>TEXTUAL</x:v>
      </x:c>
      <x:c r="E233" s="63" t="str">
        <x:v>SCENARIO</x:v>
      </x:c>
      <x:c r="F233" s="65"/>
      <x:c r="G233" s="66"/>
      <x:c r="H233" s="67"/>
      <x:c r="I233" s="63" t="str">
        <x:v>Multi-jurisdiction extractive operator with commodity-linked revenue, long-cycle capex and joint-venture structures.</x:v>
      </x:c>
      <x:c r="J233" s="63"/>
      <x:c r="K233" s="63" t="str">
        <x:v>statement</x:v>
      </x:c>
      <x:c r="L233" s="63" t="str">
        <x:v>2025-06-01</x:v>
      </x:c>
      <x:c r="M233" s="63" t="str">
        <x:v>2026-06-30</x:v>
      </x:c>
      <x:c r="N233" s="63" t="str">
        <x:v>2026-06-30</x:v>
      </x:c>
      <x:c r="O233" s="63" t="str">
        <x:v>E0</x:v>
      </x:c>
      <x:c r="P233" s="63" t="str">
        <x:v>APPROVED</x:v>
      </x:c>
      <x:c r="Q233" s="64" t="b">
        <x:v>0</x:v>
      </x:c>
      <x:c r="R233" s="63" t="str">
        <x:v>OPERATING_MODEL</x:v>
      </x:c>
      <x:c r="S233" s="63" t="str">
        <x:v>Governed sector operating-model and responsibility policy</x:v>
      </x:c>
      <x:c r="T233" s="63"/>
      <x:c r="U233" s="63" t="str">
        <x:v>internal://v31/governed-policy</x:v>
      </x:c>
      <x:c r="V233" s="63" t="str">
        <x:v>0b6ce544c5511a7fb591a9414cb079734014da2cbce8c719024b3cf721f49da5</x:v>
      </x:c>
    </x:row>
    <x:row r="234">
      <x:c r="A234" s="63" t="str">
        <x:v>bec:E05:struct:risk:0</x:v>
      </x:c>
      <x:c r="B234" s="63" t="str">
        <x:v>E05</x:v>
      </x:c>
      <x:c r="C234" s="63" t="str">
        <x:v>sector_primary_risk</x:v>
      </x:c>
      <x:c r="D234" s="63" t="str">
        <x:v>CATEGORICAL</x:v>
      </x:c>
      <x:c r="E234" s="63" t="str">
        <x:v>SCENARIO</x:v>
      </x:c>
      <x:c r="F234" s="65"/>
      <x:c r="G234" s="66"/>
      <x:c r="H234" s="67"/>
      <x:c r="I234" s="63" t="str">
        <x:v>commodity price volatility</x:v>
      </x:c>
      <x:c r="J234" s="63"/>
      <x:c r="K234" s="63" t="str">
        <x:v>statement</x:v>
      </x:c>
      <x:c r="L234" s="63" t="str">
        <x:v>2025-06-01</x:v>
      </x:c>
      <x:c r="M234" s="63" t="str">
        <x:v>2026-06-30</x:v>
      </x:c>
      <x:c r="N234" s="63" t="str">
        <x:v>2026-06-30</x:v>
      </x:c>
      <x:c r="O234" s="63" t="str">
        <x:v>E0</x:v>
      </x:c>
      <x:c r="P234" s="63" t="str">
        <x:v>APPROVED</x:v>
      </x:c>
      <x:c r="Q234" s="64" t="b">
        <x:v>0</x:v>
      </x:c>
      <x:c r="R234" s="63" t="str">
        <x:v>BUSINESS_AND_FINANCIAL_RISKS</x:v>
      </x:c>
      <x:c r="S234" s="63" t="str">
        <x:v>Governed sector operating-model and responsibility policy</x:v>
      </x:c>
      <x:c r="T234" s="63"/>
      <x:c r="U234" s="63" t="str">
        <x:v>internal://v31/governed-policy</x:v>
      </x:c>
      <x:c r="V234" s="63" t="str">
        <x:v>4bc5d29fce1460928a67862eeb203d1bba4ffa6183c1441d4c9805549ed5c99b</x:v>
      </x:c>
    </x:row>
    <x:row r="235">
      <x:c r="A235" s="63" t="str">
        <x:v>bec:E05:struct:risk:1</x:v>
      </x:c>
      <x:c r="B235" s="63" t="str">
        <x:v>E05</x:v>
      </x:c>
      <x:c r="C235" s="63" t="str">
        <x:v>sector_primary_risk</x:v>
      </x:c>
      <x:c r="D235" s="63" t="str">
        <x:v>CATEGORICAL</x:v>
      </x:c>
      <x:c r="E235" s="63" t="str">
        <x:v>SCENARIO</x:v>
      </x:c>
      <x:c r="F235" s="65"/>
      <x:c r="G235" s="66"/>
      <x:c r="H235" s="67"/>
      <x:c r="I235" s="63" t="str">
        <x:v>jurisdictional and permitting risk</x:v>
      </x:c>
      <x:c r="J235" s="63"/>
      <x:c r="K235" s="63" t="str">
        <x:v>statement</x:v>
      </x:c>
      <x:c r="L235" s="63" t="str">
        <x:v>2025-06-01</x:v>
      </x:c>
      <x:c r="M235" s="63" t="str">
        <x:v>2026-06-30</x:v>
      </x:c>
      <x:c r="N235" s="63" t="str">
        <x:v>2026-06-30</x:v>
      </x:c>
      <x:c r="O235" s="63" t="str">
        <x:v>E0</x:v>
      </x:c>
      <x:c r="P235" s="63" t="str">
        <x:v>APPROVED</x:v>
      </x:c>
      <x:c r="Q235" s="64" t="b">
        <x:v>0</x:v>
      </x:c>
      <x:c r="R235" s="63" t="str">
        <x:v>BUSINESS_AND_FINANCIAL_RISKS</x:v>
      </x:c>
      <x:c r="S235" s="63" t="str">
        <x:v>Governed sector operating-model and responsibility policy</x:v>
      </x:c>
      <x:c r="T235" s="63"/>
      <x:c r="U235" s="63" t="str">
        <x:v>internal://v31/governed-policy</x:v>
      </x:c>
      <x:c r="V235" s="63" t="str">
        <x:v>6501b95c459378fabebb219d4e83455cf0b728faee68cc43282bfec2818c0e17</x:v>
      </x:c>
    </x:row>
    <x:row r="236">
      <x:c r="A236" s="63" t="str">
        <x:v>bec:E05:struct:risk:2</x:v>
      </x:c>
      <x:c r="B236" s="63" t="str">
        <x:v>E05</x:v>
      </x:c>
      <x:c r="C236" s="63" t="str">
        <x:v>sector_primary_risk</x:v>
      </x:c>
      <x:c r="D236" s="63" t="str">
        <x:v>CATEGORICAL</x:v>
      </x:c>
      <x:c r="E236" s="63" t="str">
        <x:v>SCENARIO</x:v>
      </x:c>
      <x:c r="F236" s="65"/>
      <x:c r="G236" s="66"/>
      <x:c r="H236" s="67"/>
      <x:c r="I236" s="63" t="str">
        <x:v>capex overrun</x:v>
      </x:c>
      <x:c r="J236" s="63"/>
      <x:c r="K236" s="63" t="str">
        <x:v>statement</x:v>
      </x:c>
      <x:c r="L236" s="63" t="str">
        <x:v>2025-06-01</x:v>
      </x:c>
      <x:c r="M236" s="63" t="str">
        <x:v>2026-06-30</x:v>
      </x:c>
      <x:c r="N236" s="63" t="str">
        <x:v>2026-06-30</x:v>
      </x:c>
      <x:c r="O236" s="63" t="str">
        <x:v>E0</x:v>
      </x:c>
      <x:c r="P236" s="63" t="str">
        <x:v>APPROVED</x:v>
      </x:c>
      <x:c r="Q236" s="64" t="b">
        <x:v>0</x:v>
      </x:c>
      <x:c r="R236" s="63" t="str">
        <x:v>BUSINESS_AND_FINANCIAL_RISKS</x:v>
      </x:c>
      <x:c r="S236" s="63" t="str">
        <x:v>Governed sector operating-model and responsibility policy</x:v>
      </x:c>
      <x:c r="T236" s="63"/>
      <x:c r="U236" s="63" t="str">
        <x:v>internal://v31/governed-policy</x:v>
      </x:c>
      <x:c r="V236" s="63" t="str">
        <x:v>59ae0920d73f88140beef09bb06d7c088eeed1fd043e11368dc21fff4ae4577e</x:v>
      </x:c>
    </x:row>
    <x:row r="237">
      <x:c r="A237" s="63" t="str">
        <x:v>bec:E05:struct:responsibility-model</x:v>
      </x:c>
      <x:c r="B237" s="63" t="str">
        <x:v>E05</x:v>
      </x:c>
      <x:c r="C237" s="63" t="str">
        <x:v>stakeholder_responsibility_model</x:v>
      </x:c>
      <x:c r="D237" s="63" t="str">
        <x:v>TEXTUAL</x:v>
      </x:c>
      <x:c r="E237" s="63" t="str">
        <x:v>SCENARIO</x:v>
      </x:c>
      <x:c r="F237" s="65"/>
      <x:c r="G237" s="66"/>
      <x:c r="H237" s="67"/>
      <x:c r="I237" s="63" t="str">
        <x:v>Responsibility is assigned by role persona using governed matrix v31-stakeholder-responsibility-3.1.0. Named individuals are not resolved in the demonstration and require CRM entitlement checks in production.</x:v>
      </x:c>
      <x:c r="J237" s="63"/>
      <x:c r="K237" s="63" t="str">
        <x:v>statement</x:v>
      </x:c>
      <x:c r="L237" s="63" t="str">
        <x:v>2025-06-01</x:v>
      </x:c>
      <x:c r="M237" s="63" t="str">
        <x:v>2026-06-30</x:v>
      </x:c>
      <x:c r="N237" s="63" t="str">
        <x:v>2026-06-30</x:v>
      </x:c>
      <x:c r="O237" s="63" t="str">
        <x:v>E0</x:v>
      </x:c>
      <x:c r="P237" s="63" t="str">
        <x:v>APPROVED</x:v>
      </x:c>
      <x:c r="Q237" s="64" t="b">
        <x:v>0</x:v>
      </x:c>
      <x:c r="R237" s="63" t="str">
        <x:v>STAKEHOLDER_RESPONSIBILITY</x:v>
      </x:c>
      <x:c r="S237" s="63" t="str">
        <x:v>Governed sector operating-model and responsibility policy</x:v>
      </x:c>
      <x:c r="T237" s="63"/>
      <x:c r="U237" s="63" t="str">
        <x:v>internal://v31/governed-policy</x:v>
      </x:c>
      <x:c r="V237" s="63" t="str">
        <x:v>58bf581c23837bed55fabaf4ceb19f7cc8631738f91a858e62318cddf1b8394a</x:v>
      </x:c>
    </x:row>
    <x:row r="238">
      <x:c r="A238" s="63" t="str">
        <x:v>bec:E05:struct:responsibility:fx_exposure</x:v>
      </x:c>
      <x:c r="B238" s="63" t="str">
        <x:v>E05</x:v>
      </x:c>
      <x:c r="C238" s="63" t="str">
        <x:v>problem_role_ownership</x:v>
      </x:c>
      <x:c r="D238" s="63" t="str">
        <x:v>STRUCTURE_RELATIONSHIP</x:v>
      </x:c>
      <x:c r="E238" s="63" t="str">
        <x:v>SCENARIO</x:v>
      </x:c>
      <x:c r="F238" s="65"/>
      <x:c r="G238" s="66"/>
      <x:c r="H238" s="67"/>
      <x:c r="I238" s="63"/>
      <x:c r="J238" s="63"/>
      <x:c r="K238" s="63" t="str">
        <x:v>statement</x:v>
      </x:c>
      <x:c r="L238" s="63" t="str">
        <x:v>2025-06-01</x:v>
      </x:c>
      <x:c r="M238" s="63" t="str">
        <x:v>2026-06-30</x:v>
      </x:c>
      <x:c r="N238" s="63" t="str">
        <x:v>2026-06-30</x:v>
      </x:c>
      <x:c r="O238" s="63" t="str">
        <x:v>E0</x:v>
      </x:c>
      <x:c r="P238" s="63" t="str">
        <x:v>APPROVED</x:v>
      </x:c>
      <x:c r="Q238" s="64" t="b">
        <x:v>0</x:v>
      </x:c>
      <x:c r="R238" s="63" t="str">
        <x:v>STAKEHOLDER_RESPONSIBILITY</x:v>
      </x:c>
      <x:c r="S238" s="63" t="str">
        <x:v>Governed sector operating-model and responsibility policy</x:v>
      </x:c>
      <x:c r="T238" s="63"/>
      <x:c r="U238" s="63" t="str">
        <x:v>internal://v31/governed-policy</x:v>
      </x:c>
      <x:c r="V238" s="63" t="str">
        <x:v>808f3d5d068b6e7977e0d21fb5fbd0a783e3357e8515fc24a71e9ef26dc4985c</x:v>
      </x:c>
    </x:row>
    <x:row r="239">
      <x:c r="A239" s="63" t="str">
        <x:v>bec:E05:struct:responsibility:refinancing_cliff</x:v>
      </x:c>
      <x:c r="B239" s="63" t="str">
        <x:v>E05</x:v>
      </x:c>
      <x:c r="C239" s="63" t="str">
        <x:v>problem_role_ownership</x:v>
      </x:c>
      <x:c r="D239" s="63" t="str">
        <x:v>STRUCTURE_RELATIONSHIP</x:v>
      </x:c>
      <x:c r="E239" s="63" t="str">
        <x:v>SCENARIO</x:v>
      </x:c>
      <x:c r="F239" s="65"/>
      <x:c r="G239" s="66"/>
      <x:c r="H239" s="67"/>
      <x:c r="I239" s="63"/>
      <x:c r="J239" s="63"/>
      <x:c r="K239" s="63" t="str">
        <x:v>statement</x:v>
      </x:c>
      <x:c r="L239" s="63" t="str">
        <x:v>2025-06-01</x:v>
      </x:c>
      <x:c r="M239" s="63" t="str">
        <x:v>2026-06-30</x:v>
      </x:c>
      <x:c r="N239" s="63" t="str">
        <x:v>2026-06-30</x:v>
      </x:c>
      <x:c r="O239" s="63" t="str">
        <x:v>E0</x:v>
      </x:c>
      <x:c r="P239" s="63" t="str">
        <x:v>APPROVED</x:v>
      </x:c>
      <x:c r="Q239" s="64" t="b">
        <x:v>0</x:v>
      </x:c>
      <x:c r="R239" s="63" t="str">
        <x:v>STAKEHOLDER_RESPONSIBILITY</x:v>
      </x:c>
      <x:c r="S239" s="63" t="str">
        <x:v>Governed sector operating-model and responsibility policy</x:v>
      </x:c>
      <x:c r="T239" s="63"/>
      <x:c r="U239" s="63" t="str">
        <x:v>internal://v31/governed-policy</x:v>
      </x:c>
      <x:c r="V239" s="63" t="str">
        <x:v>5b35a5c3d458502f8acf84d4f5b5e4629ae499ca39d19921d28464eef108fb19</x:v>
      </x:c>
    </x:row>
    <x:row r="240">
      <x:c r="A240" s="63" t="str">
        <x:v>bec:E05:struct:responsibility:working_capital_pressure</x:v>
      </x:c>
      <x:c r="B240" s="63" t="str">
        <x:v>E05</x:v>
      </x:c>
      <x:c r="C240" s="63" t="str">
        <x:v>problem_role_ownership</x:v>
      </x:c>
      <x:c r="D240" s="63" t="str">
        <x:v>STRUCTURE_RELATIONSHIP</x:v>
      </x:c>
      <x:c r="E240" s="63" t="str">
        <x:v>SCENARIO</x:v>
      </x:c>
      <x:c r="F240" s="65"/>
      <x:c r="G240" s="66"/>
      <x:c r="H240" s="67"/>
      <x:c r="I240" s="63"/>
      <x:c r="J240" s="63"/>
      <x:c r="K240" s="63" t="str">
        <x:v>statement</x:v>
      </x:c>
      <x:c r="L240" s="63" t="str">
        <x:v>2025-06-01</x:v>
      </x:c>
      <x:c r="M240" s="63" t="str">
        <x:v>2026-06-30</x:v>
      </x:c>
      <x:c r="N240" s="63" t="str">
        <x:v>2026-06-30</x:v>
      </x:c>
      <x:c r="O240" s="63" t="str">
        <x:v>E0</x:v>
      </x:c>
      <x:c r="P240" s="63" t="str">
        <x:v>APPROVED</x:v>
      </x:c>
      <x:c r="Q240" s="64" t="b">
        <x:v>0</x:v>
      </x:c>
      <x:c r="R240" s="63" t="str">
        <x:v>STAKEHOLDER_RESPONSIBILITY</x:v>
      </x:c>
      <x:c r="S240" s="63" t="str">
        <x:v>Governed sector operating-model and responsibility policy</x:v>
      </x:c>
      <x:c r="T240" s="63"/>
      <x:c r="U240" s="63" t="str">
        <x:v>internal://v31/governed-policy</x:v>
      </x:c>
      <x:c r="V240" s="63" t="str">
        <x:v>a97a01e48c405b1e13770f004989a73f82bf3cd06235914f08106cd7f2cb21bf</x:v>
      </x:c>
    </x:row>
    <x:row r="241">
      <x:c r="A241" s="63" t="str">
        <x:v>bec:VALTERRA-2025-REV</x:v>
      </x:c>
      <x:c r="B241" s="63" t="str">
        <x:v>E06</x:v>
      </x:c>
      <x:c r="C241" s="63" t="str">
        <x:v>revenue</x:v>
      </x:c>
      <x:c r="D241" s="63" t="str">
        <x:v>MONEY</x:v>
      </x:c>
      <x:c r="E241" s="63" t="str">
        <x:v>OBSERVED</x:v>
      </x:c>
      <x:c r="F241" s="65" t="n">
        <x:v>116330</x:v>
      </x:c>
      <x:c r="G241" s="66"/>
      <x:c r="H241" s="67"/>
      <x:c r="I241" s="63"/>
      <x:c r="J241" s="63" t="str">
        <x:v>ZAR</x:v>
      </x:c>
      <x:c r="K241" s="63" t="str">
        <x:v>million</x:v>
      </x:c>
      <x:c r="L241" s="63" t="str">
        <x:v>2025-01-01</x:v>
      </x:c>
      <x:c r="M241" s="63" t="str">
        <x:v>2025-12-31</x:v>
      </x:c>
      <x:c r="N241" s="63" t="str">
        <x:v>2026-03-27</x:v>
      </x:c>
      <x:c r="O241" s="63" t="str">
        <x:v>E1</x:v>
      </x:c>
      <x:c r="P241" s="63" t="str">
        <x:v>PENDING_REVIEW</x:v>
      </x:c>
      <x:c r="Q241" s="64" t="b">
        <x:v>1</x:v>
      </x:c>
      <x:c r="R241" s="63" t="str">
        <x:v>REVENUE_ENGINE</x:v>
      </x:c>
      <x:c r="S241" s="63" t="str">
        <x:v>Valterra Platinum Annual Financial Statements 2025</x:v>
      </x:c>
      <x:c r="T241" s="63" t="n">
        <x:v>24</x:v>
      </x:c>
      <x:c r="U241" s="63" t="str">
        <x:v>https://www.valterraplatinum.com/wp-content/uploads/2026/05/annual-financial-statements-2025.pdf</x:v>
      </x:c>
      <x:c r="V241" s="63" t="str">
        <x:v>84ab45295a07c93d3fa39a24962c05ac600f45ed2c9683b16b4dc2cc7ba170f8</x:v>
      </x:c>
    </x:row>
    <x:row r="242">
      <x:c r="A242" s="63" t="str">
        <x:v>bec:VALTERRA-2025-CASH</x:v>
      </x:c>
      <x:c r="B242" s="63" t="str">
        <x:v>E06</x:v>
      </x:c>
      <x:c r="C242" s="63" t="str">
        <x:v>cash_and_cash_equivalents</x:v>
      </x:c>
      <x:c r="D242" s="63" t="str">
        <x:v>MONEY</x:v>
      </x:c>
      <x:c r="E242" s="63" t="str">
        <x:v>OBSERVED</x:v>
      </x:c>
      <x:c r="F242" s="65" t="n">
        <x:v>16602</x:v>
      </x:c>
      <x:c r="G242" s="66"/>
      <x:c r="H242" s="67"/>
      <x:c r="I242" s="63"/>
      <x:c r="J242" s="63" t="str">
        <x:v>ZAR</x:v>
      </x:c>
      <x:c r="K242" s="63" t="str">
        <x:v>million</x:v>
      </x:c>
      <x:c r="L242" s="63" t="str">
        <x:v>2025-12-31</x:v>
      </x:c>
      <x:c r="M242" s="63" t="str">
        <x:v>2025-12-31</x:v>
      </x:c>
      <x:c r="N242" s="63" t="str">
        <x:v>2026-03-27</x:v>
      </x:c>
      <x:c r="O242" s="63" t="str">
        <x:v>E1</x:v>
      </x:c>
      <x:c r="P242" s="63" t="str">
        <x:v>PENDING_REVIEW</x:v>
      </x:c>
      <x:c r="Q242" s="64" t="b">
        <x:v>1</x:v>
      </x:c>
      <x:c r="R242" s="63" t="str">
        <x:v>LIQUIDITY_AND_BUFFER</x:v>
      </x:c>
      <x:c r="S242" s="63" t="str">
        <x:v>Valterra Platinum Annual Financial Statements 2025</x:v>
      </x:c>
      <x:c r="T242" s="63" t="n">
        <x:v>25</x:v>
      </x:c>
      <x:c r="U242" s="63" t="str">
        <x:v>https://www.valterraplatinum.com/wp-content/uploads/2026/05/annual-financial-statements-2025.pdf</x:v>
      </x:c>
      <x:c r="V242" s="63" t="str">
        <x:v>84ab45295a07c93d3fa39a24962c05ac600f45ed2c9683b16b4dc2cc7ba170f8</x:v>
      </x:c>
    </x:row>
    <x:row r="243">
      <x:c r="A243" s="63" t="str">
        <x:v>bec:VALTERRA-2025-DEBT</x:v>
      </x:c>
      <x:c r="B243" s="63" t="str">
        <x:v>E06</x:v>
      </x:c>
      <x:c r="C243" s="63" t="str">
        <x:v>current_debt</x:v>
      </x:c>
      <x:c r="D243" s="63" t="str">
        <x:v>MONEY</x:v>
      </x:c>
      <x:c r="E243" s="63" t="str">
        <x:v>OBSERVED</x:v>
      </x:c>
      <x:c r="F243" s="65" t="n">
        <x:v>4046</x:v>
      </x:c>
      <x:c r="G243" s="66"/>
      <x:c r="H243" s="67"/>
      <x:c r="I243" s="63"/>
      <x:c r="J243" s="63" t="str">
        <x:v>ZAR</x:v>
      </x:c>
      <x:c r="K243" s="63" t="str">
        <x:v>million</x:v>
      </x:c>
      <x:c r="L243" s="63" t="str">
        <x:v>2025-12-31</x:v>
      </x:c>
      <x:c r="M243" s="63" t="str">
        <x:v>2025-12-31</x:v>
      </x:c>
      <x:c r="N243" s="63" t="str">
        <x:v>2026-03-27</x:v>
      </x:c>
      <x:c r="O243" s="63" t="str">
        <x:v>E1</x:v>
      </x:c>
      <x:c r="P243" s="63" t="str">
        <x:v>PENDING_REVIEW</x:v>
      </x:c>
      <x:c r="Q243" s="64" t="b">
        <x:v>1</x:v>
      </x:c>
      <x:c r="R243" s="63" t="str">
        <x:v>FUNDING_STRUCTURE</x:v>
      </x:c>
      <x:c r="S243" s="63" t="str">
        <x:v>Valterra Platinum Annual Financial Statements 2025</x:v>
      </x:c>
      <x:c r="T243" s="63" t="n">
        <x:v>25</x:v>
      </x:c>
      <x:c r="U243" s="63" t="str">
        <x:v>https://www.valterraplatinum.com/wp-content/uploads/2026/05/annual-financial-statements-2025.pdf</x:v>
      </x:c>
      <x:c r="V243" s="63" t="str">
        <x:v>84ab45295a07c93d3fa39a24962c05ac600f45ed2c9683b16b4dc2cc7ba170f8</x:v>
      </x:c>
    </x:row>
    <x:row r="244">
      <x:c r="A244" s="63" t="str">
        <x:v>bec:E06:obs:flow:collections</x:v>
      </x:c>
      <x:c r="B244" s="63" t="str">
        <x:v>E06</x:v>
      </x:c>
      <x:c r="C244" s="63" t="str">
        <x:v>bank_observed_collections_ltm</x:v>
      </x:c>
      <x:c r="D244" s="63" t="str">
        <x:v>MONEY</x:v>
      </x:c>
      <x:c r="E244" s="63" t="str">
        <x:v>OBSERVED</x:v>
      </x:c>
      <x:c r="F244" s="65" t="n">
        <x:v>32627304.865051642</x:v>
      </x:c>
      <x:c r="G244" s="66"/>
      <x:c r="H244" s="67"/>
      <x:c r="I244" s="63"/>
      <x:c r="J244" s="63" t="str">
        <x:v>ZAR</x:v>
      </x:c>
      <x:c r="K244" s="63" t="str">
        <x:v>ZAR</x:v>
      </x:c>
      <x:c r="L244" s="63" t="str">
        <x:v>2025-06-01</x:v>
      </x:c>
      <x:c r="M244" s="63" t="str">
        <x:v>2026-06-30</x:v>
      </x:c>
      <x:c r="N244" s="63" t="str">
        <x:v>2026-06-30</x:v>
      </x:c>
      <x:c r="O244" s="63" t="str">
        <x:v>E0</x:v>
      </x:c>
      <x:c r="P244" s="63" t="str">
        <x:v>APPROVED</x:v>
      </x:c>
      <x:c r="Q244" s="64" t="b">
        <x:v>1</x:v>
      </x:c>
      <x:c r="R244" s="63" t="str">
        <x:v>REVENUE_ENGINE, WORKING_CAPITAL_CYCLE</x:v>
      </x:c>
      <x:c r="S244" s="63" t="str">
        <x:v>Syn Bank transaction and relationship simulation</x:v>
      </x:c>
      <x:c r="T244" s="63"/>
      <x:c r="U244" s="63" t="str">
        <x:v>internal://syn-bank/simulation/ltm</x:v>
      </x:c>
      <x:c r="V244" s="63" t="str">
        <x:v>5a1692b25e14cf8dd486c5bf6d6c307c12ef60b809152c3086c4c47f011a00ae</x:v>
      </x:c>
    </x:row>
    <x:row r="245">
      <x:c r="A245" s="63" t="str">
        <x:v>bec:E06:obs:trend:collections</x:v>
      </x:c>
      <x:c r="B245" s="63" t="str">
        <x:v>E06</x:v>
      </x:c>
      <x:c r="C245" s="63" t="str">
        <x:v>bank_observed_collections_yoy_change</x:v>
      </x:c>
      <x:c r="D245" s="63" t="str">
        <x:v>RATIO</x:v>
      </x:c>
      <x:c r="E245" s="63" t="str">
        <x:v>OBSERVED</x:v>
      </x:c>
      <x:c r="F245" s="65"/>
      <x:c r="G245" s="66" t="n">
        <x:v>0.00488</x:v>
      </x:c>
      <x:c r="H245" s="67"/>
      <x:c r="I245" s="63"/>
      <x:c r="J245" s="63"/>
      <x:c r="K245" s="63" t="str">
        <x:v>ratio</x:v>
      </x:c>
      <x:c r="L245" s="63" t="str">
        <x:v>2025-06-01</x:v>
      </x:c>
      <x:c r="M245" s="63" t="str">
        <x:v>2026-06-30</x:v>
      </x:c>
      <x:c r="N245" s="63" t="str">
        <x:v>2026-06-30</x:v>
      </x:c>
      <x:c r="O245" s="63" t="str">
        <x:v>E0</x:v>
      </x:c>
      <x:c r="P245" s="63" t="str">
        <x:v>APPROVED</x:v>
      </x:c>
      <x:c r="Q245" s="64" t="b">
        <x:v>0</x:v>
      </x:c>
      <x:c r="R245" s="63" t="str">
        <x:v>REVENUE_ENGINE, WORKING_CAPITAL_CYCLE</x:v>
      </x:c>
      <x:c r="S245" s="63" t="str">
        <x:v>Syn Bank transaction and relationship simulation</x:v>
      </x:c>
      <x:c r="T245" s="63"/>
      <x:c r="U245" s="63" t="str">
        <x:v>internal://syn-bank/simulation/ltm</x:v>
      </x:c>
      <x:c r="V245" s="63" t="str">
        <x:v>dc95731a9e491e1e9ac7a04490244c618429b6018c95a2af4cd1721418ffc1e6</x:v>
      </x:c>
    </x:row>
    <x:row r="246">
      <x:c r="A246" s="63" t="str">
        <x:v>bec:E06:obs:flow:payments</x:v>
      </x:c>
      <x:c r="B246" s="63" t="str">
        <x:v>E06</x:v>
      </x:c>
      <x:c r="C246" s="63" t="str">
        <x:v>bank_observed_payments_ltm</x:v>
      </x:c>
      <x:c r="D246" s="63" t="str">
        <x:v>MONEY</x:v>
      </x:c>
      <x:c r="E246" s="63" t="str">
        <x:v>OBSERVED</x:v>
      </x:c>
      <x:c r="F246" s="65" t="n">
        <x:v>17279446.71</x:v>
      </x:c>
      <x:c r="G246" s="66"/>
      <x:c r="H246" s="67"/>
      <x:c r="I246" s="63"/>
      <x:c r="J246" s="63" t="str">
        <x:v>ZAR</x:v>
      </x:c>
      <x:c r="K246" s="63" t="str">
        <x:v>ZAR</x:v>
      </x:c>
      <x:c r="L246" s="63" t="str">
        <x:v>2025-06-01</x:v>
      </x:c>
      <x:c r="M246" s="63" t="str">
        <x:v>2026-06-30</x:v>
      </x:c>
      <x:c r="N246" s="63" t="str">
        <x:v>2026-06-30</x:v>
      </x:c>
      <x:c r="O246" s="63" t="str">
        <x:v>E0</x:v>
      </x:c>
      <x:c r="P246" s="63" t="str">
        <x:v>APPROVED</x:v>
      </x:c>
      <x:c r="Q246" s="64" t="b">
        <x:v>1</x:v>
      </x:c>
      <x:c r="R246" s="63" t="str">
        <x:v>COST_ENGINE, WORKING_CAPITAL_CYCLE</x:v>
      </x:c>
      <x:c r="S246" s="63" t="str">
        <x:v>Syn Bank transaction and relationship simulation</x:v>
      </x:c>
      <x:c r="T246" s="63"/>
      <x:c r="U246" s="63" t="str">
        <x:v>internal://syn-bank/simulation/ltm</x:v>
      </x:c>
      <x:c r="V246" s="63" t="str">
        <x:v>ff3f9240a6e056f7213b259c941e4cf88b006045c8f152a22332c68b587712bc</x:v>
      </x:c>
    </x:row>
    <x:row r="247">
      <x:c r="A247" s="63" t="str">
        <x:v>bec:E06:obs:trend:payments</x:v>
      </x:c>
      <x:c r="B247" s="63" t="str">
        <x:v>E06</x:v>
      </x:c>
      <x:c r="C247" s="63" t="str">
        <x:v>bank_observed_payments_yoy_change</x:v>
      </x:c>
      <x:c r="D247" s="63" t="str">
        <x:v>RATIO</x:v>
      </x:c>
      <x:c r="E247" s="63" t="str">
        <x:v>OBSERVED</x:v>
      </x:c>
      <x:c r="F247" s="65"/>
      <x:c r="G247" s="66" t="n">
        <x:v>0.11562</x:v>
      </x:c>
      <x:c r="H247" s="67"/>
      <x:c r="I247" s="63"/>
      <x:c r="J247" s="63"/>
      <x:c r="K247" s="63" t="str">
        <x:v>ratio</x:v>
      </x:c>
      <x:c r="L247" s="63" t="str">
        <x:v>2025-06-01</x:v>
      </x:c>
      <x:c r="M247" s="63" t="str">
        <x:v>2026-06-30</x:v>
      </x:c>
      <x:c r="N247" s="63" t="str">
        <x:v>2026-06-30</x:v>
      </x:c>
      <x:c r="O247" s="63" t="str">
        <x:v>E0</x:v>
      </x:c>
      <x:c r="P247" s="63" t="str">
        <x:v>APPROVED</x:v>
      </x:c>
      <x:c r="Q247" s="64" t="b">
        <x:v>0</x:v>
      </x:c>
      <x:c r="R247" s="63" t="str">
        <x:v>COST_ENGINE, WORKING_CAPITAL_CYCLE</x:v>
      </x:c>
      <x:c r="S247" s="63" t="str">
        <x:v>Syn Bank transaction and relationship simulation</x:v>
      </x:c>
      <x:c r="T247" s="63"/>
      <x:c r="U247" s="63" t="str">
        <x:v>internal://syn-bank/simulation/ltm</x:v>
      </x:c>
      <x:c r="V247" s="63" t="str">
        <x:v>27cb6f9548ac2e6945fd8e52aa02f68367b043de3da8b4b6f93dacba1d89291c</x:v>
      </x:c>
    </x:row>
    <x:row r="248">
      <x:c r="A248" s="63" t="str">
        <x:v>bec:E06:obs:flow:liquidity</x:v>
      </x:c>
      <x:c r="B248" s="63" t="str">
        <x:v>E06</x:v>
      </x:c>
      <x:c r="C248" s="63" t="str">
        <x:v>bank_observed_liquidity_ltm</x:v>
      </x:c>
      <x:c r="D248" s="63" t="str">
        <x:v>MONEY</x:v>
      </x:c>
      <x:c r="E248" s="63" t="str">
        <x:v>OBSERVED</x:v>
      </x:c>
      <x:c r="F248" s="65" t="n">
        <x:v>24953375.78752582</x:v>
      </x:c>
      <x:c r="G248" s="66"/>
      <x:c r="H248" s="67"/>
      <x:c r="I248" s="63"/>
      <x:c r="J248" s="63" t="str">
        <x:v>ZAR</x:v>
      </x:c>
      <x:c r="K248" s="63" t="str">
        <x:v>ZAR</x:v>
      </x:c>
      <x:c r="L248" s="63" t="str">
        <x:v>2025-06-01</x:v>
      </x:c>
      <x:c r="M248" s="63" t="str">
        <x:v>2026-06-30</x:v>
      </x:c>
      <x:c r="N248" s="63" t="str">
        <x:v>2026-06-30</x:v>
      </x:c>
      <x:c r="O248" s="63" t="str">
        <x:v>E0</x:v>
      </x:c>
      <x:c r="P248" s="63" t="str">
        <x:v>APPROVED</x:v>
      </x:c>
      <x:c r="Q248" s="64" t="b">
        <x:v>1</x:v>
      </x:c>
      <x:c r="R248" s="63" t="str">
        <x:v>LIQUIDITY_AND_BUFFER</x:v>
      </x:c>
      <x:c r="S248" s="63" t="str">
        <x:v>Syn Bank transaction and relationship simulation</x:v>
      </x:c>
      <x:c r="T248" s="63"/>
      <x:c r="U248" s="63" t="str">
        <x:v>internal://syn-bank/simulation/ltm</x:v>
      </x:c>
      <x:c r="V248" s="63" t="str">
        <x:v>52accf0ceea1c2490b891f2cdcdf853fe4267a89c2afa8699de81a1365053732</x:v>
      </x:c>
    </x:row>
    <x:row r="249">
      <x:c r="A249" s="63" t="str">
        <x:v>bec:E06:obs:trend:liquidity</x:v>
      </x:c>
      <x:c r="B249" s="63" t="str">
        <x:v>E06</x:v>
      </x:c>
      <x:c r="C249" s="63" t="str">
        <x:v>bank_observed_liquidity_yoy_change</x:v>
      </x:c>
      <x:c r="D249" s="63" t="str">
        <x:v>RATIO</x:v>
      </x:c>
      <x:c r="E249" s="63" t="str">
        <x:v>OBSERVED</x:v>
      </x:c>
      <x:c r="F249" s="65"/>
      <x:c r="G249" s="66" t="n">
        <x:v>0.040645</x:v>
      </x:c>
      <x:c r="H249" s="67"/>
      <x:c r="I249" s="63"/>
      <x:c r="J249" s="63"/>
      <x:c r="K249" s="63" t="str">
        <x:v>ratio</x:v>
      </x:c>
      <x:c r="L249" s="63" t="str">
        <x:v>2025-06-01</x:v>
      </x:c>
      <x:c r="M249" s="63" t="str">
        <x:v>2026-06-30</x:v>
      </x:c>
      <x:c r="N249" s="63" t="str">
        <x:v>2026-06-30</x:v>
      </x:c>
      <x:c r="O249" s="63" t="str">
        <x:v>E0</x:v>
      </x:c>
      <x:c r="P249" s="63" t="str">
        <x:v>APPROVED</x:v>
      </x:c>
      <x:c r="Q249" s="64" t="b">
        <x:v>0</x:v>
      </x:c>
      <x:c r="R249" s="63" t="str">
        <x:v>LIQUIDITY_AND_BUFFER</x:v>
      </x:c>
      <x:c r="S249" s="63" t="str">
        <x:v>Syn Bank transaction and relationship simulation</x:v>
      </x:c>
      <x:c r="T249" s="63"/>
      <x:c r="U249" s="63" t="str">
        <x:v>internal://syn-bank/simulation/ltm</x:v>
      </x:c>
      <x:c r="V249" s="63" t="str">
        <x:v>5df59e29c23c0fb287a2ebb71b53f1248990157c11cd557abc45c1fb5587d00c</x:v>
      </x:c>
    </x:row>
    <x:row r="250">
      <x:c r="A250" s="63" t="str">
        <x:v>bec:E06:obs:flow:cross-border-fx</x:v>
      </x:c>
      <x:c r="B250" s="63" t="str">
        <x:v>E06</x:v>
      </x:c>
      <x:c r="C250" s="63" t="str">
        <x:v>bank_observed_cross_border_fx_ltm</x:v>
      </x:c>
      <x:c r="D250" s="63" t="str">
        <x:v>MONEY</x:v>
      </x:c>
      <x:c r="E250" s="63" t="str">
        <x:v>OBSERVED</x:v>
      </x:c>
      <x:c r="F250" s="65" t="n">
        <x:v>202511540.88</x:v>
      </x:c>
      <x:c r="G250" s="66"/>
      <x:c r="H250" s="67"/>
      <x:c r="I250" s="63"/>
      <x:c r="J250" s="63" t="str">
        <x:v>ZAR</x:v>
      </x:c>
      <x:c r="K250" s="63" t="str">
        <x:v>ZAR</x:v>
      </x:c>
      <x:c r="L250" s="63" t="str">
        <x:v>2025-06-01</x:v>
      </x:c>
      <x:c r="M250" s="63" t="str">
        <x:v>2026-06-30</x:v>
      </x:c>
      <x:c r="N250" s="63" t="str">
        <x:v>2026-06-30</x:v>
      </x:c>
      <x:c r="O250" s="63" t="str">
        <x:v>E0</x:v>
      </x:c>
      <x:c r="P250" s="63" t="str">
        <x:v>APPROVED</x:v>
      </x:c>
      <x:c r="Q250" s="64" t="b">
        <x:v>1</x:v>
      </x:c>
      <x:c r="R250" s="63" t="str">
        <x:v>CURRENCY_AND_COMMODITY_EXPOSURE, GEOGRAPHIC_EXPOSURE</x:v>
      </x:c>
      <x:c r="S250" s="63" t="str">
        <x:v>Syn Bank transaction and relationship simulation</x:v>
      </x:c>
      <x:c r="T250" s="63"/>
      <x:c r="U250" s="63" t="str">
        <x:v>internal://syn-bank/simulation/ltm</x:v>
      </x:c>
      <x:c r="V250" s="63" t="str">
        <x:v>4151adb04db7830660cf5b6d2f4dd8228c704eda5fb60870e6d3d2f81c0db664</x:v>
      </x:c>
    </x:row>
    <x:row r="251">
      <x:c r="A251" s="63" t="str">
        <x:v>bec:E06:obs:trend:cross-border-fx</x:v>
      </x:c>
      <x:c r="B251" s="63" t="str">
        <x:v>E06</x:v>
      </x:c>
      <x:c r="C251" s="63" t="str">
        <x:v>bank_observed_cross_border_fx_yoy_change</x:v>
      </x:c>
      <x:c r="D251" s="63" t="str">
        <x:v>RATIO</x:v>
      </x:c>
      <x:c r="E251" s="63" t="str">
        <x:v>OBSERVED</x:v>
      </x:c>
      <x:c r="F251" s="65"/>
      <x:c r="G251" s="66" t="n">
        <x:v>0.050411</x:v>
      </x:c>
      <x:c r="H251" s="67"/>
      <x:c r="I251" s="63"/>
      <x:c r="J251" s="63"/>
      <x:c r="K251" s="63" t="str">
        <x:v>ratio</x:v>
      </x:c>
      <x:c r="L251" s="63" t="str">
        <x:v>2025-06-01</x:v>
      </x:c>
      <x:c r="M251" s="63" t="str">
        <x:v>2026-06-30</x:v>
      </x:c>
      <x:c r="N251" s="63" t="str">
        <x:v>2026-06-30</x:v>
      </x:c>
      <x:c r="O251" s="63" t="str">
        <x:v>E0</x:v>
      </x:c>
      <x:c r="P251" s="63" t="str">
        <x:v>APPROVED</x:v>
      </x:c>
      <x:c r="Q251" s="64" t="b">
        <x:v>0</x:v>
      </x:c>
      <x:c r="R251" s="63" t="str">
        <x:v>CURRENCY_AND_COMMODITY_EXPOSURE, GEOGRAPHIC_EXPOSURE</x:v>
      </x:c>
      <x:c r="S251" s="63" t="str">
        <x:v>Syn Bank transaction and relationship simulation</x:v>
      </x:c>
      <x:c r="T251" s="63"/>
      <x:c r="U251" s="63" t="str">
        <x:v>internal://syn-bank/simulation/ltm</x:v>
      </x:c>
      <x:c r="V251" s="63" t="str">
        <x:v>89d24811d3ab0e896bd1e12b2fb63139c205298d0b76736111bdd66b62de1582</x:v>
      </x:c>
    </x:row>
    <x:row r="252">
      <x:c r="A252" s="63" t="str">
        <x:v>bec:E06:obs:flow:trade-finance</x:v>
      </x:c>
      <x:c r="B252" s="63" t="str">
        <x:v>E06</x:v>
      </x:c>
      <x:c r="C252" s="63" t="str">
        <x:v>bank_observed_trade_finance_ltm</x:v>
      </x:c>
      <x:c r="D252" s="63" t="str">
        <x:v>MONEY</x:v>
      </x:c>
      <x:c r="E252" s="63" t="str">
        <x:v>OBSERVED</x:v>
      </x:c>
      <x:c r="F252" s="65" t="n">
        <x:v>115378320.22999999</x:v>
      </x:c>
      <x:c r="G252" s="66"/>
      <x:c r="H252" s="67"/>
      <x:c r="I252" s="63"/>
      <x:c r="J252" s="63" t="str">
        <x:v>ZAR</x:v>
      </x:c>
      <x:c r="K252" s="63" t="str">
        <x:v>ZAR</x:v>
      </x:c>
      <x:c r="L252" s="63" t="str">
        <x:v>2025-06-01</x:v>
      </x:c>
      <x:c r="M252" s="63" t="str">
        <x:v>2026-06-30</x:v>
      </x:c>
      <x:c r="N252" s="63" t="str">
        <x:v>2026-06-30</x:v>
      </x:c>
      <x:c r="O252" s="63" t="str">
        <x:v>E0</x:v>
      </x:c>
      <x:c r="P252" s="63" t="str">
        <x:v>APPROVED</x:v>
      </x:c>
      <x:c r="Q252" s="64" t="b">
        <x:v>1</x:v>
      </x:c>
      <x:c r="R252" s="63" t="str">
        <x:v>WORKING_CAPITAL_CYCLE, OPERATING_MODEL</x:v>
      </x:c>
      <x:c r="S252" s="63" t="str">
        <x:v>Syn Bank transaction and relationship simulation</x:v>
      </x:c>
      <x:c r="T252" s="63"/>
      <x:c r="U252" s="63" t="str">
        <x:v>internal://syn-bank/simulation/ltm</x:v>
      </x:c>
      <x:c r="V252" s="63" t="str">
        <x:v>fac22023c6b9fa771a170665520a57a27ac3775279de2f0ac83013c548917667</x:v>
      </x:c>
    </x:row>
    <x:row r="253">
      <x:c r="A253" s="63" t="str">
        <x:v>bec:E06:obs:trend:trade-finance</x:v>
      </x:c>
      <x:c r="B253" s="63" t="str">
        <x:v>E06</x:v>
      </x:c>
      <x:c r="C253" s="63" t="str">
        <x:v>bank_observed_trade_finance_yoy_change</x:v>
      </x:c>
      <x:c r="D253" s="63" t="str">
        <x:v>RATIO</x:v>
      </x:c>
      <x:c r="E253" s="63" t="str">
        <x:v>OBSERVED</x:v>
      </x:c>
      <x:c r="F253" s="65"/>
      <x:c r="G253" s="66" t="n">
        <x:v>-0.123333</x:v>
      </x:c>
      <x:c r="H253" s="67"/>
      <x:c r="I253" s="63"/>
      <x:c r="J253" s="63"/>
      <x:c r="K253" s="63" t="str">
        <x:v>ratio</x:v>
      </x:c>
      <x:c r="L253" s="63" t="str">
        <x:v>2025-06-01</x:v>
      </x:c>
      <x:c r="M253" s="63" t="str">
        <x:v>2026-06-30</x:v>
      </x:c>
      <x:c r="N253" s="63" t="str">
        <x:v>2026-06-30</x:v>
      </x:c>
      <x:c r="O253" s="63" t="str">
        <x:v>E0</x:v>
      </x:c>
      <x:c r="P253" s="63" t="str">
        <x:v>APPROVED</x:v>
      </x:c>
      <x:c r="Q253" s="64" t="b">
        <x:v>0</x:v>
      </x:c>
      <x:c r="R253" s="63" t="str">
        <x:v>WORKING_CAPITAL_CYCLE, OPERATING_MODEL</x:v>
      </x:c>
      <x:c r="S253" s="63" t="str">
        <x:v>Syn Bank transaction and relationship simulation</x:v>
      </x:c>
      <x:c r="T253" s="63"/>
      <x:c r="U253" s="63" t="str">
        <x:v>internal://syn-bank/simulation/ltm</x:v>
      </x:c>
      <x:c r="V253" s="63" t="str">
        <x:v>df89571c9a3192df03b4957100ad432a9097d9b818b4e3d4521984a184005b4d</x:v>
      </x:c>
    </x:row>
    <x:row r="254">
      <x:c r="A254" s="63" t="str">
        <x:v>bec:E06:obs:corridor:0</x:v>
      </x:c>
      <x:c r="B254" s="63" t="str">
        <x:v>E06</x:v>
      </x:c>
      <x:c r="C254" s="63" t="str">
        <x:v>bank_observed_corridor_value</x:v>
      </x:c>
      <x:c r="D254" s="63" t="str">
        <x:v>MONEY</x:v>
      </x:c>
      <x:c r="E254" s="63" t="str">
        <x:v>OBSERVED</x:v>
      </x:c>
      <x:c r="F254" s="65" t="n">
        <x:v>284450279.22999984</x:v>
      </x:c>
      <x:c r="G254" s="66"/>
      <x:c r="H254" s="67"/>
      <x:c r="I254" s="63"/>
      <x:c r="J254" s="63" t="str">
        <x:v>ZAR</x:v>
      </x:c>
      <x:c r="K254" s="63" t="str">
        <x:v>ZAR</x:v>
      </x:c>
      <x:c r="L254" s="63" t="str">
        <x:v>2025-06-01</x:v>
      </x:c>
      <x:c r="M254" s="63" t="str">
        <x:v>2026-06-30</x:v>
      </x:c>
      <x:c r="N254" s="63" t="str">
        <x:v>2026-06-30</x:v>
      </x:c>
      <x:c r="O254" s="63" t="str">
        <x:v>E0</x:v>
      </x:c>
      <x:c r="P254" s="63" t="str">
        <x:v>APPROVED</x:v>
      </x:c>
      <x:c r="Q254" s="64" t="b">
        <x:v>1</x:v>
      </x:c>
      <x:c r="R254" s="63" t="str">
        <x:v>GEOGRAPHIC_EXPOSURE</x:v>
      </x:c>
      <x:c r="S254" s="63" t="str">
        <x:v>Syn Bank transaction and relationship simulation</x:v>
      </x:c>
      <x:c r="T254" s="63"/>
      <x:c r="U254" s="63" t="str">
        <x:v>internal://syn-bank/simulation/ltm</x:v>
      </x:c>
      <x:c r="V254" s="63" t="str">
        <x:v>c3b23ee7269f93cf261e5838dba41d52ff2389b47a5deddebb62afb04831b07c</x:v>
      </x:c>
    </x:row>
    <x:row r="255">
      <x:c r="A255" s="63" t="str">
        <x:v>bec:E06:obs:corridor-name:0</x:v>
      </x:c>
      <x:c r="B255" s="63" t="str">
        <x:v>E06</x:v>
      </x:c>
      <x:c r="C255" s="63" t="str">
        <x:v>bank_observed_corridor_country</x:v>
      </x:c>
      <x:c r="D255" s="63" t="str">
        <x:v>CATEGORICAL</x:v>
      </x:c>
      <x:c r="E255" s="63" t="str">
        <x:v>OBSERVED</x:v>
      </x:c>
      <x:c r="F255" s="65"/>
      <x:c r="G255" s="66"/>
      <x:c r="H255" s="67"/>
      <x:c r="I255" s="63" t="str">
        <x:v>Zimbabwe</x:v>
      </x:c>
      <x:c r="J255" s="63"/>
      <x:c r="K255" s="63" t="str">
        <x:v>country</x:v>
      </x:c>
      <x:c r="L255" s="63" t="str">
        <x:v>2025-06-01</x:v>
      </x:c>
      <x:c r="M255" s="63" t="str">
        <x:v>2026-06-30</x:v>
      </x:c>
      <x:c r="N255" s="63" t="str">
        <x:v>2026-06-30</x:v>
      </x:c>
      <x:c r="O255" s="63" t="str">
        <x:v>E0</x:v>
      </x:c>
      <x:c r="P255" s="63" t="str">
        <x:v>APPROVED</x:v>
      </x:c>
      <x:c r="Q255" s="64" t="b">
        <x:v>0</x:v>
      </x:c>
      <x:c r="R255" s="63" t="str">
        <x:v>GEOGRAPHIC_EXPOSURE</x:v>
      </x:c>
      <x:c r="S255" s="63" t="str">
        <x:v>Syn Bank transaction and relationship simulation</x:v>
      </x:c>
      <x:c r="T255" s="63"/>
      <x:c r="U255" s="63" t="str">
        <x:v>internal://syn-bank/simulation/ltm</x:v>
      </x:c>
      <x:c r="V255" s="63" t="str">
        <x:v>ba8df22709968b44b6e3de596134e4e71a8e8bdd22d8c870b01ccf0a3be69e57</x:v>
      </x:c>
    </x:row>
    <x:row r="256">
      <x:c r="A256" s="63" t="str">
        <x:v>bec:E06:obs:corridor:1</x:v>
      </x:c>
      <x:c r="B256" s="63" t="str">
        <x:v>E06</x:v>
      </x:c>
      <x:c r="C256" s="63" t="str">
        <x:v>bank_observed_corridor_value</x:v>
      </x:c>
      <x:c r="D256" s="63" t="str">
        <x:v>MONEY</x:v>
      </x:c>
      <x:c r="E256" s="63" t="str">
        <x:v>OBSERVED</x:v>
      </x:c>
      <x:c r="F256" s="65" t="n">
        <x:v>67502269.69000001</x:v>
      </x:c>
      <x:c r="G256" s="66"/>
      <x:c r="H256" s="67"/>
      <x:c r="I256" s="63"/>
      <x:c r="J256" s="63" t="str">
        <x:v>ZAR</x:v>
      </x:c>
      <x:c r="K256" s="63" t="str">
        <x:v>ZAR</x:v>
      </x:c>
      <x:c r="L256" s="63" t="str">
        <x:v>2025-06-01</x:v>
      </x:c>
      <x:c r="M256" s="63" t="str">
        <x:v>2026-06-30</x:v>
      </x:c>
      <x:c r="N256" s="63" t="str">
        <x:v>2026-06-30</x:v>
      </x:c>
      <x:c r="O256" s="63" t="str">
        <x:v>E0</x:v>
      </x:c>
      <x:c r="P256" s="63" t="str">
        <x:v>APPROVED</x:v>
      </x:c>
      <x:c r="Q256" s="64" t="b">
        <x:v>0</x:v>
      </x:c>
      <x:c r="R256" s="63" t="str">
        <x:v>GEOGRAPHIC_EXPOSURE</x:v>
      </x:c>
      <x:c r="S256" s="63" t="str">
        <x:v>Syn Bank transaction and relationship simulation</x:v>
      </x:c>
      <x:c r="T256" s="63"/>
      <x:c r="U256" s="63" t="str">
        <x:v>internal://syn-bank/simulation/ltm</x:v>
      </x:c>
      <x:c r="V256" s="63" t="str">
        <x:v>fbcc1335e669ab88580e46fca5a6bd5d0359b5f0b0b0a713bda301a6d635f882</x:v>
      </x:c>
    </x:row>
    <x:row r="257">
      <x:c r="A257" s="63" t="str">
        <x:v>bec:E06:obs:corridor-name:1</x:v>
      </x:c>
      <x:c r="B257" s="63" t="str">
        <x:v>E06</x:v>
      </x:c>
      <x:c r="C257" s="63" t="str">
        <x:v>bank_observed_corridor_country</x:v>
      </x:c>
      <x:c r="D257" s="63" t="str">
        <x:v>CATEGORICAL</x:v>
      </x:c>
      <x:c r="E257" s="63" t="str">
        <x:v>OBSERVED</x:v>
      </x:c>
      <x:c r="F257" s="65"/>
      <x:c r="G257" s="66"/>
      <x:c r="H257" s="67"/>
      <x:c r="I257" s="63" t="str">
        <x:v>China</x:v>
      </x:c>
      <x:c r="J257" s="63"/>
      <x:c r="K257" s="63" t="str">
        <x:v>country</x:v>
      </x:c>
      <x:c r="L257" s="63" t="str">
        <x:v>2025-06-01</x:v>
      </x:c>
      <x:c r="M257" s="63" t="str">
        <x:v>2026-06-30</x:v>
      </x:c>
      <x:c r="N257" s="63" t="str">
        <x:v>2026-06-30</x:v>
      </x:c>
      <x:c r="O257" s="63" t="str">
        <x:v>E0</x:v>
      </x:c>
      <x:c r="P257" s="63" t="str">
        <x:v>APPROVED</x:v>
      </x:c>
      <x:c r="Q257" s="64" t="b">
        <x:v>0</x:v>
      </x:c>
      <x:c r="R257" s="63" t="str">
        <x:v>GEOGRAPHIC_EXPOSURE</x:v>
      </x:c>
      <x:c r="S257" s="63" t="str">
        <x:v>Syn Bank transaction and relationship simulation</x:v>
      </x:c>
      <x:c r="T257" s="63"/>
      <x:c r="U257" s="63" t="str">
        <x:v>internal://syn-bank/simulation/ltm</x:v>
      </x:c>
      <x:c r="V257" s="63" t="str">
        <x:v>780c7a3cee1e0dcef04eb70fb2a671af50695d4829596926a03c6c1ddd067f20</x:v>
      </x:c>
    </x:row>
    <x:row r="258">
      <x:c r="A258" s="63" t="str">
        <x:v>bec:E06:obs:corridor:2</x:v>
      </x:c>
      <x:c r="B258" s="63" t="str">
        <x:v>E06</x:v>
      </x:c>
      <x:c r="C258" s="63" t="str">
        <x:v>bank_observed_corridor_value</x:v>
      </x:c>
      <x:c r="D258" s="63" t="str">
        <x:v>MONEY</x:v>
      </x:c>
      <x:c r="E258" s="63" t="str">
        <x:v>OBSERVED</x:v>
      </x:c>
      <x:c r="F258" s="65" t="n">
        <x:v>66102307.41999998</x:v>
      </x:c>
      <x:c r="G258" s="66"/>
      <x:c r="H258" s="67"/>
      <x:c r="I258" s="63"/>
      <x:c r="J258" s="63" t="str">
        <x:v>ZAR</x:v>
      </x:c>
      <x:c r="K258" s="63" t="str">
        <x:v>ZAR</x:v>
      </x:c>
      <x:c r="L258" s="63" t="str">
        <x:v>2025-06-01</x:v>
      </x:c>
      <x:c r="M258" s="63" t="str">
        <x:v>2026-06-30</x:v>
      </x:c>
      <x:c r="N258" s="63" t="str">
        <x:v>2026-06-30</x:v>
      </x:c>
      <x:c r="O258" s="63" t="str">
        <x:v>E0</x:v>
      </x:c>
      <x:c r="P258" s="63" t="str">
        <x:v>APPROVED</x:v>
      </x:c>
      <x:c r="Q258" s="64" t="b">
        <x:v>0</x:v>
      </x:c>
      <x:c r="R258" s="63" t="str">
        <x:v>GEOGRAPHIC_EXPOSURE</x:v>
      </x:c>
      <x:c r="S258" s="63" t="str">
        <x:v>Syn Bank transaction and relationship simulation</x:v>
      </x:c>
      <x:c r="T258" s="63"/>
      <x:c r="U258" s="63" t="str">
        <x:v>internal://syn-bank/simulation/ltm</x:v>
      </x:c>
      <x:c r="V258" s="63" t="str">
        <x:v>182d4406f6a80a674fbc3b01dff2ce278a3f28ed58e42c25fa4bf0f006588381</x:v>
      </x:c>
    </x:row>
    <x:row r="259">
      <x:c r="A259" s="63" t="str">
        <x:v>bec:E06:obs:corridor-name:2</x:v>
      </x:c>
      <x:c r="B259" s="63" t="str">
        <x:v>E06</x:v>
      </x:c>
      <x:c r="C259" s="63" t="str">
        <x:v>bank_observed_corridor_country</x:v>
      </x:c>
      <x:c r="D259" s="63" t="str">
        <x:v>CATEGORICAL</x:v>
      </x:c>
      <x:c r="E259" s="63" t="str">
        <x:v>OBSERVED</x:v>
      </x:c>
      <x:c r="F259" s="65"/>
      <x:c r="G259" s="66"/>
      <x:c r="H259" s="67"/>
      <x:c r="I259" s="63" t="str">
        <x:v>United Arab Emirates</x:v>
      </x:c>
      <x:c r="J259" s="63"/>
      <x:c r="K259" s="63" t="str">
        <x:v>country</x:v>
      </x:c>
      <x:c r="L259" s="63" t="str">
        <x:v>2025-06-01</x:v>
      </x:c>
      <x:c r="M259" s="63" t="str">
        <x:v>2026-06-30</x:v>
      </x:c>
      <x:c r="N259" s="63" t="str">
        <x:v>2026-06-30</x:v>
      </x:c>
      <x:c r="O259" s="63" t="str">
        <x:v>E0</x:v>
      </x:c>
      <x:c r="P259" s="63" t="str">
        <x:v>APPROVED</x:v>
      </x:c>
      <x:c r="Q259" s="64" t="b">
        <x:v>0</x:v>
      </x:c>
      <x:c r="R259" s="63" t="str">
        <x:v>GEOGRAPHIC_EXPOSURE</x:v>
      </x:c>
      <x:c r="S259" s="63" t="str">
        <x:v>Syn Bank transaction and relationship simulation</x:v>
      </x:c>
      <x:c r="T259" s="63"/>
      <x:c r="U259" s="63" t="str">
        <x:v>internal://syn-bank/simulation/ltm</x:v>
      </x:c>
      <x:c r="V259" s="63" t="str">
        <x:v>0907a4dfd7448ad2982bbb0be346e693d3fe0d8c9f441320df1c9addd1b40585</x:v>
      </x:c>
    </x:row>
    <x:row r="260">
      <x:c r="A260" s="63" t="str">
        <x:v>bec:E06:obs:currency:0</x:v>
      </x:c>
      <x:c r="B260" s="63" t="str">
        <x:v>E06</x:v>
      </x:c>
      <x:c r="C260" s="63" t="str">
        <x:v>bank_observed_currency_pair_value</x:v>
      </x:c>
      <x:c r="D260" s="63" t="str">
        <x:v>MONEY</x:v>
      </x:c>
      <x:c r="E260" s="63" t="str">
        <x:v>OBSERVED</x:v>
      </x:c>
      <x:c r="F260" s="65" t="n">
        <x:v>134806310.82999998</x:v>
      </x:c>
      <x:c r="G260" s="66"/>
      <x:c r="H260" s="67"/>
      <x:c r="I260" s="63"/>
      <x:c r="J260" s="63" t="str">
        <x:v>ZAR</x:v>
      </x:c>
      <x:c r="K260" s="63" t="str">
        <x:v>ZAR</x:v>
      </x:c>
      <x:c r="L260" s="63" t="str">
        <x:v>2025-06-01</x:v>
      </x:c>
      <x:c r="M260" s="63" t="str">
        <x:v>2026-06-30</x:v>
      </x:c>
      <x:c r="N260" s="63" t="str">
        <x:v>2026-06-30</x:v>
      </x:c>
      <x:c r="O260" s="63" t="str">
        <x:v>E0</x:v>
      </x:c>
      <x:c r="P260" s="63" t="str">
        <x:v>APPROVED</x:v>
      </x:c>
      <x:c r="Q260" s="64" t="b">
        <x:v>1</x:v>
      </x:c>
      <x:c r="R260" s="63" t="str">
        <x:v>CURRENCY_AND_COMMODITY_EXPOSURE</x:v>
      </x:c>
      <x:c r="S260" s="63" t="str">
        <x:v>Syn Bank transaction and relationship simulation</x:v>
      </x:c>
      <x:c r="T260" s="63"/>
      <x:c r="U260" s="63" t="str">
        <x:v>internal://syn-bank/simulation/ltm</x:v>
      </x:c>
      <x:c r="V260" s="63" t="str">
        <x:v>bbd92a52c508c002dde0f8a78b021b66bce16e3049fbdecdd67938fdaf4a01a8</x:v>
      </x:c>
    </x:row>
    <x:row r="261">
      <x:c r="A261" s="63" t="str">
        <x:v>bec:E06:obs:currency-pair:0</x:v>
      </x:c>
      <x:c r="B261" s="63" t="str">
        <x:v>E06</x:v>
      </x:c>
      <x:c r="C261" s="63" t="str">
        <x:v>bank_observed_currency_pair</x:v>
      </x:c>
      <x:c r="D261" s="63" t="str">
        <x:v>CATEGORICAL</x:v>
      </x:c>
      <x:c r="E261" s="63" t="str">
        <x:v>OBSERVED</x:v>
      </x:c>
      <x:c r="F261" s="65"/>
      <x:c r="G261" s="66"/>
      <x:c r="H261" s="67"/>
      <x:c r="I261" s="63" t="str">
        <x:v>CNY/ZAR</x:v>
      </x:c>
      <x:c r="J261" s="63"/>
      <x:c r="K261" s="63" t="str">
        <x:v>currency_pair</x:v>
      </x:c>
      <x:c r="L261" s="63" t="str">
        <x:v>2025-06-01</x:v>
      </x:c>
      <x:c r="M261" s="63" t="str">
        <x:v>2026-06-30</x:v>
      </x:c>
      <x:c r="N261" s="63" t="str">
        <x:v>2026-06-30</x:v>
      </x:c>
      <x:c r="O261" s="63" t="str">
        <x:v>E0</x:v>
      </x:c>
      <x:c r="P261" s="63" t="str">
        <x:v>APPROVED</x:v>
      </x:c>
      <x:c r="Q261" s="64" t="b">
        <x:v>0</x:v>
      </x:c>
      <x:c r="R261" s="63" t="str">
        <x:v>CURRENCY_AND_COMMODITY_EXPOSURE</x:v>
      </x:c>
      <x:c r="S261" s="63" t="str">
        <x:v>Syn Bank transaction and relationship simulation</x:v>
      </x:c>
      <x:c r="T261" s="63"/>
      <x:c r="U261" s="63" t="str">
        <x:v>internal://syn-bank/simulation/ltm</x:v>
      </x:c>
      <x:c r="V261" s="63" t="str">
        <x:v>55afbce74517eb9dabdfce32f781d571a5c203c752918334758c71e5328b5a99</x:v>
      </x:c>
    </x:row>
    <x:row r="262">
      <x:c r="A262" s="63" t="str">
        <x:v>bec:E06:obs:currency:1</x:v>
      </x:c>
      <x:c r="B262" s="63" t="str">
        <x:v>E06</x:v>
      </x:c>
      <x:c r="C262" s="63" t="str">
        <x:v>bank_observed_currency_pair_value</x:v>
      </x:c>
      <x:c r="D262" s="63" t="str">
        <x:v>MONEY</x:v>
      </x:c>
      <x:c r="E262" s="63" t="str">
        <x:v>OBSERVED</x:v>
      </x:c>
      <x:c r="F262" s="65" t="n">
        <x:v>125658105.34999996</x:v>
      </x:c>
      <x:c r="G262" s="66"/>
      <x:c r="H262" s="67"/>
      <x:c r="I262" s="63"/>
      <x:c r="J262" s="63" t="str">
        <x:v>ZAR</x:v>
      </x:c>
      <x:c r="K262" s="63" t="str">
        <x:v>ZAR</x:v>
      </x:c>
      <x:c r="L262" s="63" t="str">
        <x:v>2025-06-01</x:v>
      </x:c>
      <x:c r="M262" s="63" t="str">
        <x:v>2026-06-30</x:v>
      </x:c>
      <x:c r="N262" s="63" t="str">
        <x:v>2026-06-30</x:v>
      </x:c>
      <x:c r="O262" s="63" t="str">
        <x:v>E0</x:v>
      </x:c>
      <x:c r="P262" s="63" t="str">
        <x:v>APPROVED</x:v>
      </x:c>
      <x:c r="Q262" s="64" t="b">
        <x:v>0</x:v>
      </x:c>
      <x:c r="R262" s="63" t="str">
        <x:v>CURRENCY_AND_COMMODITY_EXPOSURE</x:v>
      </x:c>
      <x:c r="S262" s="63" t="str">
        <x:v>Syn Bank transaction and relationship simulation</x:v>
      </x:c>
      <x:c r="T262" s="63"/>
      <x:c r="U262" s="63" t="str">
        <x:v>internal://syn-bank/simulation/ltm</x:v>
      </x:c>
      <x:c r="V262" s="63" t="str">
        <x:v>84b3b16eea7071e7134fc632379f808e495784ae0578396a35e991c7c8dc2c0c</x:v>
      </x:c>
    </x:row>
    <x:row r="263">
      <x:c r="A263" s="63" t="str">
        <x:v>bec:E06:obs:currency-pair:1</x:v>
      </x:c>
      <x:c r="B263" s="63" t="str">
        <x:v>E06</x:v>
      </x:c>
      <x:c r="C263" s="63" t="str">
        <x:v>bank_observed_currency_pair</x:v>
      </x:c>
      <x:c r="D263" s="63" t="str">
        <x:v>CATEGORICAL</x:v>
      </x:c>
      <x:c r="E263" s="63" t="str">
        <x:v>OBSERVED</x:v>
      </x:c>
      <x:c r="F263" s="65"/>
      <x:c r="G263" s="66"/>
      <x:c r="H263" s="67"/>
      <x:c r="I263" s="63" t="str">
        <x:v>USD/ZAR</x:v>
      </x:c>
      <x:c r="J263" s="63"/>
      <x:c r="K263" s="63" t="str">
        <x:v>currency_pair</x:v>
      </x:c>
      <x:c r="L263" s="63" t="str">
        <x:v>2025-06-01</x:v>
      </x:c>
      <x:c r="M263" s="63" t="str">
        <x:v>2026-06-30</x:v>
      </x:c>
      <x:c r="N263" s="63" t="str">
        <x:v>2026-06-30</x:v>
      </x:c>
      <x:c r="O263" s="63" t="str">
        <x:v>E0</x:v>
      </x:c>
      <x:c r="P263" s="63" t="str">
        <x:v>APPROVED</x:v>
      </x:c>
      <x:c r="Q263" s="64" t="b">
        <x:v>0</x:v>
      </x:c>
      <x:c r="R263" s="63" t="str">
        <x:v>CURRENCY_AND_COMMODITY_EXPOSURE</x:v>
      </x:c>
      <x:c r="S263" s="63" t="str">
        <x:v>Syn Bank transaction and relationship simulation</x:v>
      </x:c>
      <x:c r="T263" s="63"/>
      <x:c r="U263" s="63" t="str">
        <x:v>internal://syn-bank/simulation/ltm</x:v>
      </x:c>
      <x:c r="V263" s="63" t="str">
        <x:v>2dc3356df50dba918b6d9a24b929d69290f81f2d4bbae7a4d59dc7ff1e09862e</x:v>
      </x:c>
    </x:row>
    <x:row r="264">
      <x:c r="A264" s="63" t="str">
        <x:v>bec:E06:obs:currency:2</x:v>
      </x:c>
      <x:c r="B264" s="63" t="str">
        <x:v>E06</x:v>
      </x:c>
      <x:c r="C264" s="63" t="str">
        <x:v>bank_observed_currency_pair_value</x:v>
      </x:c>
      <x:c r="D264" s="63" t="str">
        <x:v>MONEY</x:v>
      </x:c>
      <x:c r="E264" s="63" t="str">
        <x:v>OBSERVED</x:v>
      </x:c>
      <x:c r="F264" s="65" t="n">
        <x:v>121366810.98000003</x:v>
      </x:c>
      <x:c r="G264" s="66"/>
      <x:c r="H264" s="67"/>
      <x:c r="I264" s="63"/>
      <x:c r="J264" s="63" t="str">
        <x:v>ZAR</x:v>
      </x:c>
      <x:c r="K264" s="63" t="str">
        <x:v>ZAR</x:v>
      </x:c>
      <x:c r="L264" s="63" t="str">
        <x:v>2025-06-01</x:v>
      </x:c>
      <x:c r="M264" s="63" t="str">
        <x:v>2026-06-30</x:v>
      </x:c>
      <x:c r="N264" s="63" t="str">
        <x:v>2026-06-30</x:v>
      </x:c>
      <x:c r="O264" s="63" t="str">
        <x:v>E0</x:v>
      </x:c>
      <x:c r="P264" s="63" t="str">
        <x:v>APPROVED</x:v>
      </x:c>
      <x:c r="Q264" s="64" t="b">
        <x:v>0</x:v>
      </x:c>
      <x:c r="R264" s="63" t="str">
        <x:v>CURRENCY_AND_COMMODITY_EXPOSURE</x:v>
      </x:c>
      <x:c r="S264" s="63" t="str">
        <x:v>Syn Bank transaction and relationship simulation</x:v>
      </x:c>
      <x:c r="T264" s="63"/>
      <x:c r="U264" s="63" t="str">
        <x:v>internal://syn-bank/simulation/ltm</x:v>
      </x:c>
      <x:c r="V264" s="63" t="str">
        <x:v>9c237789020f850285ef336368854b6ad709d2b0334379ab21f3f838fa65d004</x:v>
      </x:c>
    </x:row>
    <x:row r="265">
      <x:c r="A265" s="63" t="str">
        <x:v>bec:E06:obs:currency-pair:2</x:v>
      </x:c>
      <x:c r="B265" s="63" t="str">
        <x:v>E06</x:v>
      </x:c>
      <x:c r="C265" s="63" t="str">
        <x:v>bank_observed_currency_pair</x:v>
      </x:c>
      <x:c r="D265" s="63" t="str">
        <x:v>CATEGORICAL</x:v>
      </x:c>
      <x:c r="E265" s="63" t="str">
        <x:v>OBSERVED</x:v>
      </x:c>
      <x:c r="F265" s="65"/>
      <x:c r="G265" s="66"/>
      <x:c r="H265" s="67"/>
      <x:c r="I265" s="63" t="str">
        <x:v>EUR/ZAR</x:v>
      </x:c>
      <x:c r="J265" s="63"/>
      <x:c r="K265" s="63" t="str">
        <x:v>currency_pair</x:v>
      </x:c>
      <x:c r="L265" s="63" t="str">
        <x:v>2025-06-01</x:v>
      </x:c>
      <x:c r="M265" s="63" t="str">
        <x:v>2026-06-30</x:v>
      </x:c>
      <x:c r="N265" s="63" t="str">
        <x:v>2026-06-30</x:v>
      </x:c>
      <x:c r="O265" s="63" t="str">
        <x:v>E0</x:v>
      </x:c>
      <x:c r="P265" s="63" t="str">
        <x:v>APPROVED</x:v>
      </x:c>
      <x:c r="Q265" s="64" t="b">
        <x:v>0</x:v>
      </x:c>
      <x:c r="R265" s="63" t="str">
        <x:v>CURRENCY_AND_COMMODITY_EXPOSURE</x:v>
      </x:c>
      <x:c r="S265" s="63" t="str">
        <x:v>Syn Bank transaction and relationship simulation</x:v>
      </x:c>
      <x:c r="T265" s="63"/>
      <x:c r="U265" s="63" t="str">
        <x:v>internal://syn-bank/simulation/ltm</x:v>
      </x:c>
      <x:c r="V265" s="63" t="str">
        <x:v>e9805b5adb9bcef45b41165e6707e9cb6bda3c2b2be2244836f7808f41a76e37</x:v>
      </x:c>
    </x:row>
    <x:row r="266">
      <x:c r="A266" s="63" t="str">
        <x:v>bec:E06:obs:country-count</x:v>
      </x:c>
      <x:c r="B266" s="63" t="str">
        <x:v>E06</x:v>
      </x:c>
      <x:c r="C266" s="63" t="str">
        <x:v>bank_observed_active_country_count</x:v>
      </x:c>
      <x:c r="D266" s="63" t="str">
        <x:v>COUNT</x:v>
      </x:c>
      <x:c r="E266" s="63" t="str">
        <x:v>OBSERVED</x:v>
      </x:c>
      <x:c r="F266" s="65"/>
      <x:c r="G266" s="66"/>
      <x:c r="H266" s="67" t="n">
        <x:v>15</x:v>
      </x:c>
      <x:c r="I266" s="63"/>
      <x:c r="J266" s="63"/>
      <x:c r="K266" s="63" t="str">
        <x:v>countries</x:v>
      </x:c>
      <x:c r="L266" s="63" t="str">
        <x:v>2025-06-01</x:v>
      </x:c>
      <x:c r="M266" s="63" t="str">
        <x:v>2026-06-30</x:v>
      </x:c>
      <x:c r="N266" s="63" t="str">
        <x:v>2026-06-30</x:v>
      </x:c>
      <x:c r="O266" s="63" t="str">
        <x:v>E0</x:v>
      </x:c>
      <x:c r="P266" s="63" t="str">
        <x:v>APPROVED</x:v>
      </x:c>
      <x:c r="Q266" s="64" t="b">
        <x:v>1</x:v>
      </x:c>
      <x:c r="R266" s="63" t="str">
        <x:v>GEOGRAPHIC_EXPOSURE</x:v>
      </x:c>
      <x:c r="S266" s="63" t="str">
        <x:v>Syn Bank transaction and relationship simulation</x:v>
      </x:c>
      <x:c r="T266" s="63"/>
      <x:c r="U266" s="63" t="str">
        <x:v>internal://syn-bank/simulation/ltm</x:v>
      </x:c>
      <x:c r="V266" s="63" t="str">
        <x:v>d49c37604ed1c4b807b4be666fb07c0772dc5c0cb5a8d87e843991cc282214a7</x:v>
      </x:c>
    </x:row>
    <x:row r="267">
      <x:c r="A267" s="63" t="str">
        <x:v>bec:E06:obs:relationship-breadth</x:v>
      </x:c>
      <x:c r="B267" s="63" t="str">
        <x:v>E06</x:v>
      </x:c>
      <x:c r="C267" s="63" t="str">
        <x:v>bank_observed_product_relationship_breadth</x:v>
      </x:c>
      <x:c r="D267" s="63" t="str">
        <x:v>COUNT</x:v>
      </x:c>
      <x:c r="E267" s="63" t="str">
        <x:v>OBSERVED</x:v>
      </x:c>
      <x:c r="F267" s="65"/>
      <x:c r="G267" s="66"/>
      <x:c r="H267" s="67" t="n">
        <x:v>5</x:v>
      </x:c>
      <x:c r="I267" s="63"/>
      <x:c r="J267" s="63"/>
      <x:c r="K267" s="63" t="str">
        <x:v>products</x:v>
      </x:c>
      <x:c r="L267" s="63" t="str">
        <x:v>2025-06-01</x:v>
      </x:c>
      <x:c r="M267" s="63" t="str">
        <x:v>2026-06-30</x:v>
      </x:c>
      <x:c r="N267" s="63" t="str">
        <x:v>2026-06-30</x:v>
      </x:c>
      <x:c r="O267" s="63" t="str">
        <x:v>E0</x:v>
      </x:c>
      <x:c r="P267" s="63" t="str">
        <x:v>APPROVED</x:v>
      </x:c>
      <x:c r="Q267" s="64" t="b">
        <x:v>1</x:v>
      </x:c>
      <x:c r="R267" s="63" t="str">
        <x:v>OPERATING_MODEL</x:v>
      </x:c>
      <x:c r="S267" s="63" t="str">
        <x:v>Syn Bank transaction and relationship simulation</x:v>
      </x:c>
      <x:c r="T267" s="63"/>
      <x:c r="U267" s="63" t="str">
        <x:v>internal://syn-bank/simulation/ltm</x:v>
      </x:c>
      <x:c r="V267" s="63" t="str">
        <x:v>c53ec538eb1aeaefc07febf02b2c44041008e254c97f5aef05501ceb5bb9cba1</x:v>
      </x:c>
    </x:row>
    <x:row r="268">
      <x:c r="A268" s="63" t="str">
        <x:v>bec:E06:obs:latent:operating_scale</x:v>
      </x:c>
      <x:c r="B268" s="63" t="str">
        <x:v>E06</x:v>
      </x:c>
      <x:c r="C268" s="63" t="str">
        <x:v>bank_observed_operating_scale_index</x:v>
      </x:c>
      <x:c r="D268" s="63" t="str">
        <x:v>RATIO</x:v>
      </x:c>
      <x:c r="E268" s="63" t="str">
        <x:v>OBSERVED</x:v>
      </x:c>
      <x:c r="F268" s="65"/>
      <x:c r="G268" s="66" t="n">
        <x:v>0.15</x:v>
      </x:c>
      <x:c r="H268" s="67"/>
      <x:c r="I268" s="63"/>
      <x:c r="J268" s="63"/>
      <x:c r="K268" s="63" t="str">
        <x:v>index_0_1</x:v>
      </x:c>
      <x:c r="L268" s="63" t="str">
        <x:v>2025-06-01</x:v>
      </x:c>
      <x:c r="M268" s="63" t="str">
        <x:v>2026-06-30</x:v>
      </x:c>
      <x:c r="N268" s="63" t="str">
        <x:v>2026-06-30</x:v>
      </x:c>
      <x:c r="O268" s="63" t="str">
        <x:v>E0</x:v>
      </x:c>
      <x:c r="P268" s="63" t="str">
        <x:v>APPROVED</x:v>
      </x:c>
      <x:c r="Q268" s="64" t="b">
        <x:v>0</x:v>
      </x:c>
      <x:c r="R268" s="63" t="str">
        <x:v>OPERATING_MODEL</x:v>
      </x:c>
      <x:c r="S268" s="63" t="str">
        <x:v>Syn Bank transaction and relationship simulation</x:v>
      </x:c>
      <x:c r="T268" s="63"/>
      <x:c r="U268" s="63" t="str">
        <x:v>internal://syn-bank/simulation/ltm</x:v>
      </x:c>
      <x:c r="V268" s="63" t="str">
        <x:v>36dff4ebe99e9eeb83093e25529b656ec57d3e76c60bb99322f14a88d89ff71b</x:v>
      </x:c>
    </x:row>
    <x:row r="269">
      <x:c r="A269" s="63" t="str">
        <x:v>bec:E06:obs:latent:working_capital_intensity</x:v>
      </x:c>
      <x:c r="B269" s="63" t="str">
        <x:v>E06</x:v>
      </x:c>
      <x:c r="C269" s="63" t="str">
        <x:v>bank_observed_working_capital_intensity_index</x:v>
      </x:c>
      <x:c r="D269" s="63" t="str">
        <x:v>RATIO</x:v>
      </x:c>
      <x:c r="E269" s="63" t="str">
        <x:v>OBSERVED</x:v>
      </x:c>
      <x:c r="F269" s="65"/>
      <x:c r="G269" s="66" t="n">
        <x:v>0.136</x:v>
      </x:c>
      <x:c r="H269" s="67"/>
      <x:c r="I269" s="63"/>
      <x:c r="J269" s="63"/>
      <x:c r="K269" s="63" t="str">
        <x:v>index_0_1</x:v>
      </x:c>
      <x:c r="L269" s="63" t="str">
        <x:v>2025-06-01</x:v>
      </x:c>
      <x:c r="M269" s="63" t="str">
        <x:v>2026-06-30</x:v>
      </x:c>
      <x:c r="N269" s="63" t="str">
        <x:v>2026-06-30</x:v>
      </x:c>
      <x:c r="O269" s="63" t="str">
        <x:v>E0</x:v>
      </x:c>
      <x:c r="P269" s="63" t="str">
        <x:v>APPROVED</x:v>
      </x:c>
      <x:c r="Q269" s="64" t="b">
        <x:v>0</x:v>
      </x:c>
      <x:c r="R269" s="63" t="str">
        <x:v>WORKING_CAPITAL_CYCLE</x:v>
      </x:c>
      <x:c r="S269" s="63" t="str">
        <x:v>Syn Bank transaction and relationship simulation</x:v>
      </x:c>
      <x:c r="T269" s="63"/>
      <x:c r="U269" s="63" t="str">
        <x:v>internal://syn-bank/simulation/ltm</x:v>
      </x:c>
      <x:c r="V269" s="63" t="str">
        <x:v>a9a0cc9df8a19bd6b180f16e0ab954afb6a08e02ee207d1cf910eb42d2e717d8</x:v>
      </x:c>
    </x:row>
    <x:row r="270">
      <x:c r="A270" s="63" t="str">
        <x:v>bec:E06:obs:latent:liquidity_volatility</x:v>
      </x:c>
      <x:c r="B270" s="63" t="str">
        <x:v>E06</x:v>
      </x:c>
      <x:c r="C270" s="63" t="str">
        <x:v>bank_observed_liquidity_volatility_index</x:v>
      </x:c>
      <x:c r="D270" s="63" t="str">
        <x:v>RATIO</x:v>
      </x:c>
      <x:c r="E270" s="63" t="str">
        <x:v>OBSERVED</x:v>
      </x:c>
      <x:c r="F270" s="65"/>
      <x:c r="G270" s="66" t="n">
        <x:v>0.554</x:v>
      </x:c>
      <x:c r="H270" s="67"/>
      <x:c r="I270" s="63"/>
      <x:c r="J270" s="63"/>
      <x:c r="K270" s="63" t="str">
        <x:v>index_0_1</x:v>
      </x:c>
      <x:c r="L270" s="63" t="str">
        <x:v>2025-06-01</x:v>
      </x:c>
      <x:c r="M270" s="63" t="str">
        <x:v>2026-06-30</x:v>
      </x:c>
      <x:c r="N270" s="63" t="str">
        <x:v>2026-06-30</x:v>
      </x:c>
      <x:c r="O270" s="63" t="str">
        <x:v>E0</x:v>
      </x:c>
      <x:c r="P270" s="63" t="str">
        <x:v>APPROVED</x:v>
      </x:c>
      <x:c r="Q270" s="64" t="b">
        <x:v>0</x:v>
      </x:c>
      <x:c r="R270" s="63" t="str">
        <x:v>LIQUIDITY_AND_BUFFER</x:v>
      </x:c>
      <x:c r="S270" s="63" t="str">
        <x:v>Syn Bank transaction and relationship simulation</x:v>
      </x:c>
      <x:c r="T270" s="63"/>
      <x:c r="U270" s="63" t="str">
        <x:v>internal://syn-bank/simulation/ltm</x:v>
      </x:c>
      <x:c r="V270" s="63" t="str">
        <x:v>69138e2d8a83c488c2007c9ab2483ee4ac85965ad2147ed908a460479bb034a2</x:v>
      </x:c>
    </x:row>
    <x:row r="271">
      <x:c r="A271" s="63" t="str">
        <x:v>bec:E06:obs:latent:international_exposure</x:v>
      </x:c>
      <x:c r="B271" s="63" t="str">
        <x:v>E06</x:v>
      </x:c>
      <x:c r="C271" s="63" t="str">
        <x:v>bank_observed_international_exposure_index</x:v>
      </x:c>
      <x:c r="D271" s="63" t="str">
        <x:v>RATIO</x:v>
      </x:c>
      <x:c r="E271" s="63" t="str">
        <x:v>OBSERVED</x:v>
      </x:c>
      <x:c r="F271" s="65"/>
      <x:c r="G271" s="66" t="n">
        <x:v>0.864</x:v>
      </x:c>
      <x:c r="H271" s="67"/>
      <x:c r="I271" s="63"/>
      <x:c r="J271" s="63"/>
      <x:c r="K271" s="63" t="str">
        <x:v>index_0_1</x:v>
      </x:c>
      <x:c r="L271" s="63" t="str">
        <x:v>2025-06-01</x:v>
      </x:c>
      <x:c r="M271" s="63" t="str">
        <x:v>2026-06-30</x:v>
      </x:c>
      <x:c r="N271" s="63" t="str">
        <x:v>2026-06-30</x:v>
      </x:c>
      <x:c r="O271" s="63" t="str">
        <x:v>E0</x:v>
      </x:c>
      <x:c r="P271" s="63" t="str">
        <x:v>APPROVED</x:v>
      </x:c>
      <x:c r="Q271" s="64" t="b">
        <x:v>0</x:v>
      </x:c>
      <x:c r="R271" s="63" t="str">
        <x:v>GEOGRAPHIC_EXPOSURE</x:v>
      </x:c>
      <x:c r="S271" s="63" t="str">
        <x:v>Syn Bank transaction and relationship simulation</x:v>
      </x:c>
      <x:c r="T271" s="63"/>
      <x:c r="U271" s="63" t="str">
        <x:v>internal://syn-bank/simulation/ltm</x:v>
      </x:c>
      <x:c r="V271" s="63" t="str">
        <x:v>1bd4bb4dda906c0997dba5eee537504bc7b357230d2e4579f61fb47972ac378c</x:v>
      </x:c>
    </x:row>
    <x:row r="272">
      <x:c r="A272" s="63" t="str">
        <x:v>bec:E06:obs:latent:financing_need</x:v>
      </x:c>
      <x:c r="B272" s="63" t="str">
        <x:v>E06</x:v>
      </x:c>
      <x:c r="C272" s="63" t="str">
        <x:v>bank_observed_financing_need_index</x:v>
      </x:c>
      <x:c r="D272" s="63" t="str">
        <x:v>RATIO</x:v>
      </x:c>
      <x:c r="E272" s="63" t="str">
        <x:v>OBSERVED</x:v>
      </x:c>
      <x:c r="F272" s="65"/>
      <x:c r="G272" s="66" t="n">
        <x:v>0.292</x:v>
      </x:c>
      <x:c r="H272" s="67"/>
      <x:c r="I272" s="63"/>
      <x:c r="J272" s="63"/>
      <x:c r="K272" s="63" t="str">
        <x:v>index_0_1</x:v>
      </x:c>
      <x:c r="L272" s="63" t="str">
        <x:v>2025-06-01</x:v>
      </x:c>
      <x:c r="M272" s="63" t="str">
        <x:v>2026-06-30</x:v>
      </x:c>
      <x:c r="N272" s="63" t="str">
        <x:v>2026-06-30</x:v>
      </x:c>
      <x:c r="O272" s="63" t="str">
        <x:v>E0</x:v>
      </x:c>
      <x:c r="P272" s="63" t="str">
        <x:v>APPROVED</x:v>
      </x:c>
      <x:c r="Q272" s="64" t="b">
        <x:v>0</x:v>
      </x:c>
      <x:c r="R272" s="63" t="str">
        <x:v>FUNDING_STRUCTURE</x:v>
      </x:c>
      <x:c r="S272" s="63" t="str">
        <x:v>Syn Bank transaction and relationship simulation</x:v>
      </x:c>
      <x:c r="T272" s="63"/>
      <x:c r="U272" s="63" t="str">
        <x:v>internal://syn-bank/simulation/ltm</x:v>
      </x:c>
      <x:c r="V272" s="63" t="str">
        <x:v>0817c3d6e445477a8d9e5afc66df91eb978bfdf14d67c151ab58671d773ae0f0</x:v>
      </x:c>
    </x:row>
    <x:row r="273">
      <x:c r="A273" s="63" t="str">
        <x:v>bec:E06:obs:latent:event_intensity</x:v>
      </x:c>
      <x:c r="B273" s="63" t="str">
        <x:v>E06</x:v>
      </x:c>
      <x:c r="C273" s="63" t="str">
        <x:v>bank_observed_event_intensity_index</x:v>
      </x:c>
      <x:c r="D273" s="63" t="str">
        <x:v>RATIO</x:v>
      </x:c>
      <x:c r="E273" s="63" t="str">
        <x:v>OBSERVED</x:v>
      </x:c>
      <x:c r="F273" s="65"/>
      <x:c r="G273" s="66" t="n">
        <x:v>1</x:v>
      </x:c>
      <x:c r="H273" s="67"/>
      <x:c r="I273" s="63"/>
      <x:c r="J273" s="63"/>
      <x:c r="K273" s="63" t="str">
        <x:v>index_0_1</x:v>
      </x:c>
      <x:c r="L273" s="63" t="str">
        <x:v>2025-06-01</x:v>
      </x:c>
      <x:c r="M273" s="63" t="str">
        <x:v>2026-06-30</x:v>
      </x:c>
      <x:c r="N273" s="63" t="str">
        <x:v>2026-06-30</x:v>
      </x:c>
      <x:c r="O273" s="63" t="str">
        <x:v>E0</x:v>
      </x:c>
      <x:c r="P273" s="63" t="str">
        <x:v>APPROVED</x:v>
      </x:c>
      <x:c r="Q273" s="64" t="b">
        <x:v>0</x:v>
      </x:c>
      <x:c r="R273" s="63" t="str">
        <x:v>STRATEGY_ACTIONS_AND_ESG</x:v>
      </x:c>
      <x:c r="S273" s="63" t="str">
        <x:v>Syn Bank transaction and relationship simulation</x:v>
      </x:c>
      <x:c r="T273" s="63"/>
      <x:c r="U273" s="63" t="str">
        <x:v>internal://syn-bank/simulation/ltm</x:v>
      </x:c>
      <x:c r="V273" s="63" t="str">
        <x:v>f196ca666d0a48cda9bf612e5bef5e585f8a824637d03a17bbdcfedb9dcd8b18</x:v>
      </x:c>
    </x:row>
    <x:row r="274">
      <x:c r="A274" s="63" t="str">
        <x:v>bec:E06:obs:latent:relationship_complexity</x:v>
      </x:c>
      <x:c r="B274" s="63" t="str">
        <x:v>E06</x:v>
      </x:c>
      <x:c r="C274" s="63" t="str">
        <x:v>bank_observed_relationship_complexity_index</x:v>
      </x:c>
      <x:c r="D274" s="63" t="str">
        <x:v>RATIO</x:v>
      </x:c>
      <x:c r="E274" s="63" t="str">
        <x:v>OBSERVED</x:v>
      </x:c>
      <x:c r="F274" s="65"/>
      <x:c r="G274" s="66" t="n">
        <x:v>1</x:v>
      </x:c>
      <x:c r="H274" s="67"/>
      <x:c r="I274" s="63"/>
      <x:c r="J274" s="63"/>
      <x:c r="K274" s="63" t="str">
        <x:v>index_0_1</x:v>
      </x:c>
      <x:c r="L274" s="63" t="str">
        <x:v>2025-06-01</x:v>
      </x:c>
      <x:c r="M274" s="63" t="str">
        <x:v>2026-06-30</x:v>
      </x:c>
      <x:c r="N274" s="63" t="str">
        <x:v>2026-06-30</x:v>
      </x:c>
      <x:c r="O274" s="63" t="str">
        <x:v>E0</x:v>
      </x:c>
      <x:c r="P274" s="63" t="str">
        <x:v>APPROVED</x:v>
      </x:c>
      <x:c r="Q274" s="64" t="b">
        <x:v>0</x:v>
      </x:c>
      <x:c r="R274" s="63" t="str">
        <x:v>OPERATING_MODEL</x:v>
      </x:c>
      <x:c r="S274" s="63" t="str">
        <x:v>Syn Bank transaction and relationship simulation</x:v>
      </x:c>
      <x:c r="T274" s="63"/>
      <x:c r="U274" s="63" t="str">
        <x:v>internal://syn-bank/simulation/ltm</x:v>
      </x:c>
      <x:c r="V274" s="63" t="str">
        <x:v>d1dbba21fca4bac4f340ba0fbc560f222058c708f7162d74f391ecf76e23de2e</x:v>
      </x:c>
    </x:row>
    <x:row r="275">
      <x:c r="A275" s="63" t="str">
        <x:v>bec:E06:obs:events:trade-90d</x:v>
      </x:c>
      <x:c r="B275" s="63" t="str">
        <x:v>E06</x:v>
      </x:c>
      <x:c r="C275" s="63" t="str">
        <x:v>bank_observed_trade_events_next_90d</x:v>
      </x:c>
      <x:c r="D275" s="63" t="str">
        <x:v>COUNT</x:v>
      </x:c>
      <x:c r="E275" s="63" t="str">
        <x:v>OBSERVED</x:v>
      </x:c>
      <x:c r="F275" s="65"/>
      <x:c r="G275" s="66"/>
      <x:c r="H275" s="67" t="n">
        <x:v>13</x:v>
      </x:c>
      <x:c r="I275" s="63"/>
      <x:c r="J275" s="63"/>
      <x:c r="K275" s="63" t="str">
        <x:v>events</x:v>
      </x:c>
      <x:c r="L275" s="63" t="str">
        <x:v>2025-06-01</x:v>
      </x:c>
      <x:c r="M275" s="63" t="str">
        <x:v>2026-06-30</x:v>
      </x:c>
      <x:c r="N275" s="63" t="str">
        <x:v>2026-06-30</x:v>
      </x:c>
      <x:c r="O275" s="63" t="str">
        <x:v>E0</x:v>
      </x:c>
      <x:c r="P275" s="63" t="str">
        <x:v>APPROVED</x:v>
      </x:c>
      <x:c r="Q275" s="64" t="b">
        <x:v>1</x:v>
      </x:c>
      <x:c r="R275" s="63" t="str">
        <x:v>OPERATING_MODEL, WORKING_CAPITAL_CYCLE</x:v>
      </x:c>
      <x:c r="S275" s="63" t="str">
        <x:v>Syn Bank transaction and relationship simulation</x:v>
      </x:c>
      <x:c r="T275" s="63"/>
      <x:c r="U275" s="63" t="str">
        <x:v>internal://syn-bank/simulation/ltm</x:v>
      </x:c>
      <x:c r="V275" s="63" t="str">
        <x:v>84f46a9663e062ed1556139f6896dc98bc4e450c6b2cd7e53f038c3180f3bda3</x:v>
      </x:c>
    </x:row>
    <x:row r="276">
      <x:c r="A276" s="63" t="str">
        <x:v>bec:E06:obs:events:trade-90d-value</x:v>
      </x:c>
      <x:c r="B276" s="63" t="str">
        <x:v>E06</x:v>
      </x:c>
      <x:c r="C276" s="63" t="str">
        <x:v>bank_observed_trade_events_value_next_90d</x:v>
      </x:c>
      <x:c r="D276" s="63" t="str">
        <x:v>MONEY</x:v>
      </x:c>
      <x:c r="E276" s="63" t="str">
        <x:v>OBSERVED</x:v>
      </x:c>
      <x:c r="F276" s="65" t="n">
        <x:v>29294131.939999998</x:v>
      </x:c>
      <x:c r="G276" s="66"/>
      <x:c r="H276" s="67"/>
      <x:c r="I276" s="63"/>
      <x:c r="J276" s="63" t="str">
        <x:v>ZAR</x:v>
      </x:c>
      <x:c r="K276" s="63" t="str">
        <x:v>ZAR</x:v>
      </x:c>
      <x:c r="L276" s="63" t="str">
        <x:v>2025-06-01</x:v>
      </x:c>
      <x:c r="M276" s="63" t="str">
        <x:v>2026-06-30</x:v>
      </x:c>
      <x:c r="N276" s="63" t="str">
        <x:v>2026-06-30</x:v>
      </x:c>
      <x:c r="O276" s="63" t="str">
        <x:v>E0</x:v>
      </x:c>
      <x:c r="P276" s="63" t="str">
        <x:v>APPROVED</x:v>
      </x:c>
      <x:c r="Q276" s="64" t="b">
        <x:v>0</x:v>
      </x:c>
      <x:c r="R276" s="63" t="str">
        <x:v>WORKING_CAPITAL_CYCLE</x:v>
      </x:c>
      <x:c r="S276" s="63" t="str">
        <x:v>Syn Bank transaction and relationship simulation</x:v>
      </x:c>
      <x:c r="T276" s="63"/>
      <x:c r="U276" s="63" t="str">
        <x:v>internal://syn-bank/simulation/ltm</x:v>
      </x:c>
      <x:c r="V276" s="63" t="str">
        <x:v>2ce7154ce60a8fdbaa61e3a2abc7b81cd35e676096a5eded7b234ef708fd6190</x:v>
      </x:c>
    </x:row>
    <x:row r="277">
      <x:c r="A277" s="63" t="str">
        <x:v>bec:E06:struct:operating-model</x:v>
      </x:c>
      <x:c r="B277" s="63" t="str">
        <x:v>E06</x:v>
      </x:c>
      <x:c r="C277" s="63" t="str">
        <x:v>sector_operating_model</x:v>
      </x:c>
      <x:c r="D277" s="63" t="str">
        <x:v>TEXTUAL</x:v>
      </x:c>
      <x:c r="E277" s="63" t="str">
        <x:v>SCENARIO</x:v>
      </x:c>
      <x:c r="F277" s="65"/>
      <x:c r="G277" s="66"/>
      <x:c r="H277" s="67"/>
      <x:c r="I277" s="63" t="str">
        <x:v>Multi-jurisdiction extractive operator with commodity-linked revenue, long-cycle capex and joint-venture structures.</x:v>
      </x:c>
      <x:c r="J277" s="63"/>
      <x:c r="K277" s="63" t="str">
        <x:v>statement</x:v>
      </x:c>
      <x:c r="L277" s="63" t="str">
        <x:v>2025-06-01</x:v>
      </x:c>
      <x:c r="M277" s="63" t="str">
        <x:v>2026-06-30</x:v>
      </x:c>
      <x:c r="N277" s="63" t="str">
        <x:v>2026-06-30</x:v>
      </x:c>
      <x:c r="O277" s="63" t="str">
        <x:v>E0</x:v>
      </x:c>
      <x:c r="P277" s="63" t="str">
        <x:v>APPROVED</x:v>
      </x:c>
      <x:c r="Q277" s="64" t="b">
        <x:v>0</x:v>
      </x:c>
      <x:c r="R277" s="63" t="str">
        <x:v>OPERATING_MODEL</x:v>
      </x:c>
      <x:c r="S277" s="63" t="str">
        <x:v>Governed sector operating-model and responsibility policy</x:v>
      </x:c>
      <x:c r="T277" s="63"/>
      <x:c r="U277" s="63" t="str">
        <x:v>internal://v31/governed-policy</x:v>
      </x:c>
      <x:c r="V277" s="63" t="str">
        <x:v>e6b156ea04782ab2d3fb039fb1653c7077972344d3b5ba4568b5b87f1680e994</x:v>
      </x:c>
    </x:row>
    <x:row r="278">
      <x:c r="A278" s="63" t="str">
        <x:v>bec:E06:struct:risk:0</x:v>
      </x:c>
      <x:c r="B278" s="63" t="str">
        <x:v>E06</x:v>
      </x:c>
      <x:c r="C278" s="63" t="str">
        <x:v>sector_primary_risk</x:v>
      </x:c>
      <x:c r="D278" s="63" t="str">
        <x:v>CATEGORICAL</x:v>
      </x:c>
      <x:c r="E278" s="63" t="str">
        <x:v>SCENARIO</x:v>
      </x:c>
      <x:c r="F278" s="65"/>
      <x:c r="G278" s="66"/>
      <x:c r="H278" s="67"/>
      <x:c r="I278" s="63" t="str">
        <x:v>commodity price volatility</x:v>
      </x:c>
      <x:c r="J278" s="63"/>
      <x:c r="K278" s="63" t="str">
        <x:v>statement</x:v>
      </x:c>
      <x:c r="L278" s="63" t="str">
        <x:v>2025-06-01</x:v>
      </x:c>
      <x:c r="M278" s="63" t="str">
        <x:v>2026-06-30</x:v>
      </x:c>
      <x:c r="N278" s="63" t="str">
        <x:v>2026-06-30</x:v>
      </x:c>
      <x:c r="O278" s="63" t="str">
        <x:v>E0</x:v>
      </x:c>
      <x:c r="P278" s="63" t="str">
        <x:v>APPROVED</x:v>
      </x:c>
      <x:c r="Q278" s="64" t="b">
        <x:v>0</x:v>
      </x:c>
      <x:c r="R278" s="63" t="str">
        <x:v>BUSINESS_AND_FINANCIAL_RISKS</x:v>
      </x:c>
      <x:c r="S278" s="63" t="str">
        <x:v>Governed sector operating-model and responsibility policy</x:v>
      </x:c>
      <x:c r="T278" s="63"/>
      <x:c r="U278" s="63" t="str">
        <x:v>internal://v31/governed-policy</x:v>
      </x:c>
      <x:c r="V278" s="63" t="str">
        <x:v>0bf7bb5476b157773fd989b60ebaab983a673e652f7e9e40c5f6d388336938bf</x:v>
      </x:c>
    </x:row>
    <x:row r="279">
      <x:c r="A279" s="63" t="str">
        <x:v>bec:E06:struct:risk:1</x:v>
      </x:c>
      <x:c r="B279" s="63" t="str">
        <x:v>E06</x:v>
      </x:c>
      <x:c r="C279" s="63" t="str">
        <x:v>sector_primary_risk</x:v>
      </x:c>
      <x:c r="D279" s="63" t="str">
        <x:v>CATEGORICAL</x:v>
      </x:c>
      <x:c r="E279" s="63" t="str">
        <x:v>SCENARIO</x:v>
      </x:c>
      <x:c r="F279" s="65"/>
      <x:c r="G279" s="66"/>
      <x:c r="H279" s="67"/>
      <x:c r="I279" s="63" t="str">
        <x:v>jurisdictional and permitting risk</x:v>
      </x:c>
      <x:c r="J279" s="63"/>
      <x:c r="K279" s="63" t="str">
        <x:v>statement</x:v>
      </x:c>
      <x:c r="L279" s="63" t="str">
        <x:v>2025-06-01</x:v>
      </x:c>
      <x:c r="M279" s="63" t="str">
        <x:v>2026-06-30</x:v>
      </x:c>
      <x:c r="N279" s="63" t="str">
        <x:v>2026-06-30</x:v>
      </x:c>
      <x:c r="O279" s="63" t="str">
        <x:v>E0</x:v>
      </x:c>
      <x:c r="P279" s="63" t="str">
        <x:v>APPROVED</x:v>
      </x:c>
      <x:c r="Q279" s="64" t="b">
        <x:v>0</x:v>
      </x:c>
      <x:c r="R279" s="63" t="str">
        <x:v>BUSINESS_AND_FINANCIAL_RISKS</x:v>
      </x:c>
      <x:c r="S279" s="63" t="str">
        <x:v>Governed sector operating-model and responsibility policy</x:v>
      </x:c>
      <x:c r="T279" s="63"/>
      <x:c r="U279" s="63" t="str">
        <x:v>internal://v31/governed-policy</x:v>
      </x:c>
      <x:c r="V279" s="63" t="str">
        <x:v>15f24809ad449c968dcb629f5a38519b43c80cfb2d96f33ee2114128c020d45d</x:v>
      </x:c>
    </x:row>
    <x:row r="280">
      <x:c r="A280" s="63" t="str">
        <x:v>bec:E06:struct:risk:2</x:v>
      </x:c>
      <x:c r="B280" s="63" t="str">
        <x:v>E06</x:v>
      </x:c>
      <x:c r="C280" s="63" t="str">
        <x:v>sector_primary_risk</x:v>
      </x:c>
      <x:c r="D280" s="63" t="str">
        <x:v>CATEGORICAL</x:v>
      </x:c>
      <x:c r="E280" s="63" t="str">
        <x:v>SCENARIO</x:v>
      </x:c>
      <x:c r="F280" s="65"/>
      <x:c r="G280" s="66"/>
      <x:c r="H280" s="67"/>
      <x:c r="I280" s="63" t="str">
        <x:v>capex overrun</x:v>
      </x:c>
      <x:c r="J280" s="63"/>
      <x:c r="K280" s="63" t="str">
        <x:v>statement</x:v>
      </x:c>
      <x:c r="L280" s="63" t="str">
        <x:v>2025-06-01</x:v>
      </x:c>
      <x:c r="M280" s="63" t="str">
        <x:v>2026-06-30</x:v>
      </x:c>
      <x:c r="N280" s="63" t="str">
        <x:v>2026-06-30</x:v>
      </x:c>
      <x:c r="O280" s="63" t="str">
        <x:v>E0</x:v>
      </x:c>
      <x:c r="P280" s="63" t="str">
        <x:v>APPROVED</x:v>
      </x:c>
      <x:c r="Q280" s="64" t="b">
        <x:v>0</x:v>
      </x:c>
      <x:c r="R280" s="63" t="str">
        <x:v>BUSINESS_AND_FINANCIAL_RISKS</x:v>
      </x:c>
      <x:c r="S280" s="63" t="str">
        <x:v>Governed sector operating-model and responsibility policy</x:v>
      </x:c>
      <x:c r="T280" s="63"/>
      <x:c r="U280" s="63" t="str">
        <x:v>internal://v31/governed-policy</x:v>
      </x:c>
      <x:c r="V280" s="63" t="str">
        <x:v>725388d757116f24dbe738a75f81196cc554528af19a65744740a14ffcc62aa7</x:v>
      </x:c>
    </x:row>
    <x:row r="281">
      <x:c r="A281" s="63" t="str">
        <x:v>bec:E06:struct:responsibility-model</x:v>
      </x:c>
      <x:c r="B281" s="63" t="str">
        <x:v>E06</x:v>
      </x:c>
      <x:c r="C281" s="63" t="str">
        <x:v>stakeholder_responsibility_model</x:v>
      </x:c>
      <x:c r="D281" s="63" t="str">
        <x:v>TEXTUAL</x:v>
      </x:c>
      <x:c r="E281" s="63" t="str">
        <x:v>SCENARIO</x:v>
      </x:c>
      <x:c r="F281" s="65"/>
      <x:c r="G281" s="66"/>
      <x:c r="H281" s="67"/>
      <x:c r="I281" s="63" t="str">
        <x:v>Responsibility is assigned by role persona using governed matrix v31-stakeholder-responsibility-3.1.0. Named individuals are not resolved in the demonstration and require CRM entitlement checks in production.</x:v>
      </x:c>
      <x:c r="J281" s="63"/>
      <x:c r="K281" s="63" t="str">
        <x:v>statement</x:v>
      </x:c>
      <x:c r="L281" s="63" t="str">
        <x:v>2025-06-01</x:v>
      </x:c>
      <x:c r="M281" s="63" t="str">
        <x:v>2026-06-30</x:v>
      </x:c>
      <x:c r="N281" s="63" t="str">
        <x:v>2026-06-30</x:v>
      </x:c>
      <x:c r="O281" s="63" t="str">
        <x:v>E0</x:v>
      </x:c>
      <x:c r="P281" s="63" t="str">
        <x:v>APPROVED</x:v>
      </x:c>
      <x:c r="Q281" s="64" t="b">
        <x:v>0</x:v>
      </x:c>
      <x:c r="R281" s="63" t="str">
        <x:v>STAKEHOLDER_RESPONSIBILITY</x:v>
      </x:c>
      <x:c r="S281" s="63" t="str">
        <x:v>Governed sector operating-model and responsibility policy</x:v>
      </x:c>
      <x:c r="T281" s="63"/>
      <x:c r="U281" s="63" t="str">
        <x:v>internal://v31/governed-policy</x:v>
      </x:c>
      <x:c r="V281" s="63" t="str">
        <x:v>907b99b34a330c2d84638a66c3cbd9baec0ce63f1cb56576316cb0ffcbe82c59</x:v>
      </x:c>
    </x:row>
    <x:row r="282">
      <x:c r="A282" s="63" t="str">
        <x:v>bec:E06:struct:responsibility:fx_exposure</x:v>
      </x:c>
      <x:c r="B282" s="63" t="str">
        <x:v>E06</x:v>
      </x:c>
      <x:c r="C282" s="63" t="str">
        <x:v>problem_role_ownership</x:v>
      </x:c>
      <x:c r="D282" s="63" t="str">
        <x:v>STRUCTURE_RELATIONSHIP</x:v>
      </x:c>
      <x:c r="E282" s="63" t="str">
        <x:v>SCENARIO</x:v>
      </x:c>
      <x:c r="F282" s="65"/>
      <x:c r="G282" s="66"/>
      <x:c r="H282" s="67"/>
      <x:c r="I282" s="63"/>
      <x:c r="J282" s="63"/>
      <x:c r="K282" s="63" t="str">
        <x:v>statement</x:v>
      </x:c>
      <x:c r="L282" s="63" t="str">
        <x:v>2025-06-01</x:v>
      </x:c>
      <x:c r="M282" s="63" t="str">
        <x:v>2026-06-30</x:v>
      </x:c>
      <x:c r="N282" s="63" t="str">
        <x:v>2026-06-30</x:v>
      </x:c>
      <x:c r="O282" s="63" t="str">
        <x:v>E0</x:v>
      </x:c>
      <x:c r="P282" s="63" t="str">
        <x:v>APPROVED</x:v>
      </x:c>
      <x:c r="Q282" s="64" t="b">
        <x:v>0</x:v>
      </x:c>
      <x:c r="R282" s="63" t="str">
        <x:v>STAKEHOLDER_RESPONSIBILITY</x:v>
      </x:c>
      <x:c r="S282" s="63" t="str">
        <x:v>Governed sector operating-model and responsibility policy</x:v>
      </x:c>
      <x:c r="T282" s="63"/>
      <x:c r="U282" s="63" t="str">
        <x:v>internal://v31/governed-policy</x:v>
      </x:c>
      <x:c r="V282" s="63" t="str">
        <x:v>6f228efdda246ceeaf0ab6b79a747c7ee39afa860ce353f655aa6a053df9c73e</x:v>
      </x:c>
    </x:row>
    <x:row r="283">
      <x:c r="A283" s="63" t="str">
        <x:v>bec:E06:struct:responsibility:refinancing_cliff</x:v>
      </x:c>
      <x:c r="B283" s="63" t="str">
        <x:v>E06</x:v>
      </x:c>
      <x:c r="C283" s="63" t="str">
        <x:v>problem_role_ownership</x:v>
      </x:c>
      <x:c r="D283" s="63" t="str">
        <x:v>STRUCTURE_RELATIONSHIP</x:v>
      </x:c>
      <x:c r="E283" s="63" t="str">
        <x:v>SCENARIO</x:v>
      </x:c>
      <x:c r="F283" s="65"/>
      <x:c r="G283" s="66"/>
      <x:c r="H283" s="67"/>
      <x:c r="I283" s="63"/>
      <x:c r="J283" s="63"/>
      <x:c r="K283" s="63" t="str">
        <x:v>statement</x:v>
      </x:c>
      <x:c r="L283" s="63" t="str">
        <x:v>2025-06-01</x:v>
      </x:c>
      <x:c r="M283" s="63" t="str">
        <x:v>2026-06-30</x:v>
      </x:c>
      <x:c r="N283" s="63" t="str">
        <x:v>2026-06-30</x:v>
      </x:c>
      <x:c r="O283" s="63" t="str">
        <x:v>E0</x:v>
      </x:c>
      <x:c r="P283" s="63" t="str">
        <x:v>APPROVED</x:v>
      </x:c>
      <x:c r="Q283" s="64" t="b">
        <x:v>0</x:v>
      </x:c>
      <x:c r="R283" s="63" t="str">
        <x:v>STAKEHOLDER_RESPONSIBILITY</x:v>
      </x:c>
      <x:c r="S283" s="63" t="str">
        <x:v>Governed sector operating-model and responsibility policy</x:v>
      </x:c>
      <x:c r="T283" s="63"/>
      <x:c r="U283" s="63" t="str">
        <x:v>internal://v31/governed-policy</x:v>
      </x:c>
      <x:c r="V283" s="63" t="str">
        <x:v>dd66f4c960dbe0629afba61f74bbffd093f671f94497241f5ee7c43b40809810</x:v>
      </x:c>
    </x:row>
    <x:row r="284">
      <x:c r="A284" s="63" t="str">
        <x:v>bec:E06:struct:responsibility:working_capital_pressure</x:v>
      </x:c>
      <x:c r="B284" s="63" t="str">
        <x:v>E06</x:v>
      </x:c>
      <x:c r="C284" s="63" t="str">
        <x:v>problem_role_ownership</x:v>
      </x:c>
      <x:c r="D284" s="63" t="str">
        <x:v>STRUCTURE_RELATIONSHIP</x:v>
      </x:c>
      <x:c r="E284" s="63" t="str">
        <x:v>SCENARIO</x:v>
      </x:c>
      <x:c r="F284" s="65"/>
      <x:c r="G284" s="66"/>
      <x:c r="H284" s="67"/>
      <x:c r="I284" s="63"/>
      <x:c r="J284" s="63"/>
      <x:c r="K284" s="63" t="str">
        <x:v>statement</x:v>
      </x:c>
      <x:c r="L284" s="63" t="str">
        <x:v>2025-06-01</x:v>
      </x:c>
      <x:c r="M284" s="63" t="str">
        <x:v>2026-06-30</x:v>
      </x:c>
      <x:c r="N284" s="63" t="str">
        <x:v>2026-06-30</x:v>
      </x:c>
      <x:c r="O284" s="63" t="str">
        <x:v>E0</x:v>
      </x:c>
      <x:c r="P284" s="63" t="str">
        <x:v>APPROVED</x:v>
      </x:c>
      <x:c r="Q284" s="64" t="b">
        <x:v>0</x:v>
      </x:c>
      <x:c r="R284" s="63" t="str">
        <x:v>STAKEHOLDER_RESPONSIBILITY</x:v>
      </x:c>
      <x:c r="S284" s="63" t="str">
        <x:v>Governed sector operating-model and responsibility policy</x:v>
      </x:c>
      <x:c r="T284" s="63"/>
      <x:c r="U284" s="63" t="str">
        <x:v>internal://v31/governed-policy</x:v>
      </x:c>
      <x:c r="V284" s="63" t="str">
        <x:v>e19d19412ef6128431a07292f4fa58d982e6bf3cc810c3073619aba2c06d1d79</x:v>
      </x:c>
    </x:row>
    <x:row r="285">
      <x:c r="A285" s="63" t="str">
        <x:v>bec:OUT-2025-REV</x:v>
      </x:c>
      <x:c r="B285" s="63" t="str">
        <x:v>E07</x:v>
      </x:c>
      <x:c r="C285" s="63" t="str">
        <x:v>insurance_revenue</x:v>
      </x:c>
      <x:c r="D285" s="63" t="str">
        <x:v>MONEY</x:v>
      </x:c>
      <x:c r="E285" s="63" t="str">
        <x:v>OBSERVED</x:v>
      </x:c>
      <x:c r="F285" s="65" t="n">
        <x:v>37131</x:v>
      </x:c>
      <x:c r="G285" s="66"/>
      <x:c r="H285" s="67"/>
      <x:c r="I285" s="63"/>
      <x:c r="J285" s="63" t="str">
        <x:v>ZAR</x:v>
      </x:c>
      <x:c r="K285" s="63" t="str">
        <x:v>million</x:v>
      </x:c>
      <x:c r="L285" s="63" t="str">
        <x:v>2024-07-01</x:v>
      </x:c>
      <x:c r="M285" s="63" t="str">
        <x:v>2025-06-30</x:v>
      </x:c>
      <x:c r="N285" s="63" t="str">
        <x:v>2025-09-15</x:v>
      </x:c>
      <x:c r="O285" s="63" t="str">
        <x:v>E1</x:v>
      </x:c>
      <x:c r="P285" s="63" t="str">
        <x:v>PENDING_REVIEW</x:v>
      </x:c>
      <x:c r="Q285" s="64" t="b">
        <x:v>1</x:v>
      </x:c>
      <x:c r="R285" s="63" t="str">
        <x:v>REVENUE_ENGINE</x:v>
      </x:c>
      <x:c r="S285" s="63" t="str">
        <x:v>OUTsurance Group Annual Financial Statements 2025</x:v>
      </x:c>
      <x:c r="T285" s="63" t="n">
        <x:v>19</x:v>
      </x:c>
      <x:c r="U285" s="63" t="str">
        <x:v>https://group.outsurance.co.za/globalassets/documents/investor-relations/reports-and-results/2025/ogl-annual-financial-statements-2025.pdf</x:v>
      </x:c>
      <x:c r="V285" s="63" t="str">
        <x:v>3f03545e101a357d73e3f26863473adc341b4b0382ab2b8248b322900ef38b3c</x:v>
      </x:c>
    </x:row>
    <x:row r="286">
      <x:c r="A286" s="63" t="str">
        <x:v>bec:OUT-2025-CASH</x:v>
      </x:c>
      <x:c r="B286" s="63" t="str">
        <x:v>E07</x:v>
      </x:c>
      <x:c r="C286" s="63" t="str">
        <x:v>cash_and_cash_equivalents</x:v>
      </x:c>
      <x:c r="D286" s="63" t="str">
        <x:v>MONEY</x:v>
      </x:c>
      <x:c r="E286" s="63" t="str">
        <x:v>OBSERVED</x:v>
      </x:c>
      <x:c r="F286" s="65" t="n">
        <x:v>1865</x:v>
      </x:c>
      <x:c r="G286" s="66"/>
      <x:c r="H286" s="67"/>
      <x:c r="I286" s="63"/>
      <x:c r="J286" s="63" t="str">
        <x:v>ZAR</x:v>
      </x:c>
      <x:c r="K286" s="63" t="str">
        <x:v>million</x:v>
      </x:c>
      <x:c r="L286" s="63" t="str">
        <x:v>2025-06-30</x:v>
      </x:c>
      <x:c r="M286" s="63" t="str">
        <x:v>2025-06-30</x:v>
      </x:c>
      <x:c r="N286" s="63" t="str">
        <x:v>2025-09-15</x:v>
      </x:c>
      <x:c r="O286" s="63" t="str">
        <x:v>E1</x:v>
      </x:c>
      <x:c r="P286" s="63" t="str">
        <x:v>PENDING_REVIEW</x:v>
      </x:c>
      <x:c r="Q286" s="64" t="b">
        <x:v>1</x:v>
      </x:c>
      <x:c r="R286" s="63" t="str">
        <x:v>LIQUIDITY_AND_BUFFER</x:v>
      </x:c>
      <x:c r="S286" s="63" t="str">
        <x:v>OUTsurance Group Annual Financial Statements 2025</x:v>
      </x:c>
      <x:c r="T286" s="63" t="n">
        <x:v>21</x:v>
      </x:c>
      <x:c r="U286" s="63" t="str">
        <x:v>https://group.outsurance.co.za/globalassets/documents/investor-relations/reports-and-results/2025/ogl-annual-financial-statements-2025.pdf</x:v>
      </x:c>
      <x:c r="V286" s="63" t="str">
        <x:v>3f03545e101a357d73e3f26863473adc341b4b0382ab2b8248b322900ef38b3c</x:v>
      </x:c>
    </x:row>
    <x:row r="287">
      <x:c r="A287" s="63" t="str">
        <x:v>bec:OUT-2025-INS-LIAB</x:v>
      </x:c>
      <x:c r="B287" s="63" t="str">
        <x:v>E07</x:v>
      </x:c>
      <x:c r="C287" s="63" t="str">
        <x:v>insurance_liabilities</x:v>
      </x:c>
      <x:c r="D287" s="63" t="str">
        <x:v>MONEY</x:v>
      </x:c>
      <x:c r="E287" s="63" t="str">
        <x:v>OBSERVED</x:v>
      </x:c>
      <x:c r="F287" s="65" t="n">
        <x:v>16229</x:v>
      </x:c>
      <x:c r="G287" s="66"/>
      <x:c r="H287" s="67"/>
      <x:c r="I287" s="63"/>
      <x:c r="J287" s="63" t="str">
        <x:v>ZAR</x:v>
      </x:c>
      <x:c r="K287" s="63" t="str">
        <x:v>million</x:v>
      </x:c>
      <x:c r="L287" s="63" t="str">
        <x:v>2025-06-30</x:v>
      </x:c>
      <x:c r="M287" s="63" t="str">
        <x:v>2025-06-30</x:v>
      </x:c>
      <x:c r="N287" s="63" t="str">
        <x:v>2025-09-15</x:v>
      </x:c>
      <x:c r="O287" s="63" t="str">
        <x:v>E1</x:v>
      </x:c>
      <x:c r="P287" s="63" t="str">
        <x:v>PENDING_REVIEW</x:v>
      </x:c>
      <x:c r="Q287" s="64" t="b">
        <x:v>0</x:v>
      </x:c>
      <x:c r="R287" s="63" t="str">
        <x:v>FUNDING_STRUCTURE</x:v>
      </x:c>
      <x:c r="S287" s="63" t="str">
        <x:v>OUTsurance Group Annual Financial Statements 2025</x:v>
      </x:c>
      <x:c r="T287" s="63" t="n">
        <x:v>21</x:v>
      </x:c>
      <x:c r="U287" s="63" t="str">
        <x:v>https://group.outsurance.co.za/globalassets/documents/investor-relations/reports-and-results/2025/ogl-annual-financial-statements-2025.pdf</x:v>
      </x:c>
      <x:c r="V287" s="63" t="str">
        <x:v>3f03545e101a357d73e3f26863473adc341b4b0382ab2b8248b322900ef38b3c</x:v>
      </x:c>
    </x:row>
    <x:row r="288">
      <x:c r="A288" s="63" t="str">
        <x:v>bec:E07:obs:flow:collections</x:v>
      </x:c>
      <x:c r="B288" s="63" t="str">
        <x:v>E07</x:v>
      </x:c>
      <x:c r="C288" s="63" t="str">
        <x:v>bank_observed_collections_ltm</x:v>
      </x:c>
      <x:c r="D288" s="63" t="str">
        <x:v>MONEY</x:v>
      </x:c>
      <x:c r="E288" s="63" t="str">
        <x:v>OBSERVED</x:v>
      </x:c>
      <x:c r="F288" s="65" t="n">
        <x:v>109422978.92000002</x:v>
      </x:c>
      <x:c r="G288" s="66"/>
      <x:c r="H288" s="67"/>
      <x:c r="I288" s="63"/>
      <x:c r="J288" s="63" t="str">
        <x:v>ZAR</x:v>
      </x:c>
      <x:c r="K288" s="63" t="str">
        <x:v>ZAR</x:v>
      </x:c>
      <x:c r="L288" s="63" t="str">
        <x:v>2025-06-01</x:v>
      </x:c>
      <x:c r="M288" s="63" t="str">
        <x:v>2026-06-30</x:v>
      </x:c>
      <x:c r="N288" s="63" t="str">
        <x:v>2026-06-30</x:v>
      </x:c>
      <x:c r="O288" s="63" t="str">
        <x:v>E0</x:v>
      </x:c>
      <x:c r="P288" s="63" t="str">
        <x:v>APPROVED</x:v>
      </x:c>
      <x:c r="Q288" s="64" t="b">
        <x:v>1</x:v>
      </x:c>
      <x:c r="R288" s="63" t="str">
        <x:v>REVENUE_ENGINE, WORKING_CAPITAL_CYCLE</x:v>
      </x:c>
      <x:c r="S288" s="63" t="str">
        <x:v>Syn Bank transaction and relationship simulation</x:v>
      </x:c>
      <x:c r="T288" s="63"/>
      <x:c r="U288" s="63" t="str">
        <x:v>internal://syn-bank/simulation/ltm</x:v>
      </x:c>
      <x:c r="V288" s="63" t="str">
        <x:v>10f7089ea17c8a3af3728155429f161ddd1cfa7ed2b292ecf78c4acda935cdb6</x:v>
      </x:c>
    </x:row>
    <x:row r="289">
      <x:c r="A289" s="63" t="str">
        <x:v>bec:E07:obs:trend:collections</x:v>
      </x:c>
      <x:c r="B289" s="63" t="str">
        <x:v>E07</x:v>
      </x:c>
      <x:c r="C289" s="63" t="str">
        <x:v>bank_observed_collections_yoy_change</x:v>
      </x:c>
      <x:c r="D289" s="63" t="str">
        <x:v>RATIO</x:v>
      </x:c>
      <x:c r="E289" s="63" t="str">
        <x:v>OBSERVED</x:v>
      </x:c>
      <x:c r="F289" s="65"/>
      <x:c r="G289" s="66" t="n">
        <x:v>0.131669</x:v>
      </x:c>
      <x:c r="H289" s="67"/>
      <x:c r="I289" s="63"/>
      <x:c r="J289" s="63"/>
      <x:c r="K289" s="63" t="str">
        <x:v>ratio</x:v>
      </x:c>
      <x:c r="L289" s="63" t="str">
        <x:v>2025-06-01</x:v>
      </x:c>
      <x:c r="M289" s="63" t="str">
        <x:v>2026-06-30</x:v>
      </x:c>
      <x:c r="N289" s="63" t="str">
        <x:v>2026-06-30</x:v>
      </x:c>
      <x:c r="O289" s="63" t="str">
        <x:v>E0</x:v>
      </x:c>
      <x:c r="P289" s="63" t="str">
        <x:v>APPROVED</x:v>
      </x:c>
      <x:c r="Q289" s="64" t="b">
        <x:v>0</x:v>
      </x:c>
      <x:c r="R289" s="63" t="str">
        <x:v>REVENUE_ENGINE, WORKING_CAPITAL_CYCLE</x:v>
      </x:c>
      <x:c r="S289" s="63" t="str">
        <x:v>Syn Bank transaction and relationship simulation</x:v>
      </x:c>
      <x:c r="T289" s="63"/>
      <x:c r="U289" s="63" t="str">
        <x:v>internal://syn-bank/simulation/ltm</x:v>
      </x:c>
      <x:c r="V289" s="63" t="str">
        <x:v>9e08bd8e896e8aae32cc9d43539b968488f93330893d2bfb2f4ce9632b792e8a</x:v>
      </x:c>
    </x:row>
    <x:row r="290">
      <x:c r="A290" s="63" t="str">
        <x:v>bec:E07:obs:flow:payments</x:v>
      </x:c>
      <x:c r="B290" s="63" t="str">
        <x:v>E07</x:v>
      </x:c>
      <x:c r="C290" s="63" t="str">
        <x:v>bank_observed_payments_ltm</x:v>
      </x:c>
      <x:c r="D290" s="63" t="str">
        <x:v>MONEY</x:v>
      </x:c>
      <x:c r="E290" s="63" t="str">
        <x:v>OBSERVED</x:v>
      </x:c>
      <x:c r="F290" s="65" t="n">
        <x:v>219822672.67999998</x:v>
      </x:c>
      <x:c r="G290" s="66"/>
      <x:c r="H290" s="67"/>
      <x:c r="I290" s="63"/>
      <x:c r="J290" s="63" t="str">
        <x:v>ZAR</x:v>
      </x:c>
      <x:c r="K290" s="63" t="str">
        <x:v>ZAR</x:v>
      </x:c>
      <x:c r="L290" s="63" t="str">
        <x:v>2025-06-01</x:v>
      </x:c>
      <x:c r="M290" s="63" t="str">
        <x:v>2026-06-30</x:v>
      </x:c>
      <x:c r="N290" s="63" t="str">
        <x:v>2026-06-30</x:v>
      </x:c>
      <x:c r="O290" s="63" t="str">
        <x:v>E0</x:v>
      </x:c>
      <x:c r="P290" s="63" t="str">
        <x:v>APPROVED</x:v>
      </x:c>
      <x:c r="Q290" s="64" t="b">
        <x:v>1</x:v>
      </x:c>
      <x:c r="R290" s="63" t="str">
        <x:v>COST_ENGINE, WORKING_CAPITAL_CYCLE</x:v>
      </x:c>
      <x:c r="S290" s="63" t="str">
        <x:v>Syn Bank transaction and relationship simulation</x:v>
      </x:c>
      <x:c r="T290" s="63"/>
      <x:c r="U290" s="63" t="str">
        <x:v>internal://syn-bank/simulation/ltm</x:v>
      </x:c>
      <x:c r="V290" s="63" t="str">
        <x:v>c724fc2a772ab1719dfd490b0cc17fc72eab9939c62b26658ca97a2798313e9a</x:v>
      </x:c>
    </x:row>
    <x:row r="291">
      <x:c r="A291" s="63" t="str">
        <x:v>bec:E07:obs:trend:payments</x:v>
      </x:c>
      <x:c r="B291" s="63" t="str">
        <x:v>E07</x:v>
      </x:c>
      <x:c r="C291" s="63" t="str">
        <x:v>bank_observed_payments_yoy_change</x:v>
      </x:c>
      <x:c r="D291" s="63" t="str">
        <x:v>RATIO</x:v>
      </x:c>
      <x:c r="E291" s="63" t="str">
        <x:v>OBSERVED</x:v>
      </x:c>
      <x:c r="F291" s="65"/>
      <x:c r="G291" s="66" t="n">
        <x:v>0.206135</x:v>
      </x:c>
      <x:c r="H291" s="67"/>
      <x:c r="I291" s="63"/>
      <x:c r="J291" s="63"/>
      <x:c r="K291" s="63" t="str">
        <x:v>ratio</x:v>
      </x:c>
      <x:c r="L291" s="63" t="str">
        <x:v>2025-06-01</x:v>
      </x:c>
      <x:c r="M291" s="63" t="str">
        <x:v>2026-06-30</x:v>
      </x:c>
      <x:c r="N291" s="63" t="str">
        <x:v>2026-06-30</x:v>
      </x:c>
      <x:c r="O291" s="63" t="str">
        <x:v>E0</x:v>
      </x:c>
      <x:c r="P291" s="63" t="str">
        <x:v>APPROVED</x:v>
      </x:c>
      <x:c r="Q291" s="64" t="b">
        <x:v>0</x:v>
      </x:c>
      <x:c r="R291" s="63" t="str">
        <x:v>COST_ENGINE, WORKING_CAPITAL_CYCLE</x:v>
      </x:c>
      <x:c r="S291" s="63" t="str">
        <x:v>Syn Bank transaction and relationship simulation</x:v>
      </x:c>
      <x:c r="T291" s="63"/>
      <x:c r="U291" s="63" t="str">
        <x:v>internal://syn-bank/simulation/ltm</x:v>
      </x:c>
      <x:c r="V291" s="63" t="str">
        <x:v>1468c8b6ae7af2629fedd1075abaed6f0c68e9b1e105a09aabbe7c54cd53ec4a</x:v>
      </x:c>
    </x:row>
    <x:row r="292">
      <x:c r="A292" s="63" t="str">
        <x:v>bec:E07:obs:flow:liquidity</x:v>
      </x:c>
      <x:c r="B292" s="63" t="str">
        <x:v>E07</x:v>
      </x:c>
      <x:c r="C292" s="63" t="str">
        <x:v>bank_observed_liquidity_ltm</x:v>
      </x:c>
      <x:c r="D292" s="63" t="str">
        <x:v>MONEY</x:v>
      </x:c>
      <x:c r="E292" s="63" t="str">
        <x:v>OBSERVED</x:v>
      </x:c>
      <x:c r="F292" s="65" t="n">
        <x:v>164622825.79999998</x:v>
      </x:c>
      <x:c r="G292" s="66"/>
      <x:c r="H292" s="67"/>
      <x:c r="I292" s="63"/>
      <x:c r="J292" s="63" t="str">
        <x:v>ZAR</x:v>
      </x:c>
      <x:c r="K292" s="63" t="str">
        <x:v>ZAR</x:v>
      </x:c>
      <x:c r="L292" s="63" t="str">
        <x:v>2025-06-01</x:v>
      </x:c>
      <x:c r="M292" s="63" t="str">
        <x:v>2026-06-30</x:v>
      </x:c>
      <x:c r="N292" s="63" t="str">
        <x:v>2026-06-30</x:v>
      </x:c>
      <x:c r="O292" s="63" t="str">
        <x:v>E0</x:v>
      </x:c>
      <x:c r="P292" s="63" t="str">
        <x:v>APPROVED</x:v>
      </x:c>
      <x:c r="Q292" s="64" t="b">
        <x:v>1</x:v>
      </x:c>
      <x:c r="R292" s="63" t="str">
        <x:v>LIQUIDITY_AND_BUFFER</x:v>
      </x:c>
      <x:c r="S292" s="63" t="str">
        <x:v>Syn Bank transaction and relationship simulation</x:v>
      </x:c>
      <x:c r="T292" s="63"/>
      <x:c r="U292" s="63" t="str">
        <x:v>internal://syn-bank/simulation/ltm</x:v>
      </x:c>
      <x:c r="V292" s="63" t="str">
        <x:v>6a3ae0ea901267c51c880125db197b619fc05b9b33b86d18ab445e0ffa97aed2</x:v>
      </x:c>
    </x:row>
    <x:row r="293">
      <x:c r="A293" s="63" t="str">
        <x:v>bec:E07:obs:trend:liquidity</x:v>
      </x:c>
      <x:c r="B293" s="63" t="str">
        <x:v>E07</x:v>
      </x:c>
      <x:c r="C293" s="63" t="str">
        <x:v>bank_observed_liquidity_yoy_change</x:v>
      </x:c>
      <x:c r="D293" s="63" t="str">
        <x:v>RATIO</x:v>
      </x:c>
      <x:c r="E293" s="63" t="str">
        <x:v>OBSERVED</x:v>
      </x:c>
      <x:c r="F293" s="65"/>
      <x:c r="G293" s="66" t="n">
        <x:v>0.180323</x:v>
      </x:c>
      <x:c r="H293" s="67"/>
      <x:c r="I293" s="63"/>
      <x:c r="J293" s="63"/>
      <x:c r="K293" s="63" t="str">
        <x:v>ratio</x:v>
      </x:c>
      <x:c r="L293" s="63" t="str">
        <x:v>2025-06-01</x:v>
      </x:c>
      <x:c r="M293" s="63" t="str">
        <x:v>2026-06-30</x:v>
      </x:c>
      <x:c r="N293" s="63" t="str">
        <x:v>2026-06-30</x:v>
      </x:c>
      <x:c r="O293" s="63" t="str">
        <x:v>E0</x:v>
      </x:c>
      <x:c r="P293" s="63" t="str">
        <x:v>APPROVED</x:v>
      </x:c>
      <x:c r="Q293" s="64" t="b">
        <x:v>0</x:v>
      </x:c>
      <x:c r="R293" s="63" t="str">
        <x:v>LIQUIDITY_AND_BUFFER</x:v>
      </x:c>
      <x:c r="S293" s="63" t="str">
        <x:v>Syn Bank transaction and relationship simulation</x:v>
      </x:c>
      <x:c r="T293" s="63"/>
      <x:c r="U293" s="63" t="str">
        <x:v>internal://syn-bank/simulation/ltm</x:v>
      </x:c>
      <x:c r="V293" s="63" t="str">
        <x:v>f7af34ad407d528cb785788a0ad81c446274e7b5c8067599c0a42448ca52571f</x:v>
      </x:c>
    </x:row>
    <x:row r="294">
      <x:c r="A294" s="63" t="str">
        <x:v>bec:E07:obs:flow:cross-border-fx</x:v>
      </x:c>
      <x:c r="B294" s="63" t="str">
        <x:v>E07</x:v>
      </x:c>
      <x:c r="C294" s="63" t="str">
        <x:v>bank_observed_cross_border_fx_ltm</x:v>
      </x:c>
      <x:c r="D294" s="63" t="str">
        <x:v>MONEY</x:v>
      </x:c>
      <x:c r="E294" s="63" t="str">
        <x:v>OBSERVED</x:v>
      </x:c>
      <x:c r="F294" s="65" t="n">
        <x:v>1135855217.79</x:v>
      </x:c>
      <x:c r="G294" s="66"/>
      <x:c r="H294" s="67"/>
      <x:c r="I294" s="63"/>
      <x:c r="J294" s="63" t="str">
        <x:v>ZAR</x:v>
      </x:c>
      <x:c r="K294" s="63" t="str">
        <x:v>ZAR</x:v>
      </x:c>
      <x:c r="L294" s="63" t="str">
        <x:v>2025-06-01</x:v>
      </x:c>
      <x:c r="M294" s="63" t="str">
        <x:v>2026-06-30</x:v>
      </x:c>
      <x:c r="N294" s="63" t="str">
        <x:v>2026-06-30</x:v>
      </x:c>
      <x:c r="O294" s="63" t="str">
        <x:v>E0</x:v>
      </x:c>
      <x:c r="P294" s="63" t="str">
        <x:v>APPROVED</x:v>
      </x:c>
      <x:c r="Q294" s="64" t="b">
        <x:v>1</x:v>
      </x:c>
      <x:c r="R294" s="63" t="str">
        <x:v>CURRENCY_AND_COMMODITY_EXPOSURE, GEOGRAPHIC_EXPOSURE</x:v>
      </x:c>
      <x:c r="S294" s="63" t="str">
        <x:v>Syn Bank transaction and relationship simulation</x:v>
      </x:c>
      <x:c r="T294" s="63"/>
      <x:c r="U294" s="63" t="str">
        <x:v>internal://syn-bank/simulation/ltm</x:v>
      </x:c>
      <x:c r="V294" s="63" t="str">
        <x:v>e2ca4fdb2da9c3e0746fa5e0791714067d81cdbd4bd9a7e483f752819b69e0a9</x:v>
      </x:c>
    </x:row>
    <x:row r="295">
      <x:c r="A295" s="63" t="str">
        <x:v>bec:E07:obs:trend:cross-border-fx</x:v>
      </x:c>
      <x:c r="B295" s="63" t="str">
        <x:v>E07</x:v>
      </x:c>
      <x:c r="C295" s="63" t="str">
        <x:v>bank_observed_cross_border_fx_yoy_change</x:v>
      </x:c>
      <x:c r="D295" s="63" t="str">
        <x:v>RATIO</x:v>
      </x:c>
      <x:c r="E295" s="63" t="str">
        <x:v>OBSERVED</x:v>
      </x:c>
      <x:c r="F295" s="65"/>
      <x:c r="G295" s="66" t="n">
        <x:v>0.370596</x:v>
      </x:c>
      <x:c r="H295" s="67"/>
      <x:c r="I295" s="63"/>
      <x:c r="J295" s="63"/>
      <x:c r="K295" s="63" t="str">
        <x:v>ratio</x:v>
      </x:c>
      <x:c r="L295" s="63" t="str">
        <x:v>2025-06-01</x:v>
      </x:c>
      <x:c r="M295" s="63" t="str">
        <x:v>2026-06-30</x:v>
      </x:c>
      <x:c r="N295" s="63" t="str">
        <x:v>2026-06-30</x:v>
      </x:c>
      <x:c r="O295" s="63" t="str">
        <x:v>E0</x:v>
      </x:c>
      <x:c r="P295" s="63" t="str">
        <x:v>APPROVED</x:v>
      </x:c>
      <x:c r="Q295" s="64" t="b">
        <x:v>0</x:v>
      </x:c>
      <x:c r="R295" s="63" t="str">
        <x:v>CURRENCY_AND_COMMODITY_EXPOSURE, GEOGRAPHIC_EXPOSURE</x:v>
      </x:c>
      <x:c r="S295" s="63" t="str">
        <x:v>Syn Bank transaction and relationship simulation</x:v>
      </x:c>
      <x:c r="T295" s="63"/>
      <x:c r="U295" s="63" t="str">
        <x:v>internal://syn-bank/simulation/ltm</x:v>
      </x:c>
      <x:c r="V295" s="63" t="str">
        <x:v>79c5b7d76ff4c24a9f7a1bb394a19fcfa54da51b1c828479a37ba4feeab81c62</x:v>
      </x:c>
    </x:row>
    <x:row r="296">
      <x:c r="A296" s="63" t="str">
        <x:v>bec:E07:obs:flow:trade-finance</x:v>
      </x:c>
      <x:c r="B296" s="63" t="str">
        <x:v>E07</x:v>
      </x:c>
      <x:c r="C296" s="63" t="str">
        <x:v>bank_observed_trade_finance_ltm</x:v>
      </x:c>
      <x:c r="D296" s="63" t="str">
        <x:v>MONEY</x:v>
      </x:c>
      <x:c r="E296" s="63" t="str">
        <x:v>OBSERVED</x:v>
      </x:c>
      <x:c r="F296" s="65" t="n">
        <x:v>78607464.89999999</x:v>
      </x:c>
      <x:c r="G296" s="66"/>
      <x:c r="H296" s="67"/>
      <x:c r="I296" s="63"/>
      <x:c r="J296" s="63" t="str">
        <x:v>ZAR</x:v>
      </x:c>
      <x:c r="K296" s="63" t="str">
        <x:v>ZAR</x:v>
      </x:c>
      <x:c r="L296" s="63" t="str">
        <x:v>2025-06-01</x:v>
      </x:c>
      <x:c r="M296" s="63" t="str">
        <x:v>2026-06-30</x:v>
      </x:c>
      <x:c r="N296" s="63" t="str">
        <x:v>2026-06-30</x:v>
      </x:c>
      <x:c r="O296" s="63" t="str">
        <x:v>E0</x:v>
      </x:c>
      <x:c r="P296" s="63" t="str">
        <x:v>APPROVED</x:v>
      </x:c>
      <x:c r="Q296" s="64" t="b">
        <x:v>1</x:v>
      </x:c>
      <x:c r="R296" s="63" t="str">
        <x:v>WORKING_CAPITAL_CYCLE, OPERATING_MODEL</x:v>
      </x:c>
      <x:c r="S296" s="63" t="str">
        <x:v>Syn Bank transaction and relationship simulation</x:v>
      </x:c>
      <x:c r="T296" s="63"/>
      <x:c r="U296" s="63" t="str">
        <x:v>internal://syn-bank/simulation/ltm</x:v>
      </x:c>
      <x:c r="V296" s="63" t="str">
        <x:v>4b3fdd81b97f030c1ffc78da74c17ac1cb5cfc67fd90f7a3a01df13d346df333</x:v>
      </x:c>
    </x:row>
    <x:row r="297">
      <x:c r="A297" s="63" t="str">
        <x:v>bec:E07:obs:trend:trade-finance</x:v>
      </x:c>
      <x:c r="B297" s="63" t="str">
        <x:v>E07</x:v>
      </x:c>
      <x:c r="C297" s="63" t="str">
        <x:v>bank_observed_trade_finance_yoy_change</x:v>
      </x:c>
      <x:c r="D297" s="63" t="str">
        <x:v>RATIO</x:v>
      </x:c>
      <x:c r="E297" s="63" t="str">
        <x:v>OBSERVED</x:v>
      </x:c>
      <x:c r="F297" s="65"/>
      <x:c r="G297" s="66" t="n">
        <x:v>-0.065597</x:v>
      </x:c>
      <x:c r="H297" s="67"/>
      <x:c r="I297" s="63"/>
      <x:c r="J297" s="63"/>
      <x:c r="K297" s="63" t="str">
        <x:v>ratio</x:v>
      </x:c>
      <x:c r="L297" s="63" t="str">
        <x:v>2025-06-01</x:v>
      </x:c>
      <x:c r="M297" s="63" t="str">
        <x:v>2026-06-30</x:v>
      </x:c>
      <x:c r="N297" s="63" t="str">
        <x:v>2026-06-30</x:v>
      </x:c>
      <x:c r="O297" s="63" t="str">
        <x:v>E0</x:v>
      </x:c>
      <x:c r="P297" s="63" t="str">
        <x:v>APPROVED</x:v>
      </x:c>
      <x:c r="Q297" s="64" t="b">
        <x:v>0</x:v>
      </x:c>
      <x:c r="R297" s="63" t="str">
        <x:v>WORKING_CAPITAL_CYCLE, OPERATING_MODEL</x:v>
      </x:c>
      <x:c r="S297" s="63" t="str">
        <x:v>Syn Bank transaction and relationship simulation</x:v>
      </x:c>
      <x:c r="T297" s="63"/>
      <x:c r="U297" s="63" t="str">
        <x:v>internal://syn-bank/simulation/ltm</x:v>
      </x:c>
      <x:c r="V297" s="63" t="str">
        <x:v>47e1a59163240db6f371e1c831406be6139f7269f535b74b67edec681064f4d9</x:v>
      </x:c>
    </x:row>
    <x:row r="298">
      <x:c r="A298" s="63" t="str">
        <x:v>bec:E07:obs:corridor:0</x:v>
      </x:c>
      <x:c r="B298" s="63" t="str">
        <x:v>E07</x:v>
      </x:c>
      <x:c r="C298" s="63" t="str">
        <x:v>bank_observed_corridor_value</x:v>
      </x:c>
      <x:c r="D298" s="63" t="str">
        <x:v>MONEY</x:v>
      </x:c>
      <x:c r="E298" s="63" t="str">
        <x:v>OBSERVED</x:v>
      </x:c>
      <x:c r="F298" s="65" t="n">
        <x:v>289782866.2300002</x:v>
      </x:c>
      <x:c r="G298" s="66"/>
      <x:c r="H298" s="67"/>
      <x:c r="I298" s="63"/>
      <x:c r="J298" s="63" t="str">
        <x:v>ZAR</x:v>
      </x:c>
      <x:c r="K298" s="63" t="str">
        <x:v>ZAR</x:v>
      </x:c>
      <x:c r="L298" s="63" t="str">
        <x:v>2025-06-01</x:v>
      </x:c>
      <x:c r="M298" s="63" t="str">
        <x:v>2026-06-30</x:v>
      </x:c>
      <x:c r="N298" s="63" t="str">
        <x:v>2026-06-30</x:v>
      </x:c>
      <x:c r="O298" s="63" t="str">
        <x:v>E0</x:v>
      </x:c>
      <x:c r="P298" s="63" t="str">
        <x:v>APPROVED</x:v>
      </x:c>
      <x:c r="Q298" s="64" t="b">
        <x:v>1</x:v>
      </x:c>
      <x:c r="R298" s="63" t="str">
        <x:v>GEOGRAPHIC_EXPOSURE</x:v>
      </x:c>
      <x:c r="S298" s="63" t="str">
        <x:v>Syn Bank transaction and relationship simulation</x:v>
      </x:c>
      <x:c r="T298" s="63"/>
      <x:c r="U298" s="63" t="str">
        <x:v>internal://syn-bank/simulation/ltm</x:v>
      </x:c>
      <x:c r="V298" s="63" t="str">
        <x:v>fde4ce9e5c05218d7fdf9723631894dc8c41f32916d55ca15610cf246bfe4cd5</x:v>
      </x:c>
    </x:row>
    <x:row r="299">
      <x:c r="A299" s="63" t="str">
        <x:v>bec:E07:obs:corridor-name:0</x:v>
      </x:c>
      <x:c r="B299" s="63" t="str">
        <x:v>E07</x:v>
      </x:c>
      <x:c r="C299" s="63" t="str">
        <x:v>bank_observed_corridor_country</x:v>
      </x:c>
      <x:c r="D299" s="63" t="str">
        <x:v>CATEGORICAL</x:v>
      </x:c>
      <x:c r="E299" s="63" t="str">
        <x:v>OBSERVED</x:v>
      </x:c>
      <x:c r="F299" s="65"/>
      <x:c r="G299" s="66"/>
      <x:c r="H299" s="67"/>
      <x:c r="I299" s="63" t="str">
        <x:v>Germany</x:v>
      </x:c>
      <x:c r="J299" s="63"/>
      <x:c r="K299" s="63" t="str">
        <x:v>country</x:v>
      </x:c>
      <x:c r="L299" s="63" t="str">
        <x:v>2025-06-01</x:v>
      </x:c>
      <x:c r="M299" s="63" t="str">
        <x:v>2026-06-30</x:v>
      </x:c>
      <x:c r="N299" s="63" t="str">
        <x:v>2026-06-30</x:v>
      </x:c>
      <x:c r="O299" s="63" t="str">
        <x:v>E0</x:v>
      </x:c>
      <x:c r="P299" s="63" t="str">
        <x:v>APPROVED</x:v>
      </x:c>
      <x:c r="Q299" s="64" t="b">
        <x:v>0</x:v>
      </x:c>
      <x:c r="R299" s="63" t="str">
        <x:v>GEOGRAPHIC_EXPOSURE</x:v>
      </x:c>
      <x:c r="S299" s="63" t="str">
        <x:v>Syn Bank transaction and relationship simulation</x:v>
      </x:c>
      <x:c r="T299" s="63"/>
      <x:c r="U299" s="63" t="str">
        <x:v>internal://syn-bank/simulation/ltm</x:v>
      </x:c>
      <x:c r="V299" s="63" t="str">
        <x:v>aa26d2c71e300c53b10642beec78c90cd6d5b198b54ec2461ef23f4ae6dfb15e</x:v>
      </x:c>
    </x:row>
    <x:row r="300">
      <x:c r="A300" s="63" t="str">
        <x:v>bec:E07:obs:corridor:1</x:v>
      </x:c>
      <x:c r="B300" s="63" t="str">
        <x:v>E07</x:v>
      </x:c>
      <x:c r="C300" s="63" t="str">
        <x:v>bank_observed_corridor_value</x:v>
      </x:c>
      <x:c r="D300" s="63" t="str">
        <x:v>MONEY</x:v>
      </x:c>
      <x:c r="E300" s="63" t="str">
        <x:v>OBSERVED</x:v>
      </x:c>
      <x:c r="F300" s="65" t="n">
        <x:v>268613656.04999995</x:v>
      </x:c>
      <x:c r="G300" s="66"/>
      <x:c r="H300" s="67"/>
      <x:c r="I300" s="63"/>
      <x:c r="J300" s="63" t="str">
        <x:v>ZAR</x:v>
      </x:c>
      <x:c r="K300" s="63" t="str">
        <x:v>ZAR</x:v>
      </x:c>
      <x:c r="L300" s="63" t="str">
        <x:v>2025-06-01</x:v>
      </x:c>
      <x:c r="M300" s="63" t="str">
        <x:v>2026-06-30</x:v>
      </x:c>
      <x:c r="N300" s="63" t="str">
        <x:v>2026-06-30</x:v>
      </x:c>
      <x:c r="O300" s="63" t="str">
        <x:v>E0</x:v>
      </x:c>
      <x:c r="P300" s="63" t="str">
        <x:v>APPROVED</x:v>
      </x:c>
      <x:c r="Q300" s="64" t="b">
        <x:v>0</x:v>
      </x:c>
      <x:c r="R300" s="63" t="str">
        <x:v>GEOGRAPHIC_EXPOSURE</x:v>
      </x:c>
      <x:c r="S300" s="63" t="str">
        <x:v>Syn Bank transaction and relationship simulation</x:v>
      </x:c>
      <x:c r="T300" s="63"/>
      <x:c r="U300" s="63" t="str">
        <x:v>internal://syn-bank/simulation/ltm</x:v>
      </x:c>
      <x:c r="V300" s="63" t="str">
        <x:v>0cad839fb63fd089b5f412f0c943342dccdf3f9bbde0b73f4cb5f56e73d07f1d</x:v>
      </x:c>
    </x:row>
    <x:row r="301">
      <x:c r="A301" s="63" t="str">
        <x:v>bec:E07:obs:corridor-name:1</x:v>
      </x:c>
      <x:c r="B301" s="63" t="str">
        <x:v>E07</x:v>
      </x:c>
      <x:c r="C301" s="63" t="str">
        <x:v>bank_observed_corridor_country</x:v>
      </x:c>
      <x:c r="D301" s="63" t="str">
        <x:v>CATEGORICAL</x:v>
      </x:c>
      <x:c r="E301" s="63" t="str">
        <x:v>OBSERVED</x:v>
      </x:c>
      <x:c r="F301" s="65"/>
      <x:c r="G301" s="66"/>
      <x:c r="H301" s="67"/>
      <x:c r="I301" s="63" t="str">
        <x:v>United Kingdom</x:v>
      </x:c>
      <x:c r="J301" s="63"/>
      <x:c r="K301" s="63" t="str">
        <x:v>country</x:v>
      </x:c>
      <x:c r="L301" s="63" t="str">
        <x:v>2025-06-01</x:v>
      </x:c>
      <x:c r="M301" s="63" t="str">
        <x:v>2026-06-30</x:v>
      </x:c>
      <x:c r="N301" s="63" t="str">
        <x:v>2026-06-30</x:v>
      </x:c>
      <x:c r="O301" s="63" t="str">
        <x:v>E0</x:v>
      </x:c>
      <x:c r="P301" s="63" t="str">
        <x:v>APPROVED</x:v>
      </x:c>
      <x:c r="Q301" s="64" t="b">
        <x:v>0</x:v>
      </x:c>
      <x:c r="R301" s="63" t="str">
        <x:v>GEOGRAPHIC_EXPOSURE</x:v>
      </x:c>
      <x:c r="S301" s="63" t="str">
        <x:v>Syn Bank transaction and relationship simulation</x:v>
      </x:c>
      <x:c r="T301" s="63"/>
      <x:c r="U301" s="63" t="str">
        <x:v>internal://syn-bank/simulation/ltm</x:v>
      </x:c>
      <x:c r="V301" s="63" t="str">
        <x:v>caa02bf86ddbcc4f6593f2a100dd1656b0e63bffbcd0a361ca1bd7f7d635809b</x:v>
      </x:c>
    </x:row>
    <x:row r="302">
      <x:c r="A302" s="63" t="str">
        <x:v>bec:E07:obs:corridor:2</x:v>
      </x:c>
      <x:c r="B302" s="63" t="str">
        <x:v>E07</x:v>
      </x:c>
      <x:c r="C302" s="63" t="str">
        <x:v>bank_observed_corridor_value</x:v>
      </x:c>
      <x:c r="D302" s="63" t="str">
        <x:v>MONEY</x:v>
      </x:c>
      <x:c r="E302" s="63" t="str">
        <x:v>OBSERVED</x:v>
      </x:c>
      <x:c r="F302" s="65" t="n">
        <x:v>266727509.49999976</x:v>
      </x:c>
      <x:c r="G302" s="66"/>
      <x:c r="H302" s="67"/>
      <x:c r="I302" s="63"/>
      <x:c r="J302" s="63" t="str">
        <x:v>ZAR</x:v>
      </x:c>
      <x:c r="K302" s="63" t="str">
        <x:v>ZAR</x:v>
      </x:c>
      <x:c r="L302" s="63" t="str">
        <x:v>2025-06-01</x:v>
      </x:c>
      <x:c r="M302" s="63" t="str">
        <x:v>2026-06-30</x:v>
      </x:c>
      <x:c r="N302" s="63" t="str">
        <x:v>2026-06-30</x:v>
      </x:c>
      <x:c r="O302" s="63" t="str">
        <x:v>E0</x:v>
      </x:c>
      <x:c r="P302" s="63" t="str">
        <x:v>APPROVED</x:v>
      </x:c>
      <x:c r="Q302" s="64" t="b">
        <x:v>0</x:v>
      </x:c>
      <x:c r="R302" s="63" t="str">
        <x:v>GEOGRAPHIC_EXPOSURE</x:v>
      </x:c>
      <x:c r="S302" s="63" t="str">
        <x:v>Syn Bank transaction and relationship simulation</x:v>
      </x:c>
      <x:c r="T302" s="63"/>
      <x:c r="U302" s="63" t="str">
        <x:v>internal://syn-bank/simulation/ltm</x:v>
      </x:c>
      <x:c r="V302" s="63" t="str">
        <x:v>9d4dba9423e150d65767c1ed24ec7be46d14350d916a0a43e40f386920a2fff6</x:v>
      </x:c>
    </x:row>
    <x:row r="303">
      <x:c r="A303" s="63" t="str">
        <x:v>bec:E07:obs:corridor-name:2</x:v>
      </x:c>
      <x:c r="B303" s="63" t="str">
        <x:v>E07</x:v>
      </x:c>
      <x:c r="C303" s="63" t="str">
        <x:v>bank_observed_corridor_country</x:v>
      </x:c>
      <x:c r="D303" s="63" t="str">
        <x:v>CATEGORICAL</x:v>
      </x:c>
      <x:c r="E303" s="63" t="str">
        <x:v>OBSERVED</x:v>
      </x:c>
      <x:c r="F303" s="65"/>
      <x:c r="G303" s="66"/>
      <x:c r="H303" s="67"/>
      <x:c r="I303" s="63" t="str">
        <x:v>United Arab Emirates</x:v>
      </x:c>
      <x:c r="J303" s="63"/>
      <x:c r="K303" s="63" t="str">
        <x:v>country</x:v>
      </x:c>
      <x:c r="L303" s="63" t="str">
        <x:v>2025-06-01</x:v>
      </x:c>
      <x:c r="M303" s="63" t="str">
        <x:v>2026-06-30</x:v>
      </x:c>
      <x:c r="N303" s="63" t="str">
        <x:v>2026-06-30</x:v>
      </x:c>
      <x:c r="O303" s="63" t="str">
        <x:v>E0</x:v>
      </x:c>
      <x:c r="P303" s="63" t="str">
        <x:v>APPROVED</x:v>
      </x:c>
      <x:c r="Q303" s="64" t="b">
        <x:v>0</x:v>
      </x:c>
      <x:c r="R303" s="63" t="str">
        <x:v>GEOGRAPHIC_EXPOSURE</x:v>
      </x:c>
      <x:c r="S303" s="63" t="str">
        <x:v>Syn Bank transaction and relationship simulation</x:v>
      </x:c>
      <x:c r="T303" s="63"/>
      <x:c r="U303" s="63" t="str">
        <x:v>internal://syn-bank/simulation/ltm</x:v>
      </x:c>
      <x:c r="V303" s="63" t="str">
        <x:v>ff6c2e164500fd2d6ff6ab52c588d036c52d86eb1a510fec0de767e2e4edacfb</x:v>
      </x:c>
    </x:row>
    <x:row r="304">
      <x:c r="A304" s="63" t="str">
        <x:v>bec:E07:obs:currency:0</x:v>
      </x:c>
      <x:c r="B304" s="63" t="str">
        <x:v>E07</x:v>
      </x:c>
      <x:c r="C304" s="63" t="str">
        <x:v>bank_observed_currency_pair_value</x:v>
      </x:c>
      <x:c r="D304" s="63" t="str">
        <x:v>MONEY</x:v>
      </x:c>
      <x:c r="E304" s="63" t="str">
        <x:v>OBSERVED</x:v>
      </x:c>
      <x:c r="F304" s="65" t="n">
        <x:v>504270858.1999997</x:v>
      </x:c>
      <x:c r="G304" s="66"/>
      <x:c r="H304" s="67"/>
      <x:c r="I304" s="63"/>
      <x:c r="J304" s="63" t="str">
        <x:v>ZAR</x:v>
      </x:c>
      <x:c r="K304" s="63" t="str">
        <x:v>ZAR</x:v>
      </x:c>
      <x:c r="L304" s="63" t="str">
        <x:v>2025-06-01</x:v>
      </x:c>
      <x:c r="M304" s="63" t="str">
        <x:v>2026-06-30</x:v>
      </x:c>
      <x:c r="N304" s="63" t="str">
        <x:v>2026-06-30</x:v>
      </x:c>
      <x:c r="O304" s="63" t="str">
        <x:v>E0</x:v>
      </x:c>
      <x:c r="P304" s="63" t="str">
        <x:v>APPROVED</x:v>
      </x:c>
      <x:c r="Q304" s="64" t="b">
        <x:v>1</x:v>
      </x:c>
      <x:c r="R304" s="63" t="str">
        <x:v>CURRENCY_AND_COMMODITY_EXPOSURE</x:v>
      </x:c>
      <x:c r="S304" s="63" t="str">
        <x:v>Syn Bank transaction and relationship simulation</x:v>
      </x:c>
      <x:c r="T304" s="63"/>
      <x:c r="U304" s="63" t="str">
        <x:v>internal://syn-bank/simulation/ltm</x:v>
      </x:c>
      <x:c r="V304" s="63" t="str">
        <x:v>62778807f94d462c4c2449345fc77c10e829faf8d98789bb680a8c9b037ec901</x:v>
      </x:c>
    </x:row>
    <x:row r="305">
      <x:c r="A305" s="63" t="str">
        <x:v>bec:E07:obs:currency-pair:0</x:v>
      </x:c>
      <x:c r="B305" s="63" t="str">
        <x:v>E07</x:v>
      </x:c>
      <x:c r="C305" s="63" t="str">
        <x:v>bank_observed_currency_pair</x:v>
      </x:c>
      <x:c r="D305" s="63" t="str">
        <x:v>CATEGORICAL</x:v>
      </x:c>
      <x:c r="E305" s="63" t="str">
        <x:v>OBSERVED</x:v>
      </x:c>
      <x:c r="F305" s="65"/>
      <x:c r="G305" s="66"/>
      <x:c r="H305" s="67"/>
      <x:c r="I305" s="63" t="str">
        <x:v>EUR/ZAR</x:v>
      </x:c>
      <x:c r="J305" s="63"/>
      <x:c r="K305" s="63" t="str">
        <x:v>currency_pair</x:v>
      </x:c>
      <x:c r="L305" s="63" t="str">
        <x:v>2025-06-01</x:v>
      </x:c>
      <x:c r="M305" s="63" t="str">
        <x:v>2026-06-30</x:v>
      </x:c>
      <x:c r="N305" s="63" t="str">
        <x:v>2026-06-30</x:v>
      </x:c>
      <x:c r="O305" s="63" t="str">
        <x:v>E0</x:v>
      </x:c>
      <x:c r="P305" s="63" t="str">
        <x:v>APPROVED</x:v>
      </x:c>
      <x:c r="Q305" s="64" t="b">
        <x:v>0</x:v>
      </x:c>
      <x:c r="R305" s="63" t="str">
        <x:v>CURRENCY_AND_COMMODITY_EXPOSURE</x:v>
      </x:c>
      <x:c r="S305" s="63" t="str">
        <x:v>Syn Bank transaction and relationship simulation</x:v>
      </x:c>
      <x:c r="T305" s="63"/>
      <x:c r="U305" s="63" t="str">
        <x:v>internal://syn-bank/simulation/ltm</x:v>
      </x:c>
      <x:c r="V305" s="63" t="str">
        <x:v>c6e266128702938a86c47ee66e518f480e4824ba4808e5acebf5eb4d823bad4a</x:v>
      </x:c>
    </x:row>
    <x:row r="306">
      <x:c r="A306" s="63" t="str">
        <x:v>bec:E07:obs:currency:1</x:v>
      </x:c>
      <x:c r="B306" s="63" t="str">
        <x:v>E07</x:v>
      </x:c>
      <x:c r="C306" s="63" t="str">
        <x:v>bank_observed_currency_pair_value</x:v>
      </x:c>
      <x:c r="D306" s="63" t="str">
        <x:v>MONEY</x:v>
      </x:c>
      <x:c r="E306" s="63" t="str">
        <x:v>OBSERVED</x:v>
      </x:c>
      <x:c r="F306" s="65" t="n">
        <x:v>489123078.7299999</x:v>
      </x:c>
      <x:c r="G306" s="66"/>
      <x:c r="H306" s="67"/>
      <x:c r="I306" s="63"/>
      <x:c r="J306" s="63" t="str">
        <x:v>ZAR</x:v>
      </x:c>
      <x:c r="K306" s="63" t="str">
        <x:v>ZAR</x:v>
      </x:c>
      <x:c r="L306" s="63" t="str">
        <x:v>2025-06-01</x:v>
      </x:c>
      <x:c r="M306" s="63" t="str">
        <x:v>2026-06-30</x:v>
      </x:c>
      <x:c r="N306" s="63" t="str">
        <x:v>2026-06-30</x:v>
      </x:c>
      <x:c r="O306" s="63" t="str">
        <x:v>E0</x:v>
      </x:c>
      <x:c r="P306" s="63" t="str">
        <x:v>APPROVED</x:v>
      </x:c>
      <x:c r="Q306" s="64" t="b">
        <x:v>0</x:v>
      </x:c>
      <x:c r="R306" s="63" t="str">
        <x:v>CURRENCY_AND_COMMODITY_EXPOSURE</x:v>
      </x:c>
      <x:c r="S306" s="63" t="str">
        <x:v>Syn Bank transaction and relationship simulation</x:v>
      </x:c>
      <x:c r="T306" s="63"/>
      <x:c r="U306" s="63" t="str">
        <x:v>internal://syn-bank/simulation/ltm</x:v>
      </x:c>
      <x:c r="V306" s="63" t="str">
        <x:v>167bcfd2cbf0224d94d3ca71e1daf16754a8f64980c623605d3bf34b8b1c74b8</x:v>
      </x:c>
    </x:row>
    <x:row r="307">
      <x:c r="A307" s="63" t="str">
        <x:v>bec:E07:obs:currency-pair:1</x:v>
      </x:c>
      <x:c r="B307" s="63" t="str">
        <x:v>E07</x:v>
      </x:c>
      <x:c r="C307" s="63" t="str">
        <x:v>bank_observed_currency_pair</x:v>
      </x:c>
      <x:c r="D307" s="63" t="str">
        <x:v>CATEGORICAL</x:v>
      </x:c>
      <x:c r="E307" s="63" t="str">
        <x:v>OBSERVED</x:v>
      </x:c>
      <x:c r="F307" s="65"/>
      <x:c r="G307" s="66"/>
      <x:c r="H307" s="67"/>
      <x:c r="I307" s="63" t="str">
        <x:v>AED/ZAR</x:v>
      </x:c>
      <x:c r="J307" s="63"/>
      <x:c r="K307" s="63" t="str">
        <x:v>currency_pair</x:v>
      </x:c>
      <x:c r="L307" s="63" t="str">
        <x:v>2025-06-01</x:v>
      </x:c>
      <x:c r="M307" s="63" t="str">
        <x:v>2026-06-30</x:v>
      </x:c>
      <x:c r="N307" s="63" t="str">
        <x:v>2026-06-30</x:v>
      </x:c>
      <x:c r="O307" s="63" t="str">
        <x:v>E0</x:v>
      </x:c>
      <x:c r="P307" s="63" t="str">
        <x:v>APPROVED</x:v>
      </x:c>
      <x:c r="Q307" s="64" t="b">
        <x:v>0</x:v>
      </x:c>
      <x:c r="R307" s="63" t="str">
        <x:v>CURRENCY_AND_COMMODITY_EXPOSURE</x:v>
      </x:c>
      <x:c r="S307" s="63" t="str">
        <x:v>Syn Bank transaction and relationship simulation</x:v>
      </x:c>
      <x:c r="T307" s="63"/>
      <x:c r="U307" s="63" t="str">
        <x:v>internal://syn-bank/simulation/ltm</x:v>
      </x:c>
      <x:c r="V307" s="63" t="str">
        <x:v>f772bd842b16ac60c403795000ce881a2ab206542960419e2851a7407a38dcea</x:v>
      </x:c>
    </x:row>
    <x:row r="308">
      <x:c r="A308" s="63" t="str">
        <x:v>bec:E07:obs:currency:2</x:v>
      </x:c>
      <x:c r="B308" s="63" t="str">
        <x:v>E07</x:v>
      </x:c>
      <x:c r="C308" s="63" t="str">
        <x:v>bank_observed_currency_pair_value</x:v>
      </x:c>
      <x:c r="D308" s="63" t="str">
        <x:v>MONEY</x:v>
      </x:c>
      <x:c r="E308" s="63" t="str">
        <x:v>OBSERVED</x:v>
      </x:c>
      <x:c r="F308" s="65" t="n">
        <x:v>471378251.28000015</x:v>
      </x:c>
      <x:c r="G308" s="66"/>
      <x:c r="H308" s="67"/>
      <x:c r="I308" s="63"/>
      <x:c r="J308" s="63" t="str">
        <x:v>ZAR</x:v>
      </x:c>
      <x:c r="K308" s="63" t="str">
        <x:v>ZAR</x:v>
      </x:c>
      <x:c r="L308" s="63" t="str">
        <x:v>2025-06-01</x:v>
      </x:c>
      <x:c r="M308" s="63" t="str">
        <x:v>2026-06-30</x:v>
      </x:c>
      <x:c r="N308" s="63" t="str">
        <x:v>2026-06-30</x:v>
      </x:c>
      <x:c r="O308" s="63" t="str">
        <x:v>E0</x:v>
      </x:c>
      <x:c r="P308" s="63" t="str">
        <x:v>APPROVED</x:v>
      </x:c>
      <x:c r="Q308" s="64" t="b">
        <x:v>0</x:v>
      </x:c>
      <x:c r="R308" s="63" t="str">
        <x:v>CURRENCY_AND_COMMODITY_EXPOSURE</x:v>
      </x:c>
      <x:c r="S308" s="63" t="str">
        <x:v>Syn Bank transaction and relationship simulation</x:v>
      </x:c>
      <x:c r="T308" s="63"/>
      <x:c r="U308" s="63" t="str">
        <x:v>internal://syn-bank/simulation/ltm</x:v>
      </x:c>
      <x:c r="V308" s="63" t="str">
        <x:v>d89dacc734f24a544425c5384d778c443aa153aa4640d668b671b4e344b8c34a</x:v>
      </x:c>
    </x:row>
    <x:row r="309">
      <x:c r="A309" s="63" t="str">
        <x:v>bec:E07:obs:currency-pair:2</x:v>
      </x:c>
      <x:c r="B309" s="63" t="str">
        <x:v>E07</x:v>
      </x:c>
      <x:c r="C309" s="63" t="str">
        <x:v>bank_observed_currency_pair</x:v>
      </x:c>
      <x:c r="D309" s="63" t="str">
        <x:v>CATEGORICAL</x:v>
      </x:c>
      <x:c r="E309" s="63" t="str">
        <x:v>OBSERVED</x:v>
      </x:c>
      <x:c r="F309" s="65"/>
      <x:c r="G309" s="66"/>
      <x:c r="H309" s="67"/>
      <x:c r="I309" s="63" t="str">
        <x:v>GBP/ZAR</x:v>
      </x:c>
      <x:c r="J309" s="63"/>
      <x:c r="K309" s="63" t="str">
        <x:v>currency_pair</x:v>
      </x:c>
      <x:c r="L309" s="63" t="str">
        <x:v>2025-06-01</x:v>
      </x:c>
      <x:c r="M309" s="63" t="str">
        <x:v>2026-06-30</x:v>
      </x:c>
      <x:c r="N309" s="63" t="str">
        <x:v>2026-06-30</x:v>
      </x:c>
      <x:c r="O309" s="63" t="str">
        <x:v>E0</x:v>
      </x:c>
      <x:c r="P309" s="63" t="str">
        <x:v>APPROVED</x:v>
      </x:c>
      <x:c r="Q309" s="64" t="b">
        <x:v>0</x:v>
      </x:c>
      <x:c r="R309" s="63" t="str">
        <x:v>CURRENCY_AND_COMMODITY_EXPOSURE</x:v>
      </x:c>
      <x:c r="S309" s="63" t="str">
        <x:v>Syn Bank transaction and relationship simulation</x:v>
      </x:c>
      <x:c r="T309" s="63"/>
      <x:c r="U309" s="63" t="str">
        <x:v>internal://syn-bank/simulation/ltm</x:v>
      </x:c>
      <x:c r="V309" s="63" t="str">
        <x:v>2e925a6769e33b0796e49f023269124bbe917bb732252a236f12722d5d9c8282</x:v>
      </x:c>
    </x:row>
    <x:row r="310">
      <x:c r="A310" s="63" t="str">
        <x:v>bec:E07:obs:country-count</x:v>
      </x:c>
      <x:c r="B310" s="63" t="str">
        <x:v>E07</x:v>
      </x:c>
      <x:c r="C310" s="63" t="str">
        <x:v>bank_observed_active_country_count</x:v>
      </x:c>
      <x:c r="D310" s="63" t="str">
        <x:v>COUNT</x:v>
      </x:c>
      <x:c r="E310" s="63" t="str">
        <x:v>OBSERVED</x:v>
      </x:c>
      <x:c r="F310" s="65"/>
      <x:c r="G310" s="66"/>
      <x:c r="H310" s="67" t="n">
        <x:v>10</x:v>
      </x:c>
      <x:c r="I310" s="63"/>
      <x:c r="J310" s="63"/>
      <x:c r="K310" s="63" t="str">
        <x:v>countries</x:v>
      </x:c>
      <x:c r="L310" s="63" t="str">
        <x:v>2025-06-01</x:v>
      </x:c>
      <x:c r="M310" s="63" t="str">
        <x:v>2026-06-30</x:v>
      </x:c>
      <x:c r="N310" s="63" t="str">
        <x:v>2026-06-30</x:v>
      </x:c>
      <x:c r="O310" s="63" t="str">
        <x:v>E0</x:v>
      </x:c>
      <x:c r="P310" s="63" t="str">
        <x:v>APPROVED</x:v>
      </x:c>
      <x:c r="Q310" s="64" t="b">
        <x:v>1</x:v>
      </x:c>
      <x:c r="R310" s="63" t="str">
        <x:v>GEOGRAPHIC_EXPOSURE</x:v>
      </x:c>
      <x:c r="S310" s="63" t="str">
        <x:v>Syn Bank transaction and relationship simulation</x:v>
      </x:c>
      <x:c r="T310" s="63"/>
      <x:c r="U310" s="63" t="str">
        <x:v>internal://syn-bank/simulation/ltm</x:v>
      </x:c>
      <x:c r="V310" s="63" t="str">
        <x:v>fa8691545758c88d02ddc4ed5d16289d46bc4482fbbe27191d8a651ae8fe2f6a</x:v>
      </x:c>
    </x:row>
    <x:row r="311">
      <x:c r="A311" s="63" t="str">
        <x:v>bec:E07:obs:relationship-breadth</x:v>
      </x:c>
      <x:c r="B311" s="63" t="str">
        <x:v>E07</x:v>
      </x:c>
      <x:c r="C311" s="63" t="str">
        <x:v>bank_observed_product_relationship_breadth</x:v>
      </x:c>
      <x:c r="D311" s="63" t="str">
        <x:v>COUNT</x:v>
      </x:c>
      <x:c r="E311" s="63" t="str">
        <x:v>OBSERVED</x:v>
      </x:c>
      <x:c r="F311" s="65"/>
      <x:c r="G311" s="66"/>
      <x:c r="H311" s="67" t="n">
        <x:v>5</x:v>
      </x:c>
      <x:c r="I311" s="63"/>
      <x:c r="J311" s="63"/>
      <x:c r="K311" s="63" t="str">
        <x:v>products</x:v>
      </x:c>
      <x:c r="L311" s="63" t="str">
        <x:v>2025-06-01</x:v>
      </x:c>
      <x:c r="M311" s="63" t="str">
        <x:v>2026-06-30</x:v>
      </x:c>
      <x:c r="N311" s="63" t="str">
        <x:v>2026-06-30</x:v>
      </x:c>
      <x:c r="O311" s="63" t="str">
        <x:v>E0</x:v>
      </x:c>
      <x:c r="P311" s="63" t="str">
        <x:v>APPROVED</x:v>
      </x:c>
      <x:c r="Q311" s="64" t="b">
        <x:v>1</x:v>
      </x:c>
      <x:c r="R311" s="63" t="str">
        <x:v>OPERATING_MODEL</x:v>
      </x:c>
      <x:c r="S311" s="63" t="str">
        <x:v>Syn Bank transaction and relationship simulation</x:v>
      </x:c>
      <x:c r="T311" s="63"/>
      <x:c r="U311" s="63" t="str">
        <x:v>internal://syn-bank/simulation/ltm</x:v>
      </x:c>
      <x:c r="V311" s="63" t="str">
        <x:v>ec34ac2209a566e9d743245e81f672e5871ad7230c292432c31823f769413daa</x:v>
      </x:c>
    </x:row>
    <x:row r="312">
      <x:c r="A312" s="63" t="str">
        <x:v>bec:E07:obs:latent:operating_scale</x:v>
      </x:c>
      <x:c r="B312" s="63" t="str">
        <x:v>E07</x:v>
      </x:c>
      <x:c r="C312" s="63" t="str">
        <x:v>bank_observed_operating_scale_index</x:v>
      </x:c>
      <x:c r="D312" s="63" t="str">
        <x:v>RATIO</x:v>
      </x:c>
      <x:c r="E312" s="63" t="str">
        <x:v>OBSERVED</x:v>
      </x:c>
      <x:c r="F312" s="65"/>
      <x:c r="G312" s="66" t="n">
        <x:v>0.25</x:v>
      </x:c>
      <x:c r="H312" s="67"/>
      <x:c r="I312" s="63"/>
      <x:c r="J312" s="63"/>
      <x:c r="K312" s="63" t="str">
        <x:v>index_0_1</x:v>
      </x:c>
      <x:c r="L312" s="63" t="str">
        <x:v>2025-06-01</x:v>
      </x:c>
      <x:c r="M312" s="63" t="str">
        <x:v>2026-06-30</x:v>
      </x:c>
      <x:c r="N312" s="63" t="str">
        <x:v>2026-06-30</x:v>
      </x:c>
      <x:c r="O312" s="63" t="str">
        <x:v>E0</x:v>
      </x:c>
      <x:c r="P312" s="63" t="str">
        <x:v>APPROVED</x:v>
      </x:c>
      <x:c r="Q312" s="64" t="b">
        <x:v>0</x:v>
      </x:c>
      <x:c r="R312" s="63" t="str">
        <x:v>OPERATING_MODEL</x:v>
      </x:c>
      <x:c r="S312" s="63" t="str">
        <x:v>Syn Bank transaction and relationship simulation</x:v>
      </x:c>
      <x:c r="T312" s="63"/>
      <x:c r="U312" s="63" t="str">
        <x:v>internal://syn-bank/simulation/ltm</x:v>
      </x:c>
      <x:c r="V312" s="63" t="str">
        <x:v>2b9851d444ea02356da1606234ffacdb35589acc7b6777e9bd1b325f3a5835d5</x:v>
      </x:c>
    </x:row>
    <x:row r="313">
      <x:c r="A313" s="63" t="str">
        <x:v>bec:E07:obs:latent:working_capital_intensity</x:v>
      </x:c>
      <x:c r="B313" s="63" t="str">
        <x:v>E07</x:v>
      </x:c>
      <x:c r="C313" s="63" t="str">
        <x:v>bank_observed_working_capital_intensity_index</x:v>
      </x:c>
      <x:c r="D313" s="63" t="str">
        <x:v>RATIO</x:v>
      </x:c>
      <x:c r="E313" s="63" t="str">
        <x:v>OBSERVED</x:v>
      </x:c>
      <x:c r="F313" s="65"/>
      <x:c r="G313" s="66" t="n">
        <x:v>0.213</x:v>
      </x:c>
      <x:c r="H313" s="67"/>
      <x:c r="I313" s="63"/>
      <x:c r="J313" s="63"/>
      <x:c r="K313" s="63" t="str">
        <x:v>index_0_1</x:v>
      </x:c>
      <x:c r="L313" s="63" t="str">
        <x:v>2025-06-01</x:v>
      </x:c>
      <x:c r="M313" s="63" t="str">
        <x:v>2026-06-30</x:v>
      </x:c>
      <x:c r="N313" s="63" t="str">
        <x:v>2026-06-30</x:v>
      </x:c>
      <x:c r="O313" s="63" t="str">
        <x:v>E0</x:v>
      </x:c>
      <x:c r="P313" s="63" t="str">
        <x:v>APPROVED</x:v>
      </x:c>
      <x:c r="Q313" s="64" t="b">
        <x:v>0</x:v>
      </x:c>
      <x:c r="R313" s="63" t="str">
        <x:v>WORKING_CAPITAL_CYCLE</x:v>
      </x:c>
      <x:c r="S313" s="63" t="str">
        <x:v>Syn Bank transaction and relationship simulation</x:v>
      </x:c>
      <x:c r="T313" s="63"/>
      <x:c r="U313" s="63" t="str">
        <x:v>internal://syn-bank/simulation/ltm</x:v>
      </x:c>
      <x:c r="V313" s="63" t="str">
        <x:v>2bbf7acef12bca95c23b13b9aa2627e7c0414c7f736bc85e6b28556d24472bb7</x:v>
      </x:c>
    </x:row>
    <x:row r="314">
      <x:c r="A314" s="63" t="str">
        <x:v>bec:E07:obs:latent:liquidity_volatility</x:v>
      </x:c>
      <x:c r="B314" s="63" t="str">
        <x:v>E07</x:v>
      </x:c>
      <x:c r="C314" s="63" t="str">
        <x:v>bank_observed_liquidity_volatility_index</x:v>
      </x:c>
      <x:c r="D314" s="63" t="str">
        <x:v>RATIO</x:v>
      </x:c>
      <x:c r="E314" s="63" t="str">
        <x:v>OBSERVED</x:v>
      </x:c>
      <x:c r="F314" s="65"/>
      <x:c r="G314" s="66" t="n">
        <x:v>0.124</x:v>
      </x:c>
      <x:c r="H314" s="67"/>
      <x:c r="I314" s="63"/>
      <x:c r="J314" s="63"/>
      <x:c r="K314" s="63" t="str">
        <x:v>index_0_1</x:v>
      </x:c>
      <x:c r="L314" s="63" t="str">
        <x:v>2025-06-01</x:v>
      </x:c>
      <x:c r="M314" s="63" t="str">
        <x:v>2026-06-30</x:v>
      </x:c>
      <x:c r="N314" s="63" t="str">
        <x:v>2026-06-30</x:v>
      </x:c>
      <x:c r="O314" s="63" t="str">
        <x:v>E0</x:v>
      </x:c>
      <x:c r="P314" s="63" t="str">
        <x:v>APPROVED</x:v>
      </x:c>
      <x:c r="Q314" s="64" t="b">
        <x:v>0</x:v>
      </x:c>
      <x:c r="R314" s="63" t="str">
        <x:v>LIQUIDITY_AND_BUFFER</x:v>
      </x:c>
      <x:c r="S314" s="63" t="str">
        <x:v>Syn Bank transaction and relationship simulation</x:v>
      </x:c>
      <x:c r="T314" s="63"/>
      <x:c r="U314" s="63" t="str">
        <x:v>internal://syn-bank/simulation/ltm</x:v>
      </x:c>
      <x:c r="V314" s="63" t="str">
        <x:v>b8983fb0d855f2711db115b90eda4ac8786b4f7785c0f3ca2e1bb31c6d65e8ac</x:v>
      </x:c>
    </x:row>
    <x:row r="315">
      <x:c r="A315" s="63" t="str">
        <x:v>bec:E07:obs:latent:international_exposure</x:v>
      </x:c>
      <x:c r="B315" s="63" t="str">
        <x:v>E07</x:v>
      </x:c>
      <x:c r="C315" s="63" t="str">
        <x:v>bank_observed_international_exposure_index</x:v>
      </x:c>
      <x:c r="D315" s="63" t="str">
        <x:v>RATIO</x:v>
      </x:c>
      <x:c r="E315" s="63" t="str">
        <x:v>OBSERVED</x:v>
      </x:c>
      <x:c r="F315" s="65"/>
      <x:c r="G315" s="66" t="n">
        <x:v>0.787</x:v>
      </x:c>
      <x:c r="H315" s="67"/>
      <x:c r="I315" s="63"/>
      <x:c r="J315" s="63"/>
      <x:c r="K315" s="63" t="str">
        <x:v>index_0_1</x:v>
      </x:c>
      <x:c r="L315" s="63" t="str">
        <x:v>2025-06-01</x:v>
      </x:c>
      <x:c r="M315" s="63" t="str">
        <x:v>2026-06-30</x:v>
      </x:c>
      <x:c r="N315" s="63" t="str">
        <x:v>2026-06-30</x:v>
      </x:c>
      <x:c r="O315" s="63" t="str">
        <x:v>E0</x:v>
      </x:c>
      <x:c r="P315" s="63" t="str">
        <x:v>APPROVED</x:v>
      </x:c>
      <x:c r="Q315" s="64" t="b">
        <x:v>0</x:v>
      </x:c>
      <x:c r="R315" s="63" t="str">
        <x:v>GEOGRAPHIC_EXPOSURE</x:v>
      </x:c>
      <x:c r="S315" s="63" t="str">
        <x:v>Syn Bank transaction and relationship simulation</x:v>
      </x:c>
      <x:c r="T315" s="63"/>
      <x:c r="U315" s="63" t="str">
        <x:v>internal://syn-bank/simulation/ltm</x:v>
      </x:c>
      <x:c r="V315" s="63" t="str">
        <x:v>4fde7d2662c8391e667b3fad37e60530f14159d9068191106ab7726d7797c68d</x:v>
      </x:c>
    </x:row>
    <x:row r="316">
      <x:c r="A316" s="63" t="str">
        <x:v>bec:E07:obs:latent:financing_need</x:v>
      </x:c>
      <x:c r="B316" s="63" t="str">
        <x:v>E07</x:v>
      </x:c>
      <x:c r="C316" s="63" t="str">
        <x:v>bank_observed_financing_need_index</x:v>
      </x:c>
      <x:c r="D316" s="63" t="str">
        <x:v>RATIO</x:v>
      </x:c>
      <x:c r="E316" s="63" t="str">
        <x:v>OBSERVED</x:v>
      </x:c>
      <x:c r="F316" s="65"/>
      <x:c r="G316" s="66" t="n">
        <x:v>0.058</x:v>
      </x:c>
      <x:c r="H316" s="67"/>
      <x:c r="I316" s="63"/>
      <x:c r="J316" s="63"/>
      <x:c r="K316" s="63" t="str">
        <x:v>index_0_1</x:v>
      </x:c>
      <x:c r="L316" s="63" t="str">
        <x:v>2025-06-01</x:v>
      </x:c>
      <x:c r="M316" s="63" t="str">
        <x:v>2026-06-30</x:v>
      </x:c>
      <x:c r="N316" s="63" t="str">
        <x:v>2026-06-30</x:v>
      </x:c>
      <x:c r="O316" s="63" t="str">
        <x:v>E0</x:v>
      </x:c>
      <x:c r="P316" s="63" t="str">
        <x:v>APPROVED</x:v>
      </x:c>
      <x:c r="Q316" s="64" t="b">
        <x:v>0</x:v>
      </x:c>
      <x:c r="R316" s="63" t="str">
        <x:v>FUNDING_STRUCTURE</x:v>
      </x:c>
      <x:c r="S316" s="63" t="str">
        <x:v>Syn Bank transaction and relationship simulation</x:v>
      </x:c>
      <x:c r="T316" s="63"/>
      <x:c r="U316" s="63" t="str">
        <x:v>internal://syn-bank/simulation/ltm</x:v>
      </x:c>
      <x:c r="V316" s="63" t="str">
        <x:v>e65f408108d2e42ae34e19bc105dca80fc0a64e8fb123e12cc35c309e2df61bd</x:v>
      </x:c>
    </x:row>
    <x:row r="317">
      <x:c r="A317" s="63" t="str">
        <x:v>bec:E07:obs:latent:event_intensity</x:v>
      </x:c>
      <x:c r="B317" s="63" t="str">
        <x:v>E07</x:v>
      </x:c>
      <x:c r="C317" s="63" t="str">
        <x:v>bank_observed_event_intensity_index</x:v>
      </x:c>
      <x:c r="D317" s="63" t="str">
        <x:v>RATIO</x:v>
      </x:c>
      <x:c r="E317" s="63" t="str">
        <x:v>OBSERVED</x:v>
      </x:c>
      <x:c r="F317" s="65"/>
      <x:c r="G317" s="66" t="n">
        <x:v>1</x:v>
      </x:c>
      <x:c r="H317" s="67"/>
      <x:c r="I317" s="63"/>
      <x:c r="J317" s="63"/>
      <x:c r="K317" s="63" t="str">
        <x:v>index_0_1</x:v>
      </x:c>
      <x:c r="L317" s="63" t="str">
        <x:v>2025-06-01</x:v>
      </x:c>
      <x:c r="M317" s="63" t="str">
        <x:v>2026-06-30</x:v>
      </x:c>
      <x:c r="N317" s="63" t="str">
        <x:v>2026-06-30</x:v>
      </x:c>
      <x:c r="O317" s="63" t="str">
        <x:v>E0</x:v>
      </x:c>
      <x:c r="P317" s="63" t="str">
        <x:v>APPROVED</x:v>
      </x:c>
      <x:c r="Q317" s="64" t="b">
        <x:v>0</x:v>
      </x:c>
      <x:c r="R317" s="63" t="str">
        <x:v>STRATEGY_ACTIONS_AND_ESG</x:v>
      </x:c>
      <x:c r="S317" s="63" t="str">
        <x:v>Syn Bank transaction and relationship simulation</x:v>
      </x:c>
      <x:c r="T317" s="63"/>
      <x:c r="U317" s="63" t="str">
        <x:v>internal://syn-bank/simulation/ltm</x:v>
      </x:c>
      <x:c r="V317" s="63" t="str">
        <x:v>4cebc4d728715f187e9e15c6ca54d4a88dd865794b3e3c84e8d36dc9c967d527</x:v>
      </x:c>
    </x:row>
    <x:row r="318">
      <x:c r="A318" s="63" t="str">
        <x:v>bec:E07:obs:latent:relationship_complexity</x:v>
      </x:c>
      <x:c r="B318" s="63" t="str">
        <x:v>E07</x:v>
      </x:c>
      <x:c r="C318" s="63" t="str">
        <x:v>bank_observed_relationship_complexity_index</x:v>
      </x:c>
      <x:c r="D318" s="63" t="str">
        <x:v>RATIO</x:v>
      </x:c>
      <x:c r="E318" s="63" t="str">
        <x:v>OBSERVED</x:v>
      </x:c>
      <x:c r="F318" s="65"/>
      <x:c r="G318" s="66" t="n">
        <x:v>0.942</x:v>
      </x:c>
      <x:c r="H318" s="67"/>
      <x:c r="I318" s="63"/>
      <x:c r="J318" s="63"/>
      <x:c r="K318" s="63" t="str">
        <x:v>index_0_1</x:v>
      </x:c>
      <x:c r="L318" s="63" t="str">
        <x:v>2025-06-01</x:v>
      </x:c>
      <x:c r="M318" s="63" t="str">
        <x:v>2026-06-30</x:v>
      </x:c>
      <x:c r="N318" s="63" t="str">
        <x:v>2026-06-30</x:v>
      </x:c>
      <x:c r="O318" s="63" t="str">
        <x:v>E0</x:v>
      </x:c>
      <x:c r="P318" s="63" t="str">
        <x:v>APPROVED</x:v>
      </x:c>
      <x:c r="Q318" s="64" t="b">
        <x:v>0</x:v>
      </x:c>
      <x:c r="R318" s="63" t="str">
        <x:v>OPERATING_MODEL</x:v>
      </x:c>
      <x:c r="S318" s="63" t="str">
        <x:v>Syn Bank transaction and relationship simulation</x:v>
      </x:c>
      <x:c r="T318" s="63"/>
      <x:c r="U318" s="63" t="str">
        <x:v>internal://syn-bank/simulation/ltm</x:v>
      </x:c>
      <x:c r="V318" s="63" t="str">
        <x:v>96fa54a57fe149edad0a5ff8770a6f7af2fba28b35a3339bab7a8e7992c3b948</x:v>
      </x:c>
    </x:row>
    <x:row r="319">
      <x:c r="A319" s="63" t="str">
        <x:v>bec:E07:obs:events:trade-90d</x:v>
      </x:c>
      <x:c r="B319" s="63" t="str">
        <x:v>E07</x:v>
      </x:c>
      <x:c r="C319" s="63" t="str">
        <x:v>bank_observed_trade_events_next_90d</x:v>
      </x:c>
      <x:c r="D319" s="63" t="str">
        <x:v>COUNT</x:v>
      </x:c>
      <x:c r="E319" s="63" t="str">
        <x:v>OBSERVED</x:v>
      </x:c>
      <x:c r="F319" s="65"/>
      <x:c r="G319" s="66"/>
      <x:c r="H319" s="67" t="n">
        <x:v>22</x:v>
      </x:c>
      <x:c r="I319" s="63"/>
      <x:c r="J319" s="63"/>
      <x:c r="K319" s="63" t="str">
        <x:v>events</x:v>
      </x:c>
      <x:c r="L319" s="63" t="str">
        <x:v>2025-06-01</x:v>
      </x:c>
      <x:c r="M319" s="63" t="str">
        <x:v>2026-06-30</x:v>
      </x:c>
      <x:c r="N319" s="63" t="str">
        <x:v>2026-06-30</x:v>
      </x:c>
      <x:c r="O319" s="63" t="str">
        <x:v>E0</x:v>
      </x:c>
      <x:c r="P319" s="63" t="str">
        <x:v>APPROVED</x:v>
      </x:c>
      <x:c r="Q319" s="64" t="b">
        <x:v>1</x:v>
      </x:c>
      <x:c r="R319" s="63" t="str">
        <x:v>OPERATING_MODEL, WORKING_CAPITAL_CYCLE</x:v>
      </x:c>
      <x:c r="S319" s="63" t="str">
        <x:v>Syn Bank transaction and relationship simulation</x:v>
      </x:c>
      <x:c r="T319" s="63"/>
      <x:c r="U319" s="63" t="str">
        <x:v>internal://syn-bank/simulation/ltm</x:v>
      </x:c>
      <x:c r="V319" s="63" t="str">
        <x:v>8f1d4cca35923d4ee623f18ab5bc14d655c21e9aebf3eaf34b2eb17299be07b5</x:v>
      </x:c>
    </x:row>
    <x:row r="320">
      <x:c r="A320" s="63" t="str">
        <x:v>bec:E07:obs:events:trade-90d-value</x:v>
      </x:c>
      <x:c r="B320" s="63" t="str">
        <x:v>E07</x:v>
      </x:c>
      <x:c r="C320" s="63" t="str">
        <x:v>bank_observed_trade_events_value_next_90d</x:v>
      </x:c>
      <x:c r="D320" s="63" t="str">
        <x:v>MONEY</x:v>
      </x:c>
      <x:c r="E320" s="63" t="str">
        <x:v>OBSERVED</x:v>
      </x:c>
      <x:c r="F320" s="65" t="n">
        <x:v>25630628.43</x:v>
      </x:c>
      <x:c r="G320" s="66"/>
      <x:c r="H320" s="67"/>
      <x:c r="I320" s="63"/>
      <x:c r="J320" s="63" t="str">
        <x:v>ZAR</x:v>
      </x:c>
      <x:c r="K320" s="63" t="str">
        <x:v>ZAR</x:v>
      </x:c>
      <x:c r="L320" s="63" t="str">
        <x:v>2025-06-01</x:v>
      </x:c>
      <x:c r="M320" s="63" t="str">
        <x:v>2026-06-30</x:v>
      </x:c>
      <x:c r="N320" s="63" t="str">
        <x:v>2026-06-30</x:v>
      </x:c>
      <x:c r="O320" s="63" t="str">
        <x:v>E0</x:v>
      </x:c>
      <x:c r="P320" s="63" t="str">
        <x:v>APPROVED</x:v>
      </x:c>
      <x:c r="Q320" s="64" t="b">
        <x:v>0</x:v>
      </x:c>
      <x:c r="R320" s="63" t="str">
        <x:v>WORKING_CAPITAL_CYCLE</x:v>
      </x:c>
      <x:c r="S320" s="63" t="str">
        <x:v>Syn Bank transaction and relationship simulation</x:v>
      </x:c>
      <x:c r="T320" s="63"/>
      <x:c r="U320" s="63" t="str">
        <x:v>internal://syn-bank/simulation/ltm</x:v>
      </x:c>
      <x:c r="V320" s="63" t="str">
        <x:v>2c27ae6214ccfa9a6acea75bcd1267f94966ccc3ea84831b94e790fedc72e3c3</x:v>
      </x:c>
    </x:row>
    <x:row r="321">
      <x:c r="A321" s="63" t="str">
        <x:v>bec:E07:struct:operating-model</x:v>
      </x:c>
      <x:c r="B321" s="63" t="str">
        <x:v>E07</x:v>
      </x:c>
      <x:c r="C321" s="63" t="str">
        <x:v>sector_operating_model</x:v>
      </x:c>
      <x:c r="D321" s="63" t="str">
        <x:v>TEXTUAL</x:v>
      </x:c>
      <x:c r="E321" s="63" t="str">
        <x:v>SCENARIO</x:v>
      </x:c>
      <x:c r="F321" s="65"/>
      <x:c r="G321" s="66"/>
      <x:c r="H321" s="67"/>
      <x:c r="I321" s="63" t="str">
        <x:v>Regulated underwriter with premium collections, claims payment cycles and investment-portfolio liquidity.</x:v>
      </x:c>
      <x:c r="J321" s="63"/>
      <x:c r="K321" s="63" t="str">
        <x:v>statement</x:v>
      </x:c>
      <x:c r="L321" s="63" t="str">
        <x:v>2025-06-01</x:v>
      </x:c>
      <x:c r="M321" s="63" t="str">
        <x:v>2026-06-30</x:v>
      </x:c>
      <x:c r="N321" s="63" t="str">
        <x:v>2026-06-30</x:v>
      </x:c>
      <x:c r="O321" s="63" t="str">
        <x:v>E0</x:v>
      </x:c>
      <x:c r="P321" s="63" t="str">
        <x:v>APPROVED</x:v>
      </x:c>
      <x:c r="Q321" s="64" t="b">
        <x:v>0</x:v>
      </x:c>
      <x:c r="R321" s="63" t="str">
        <x:v>OPERATING_MODEL</x:v>
      </x:c>
      <x:c r="S321" s="63" t="str">
        <x:v>Governed sector operating-model and responsibility policy</x:v>
      </x:c>
      <x:c r="T321" s="63"/>
      <x:c r="U321" s="63" t="str">
        <x:v>internal://v31/governed-policy</x:v>
      </x:c>
      <x:c r="V321" s="63" t="str">
        <x:v>c6defd15e7620f2159256c8fb68e38341502a4fd056a633694b3cf60aaef4f46</x:v>
      </x:c>
    </x:row>
    <x:row r="322">
      <x:c r="A322" s="63" t="str">
        <x:v>bec:E07:struct:risk:0</x:v>
      </x:c>
      <x:c r="B322" s="63" t="str">
        <x:v>E07</x:v>
      </x:c>
      <x:c r="C322" s="63" t="str">
        <x:v>sector_primary_risk</x:v>
      </x:c>
      <x:c r="D322" s="63" t="str">
        <x:v>CATEGORICAL</x:v>
      </x:c>
      <x:c r="E322" s="63" t="str">
        <x:v>SCENARIO</x:v>
      </x:c>
      <x:c r="F322" s="65"/>
      <x:c r="G322" s="66"/>
      <x:c r="H322" s="67"/>
      <x:c r="I322" s="63" t="str">
        <x:v>claims volatility</x:v>
      </x:c>
      <x:c r="J322" s="63"/>
      <x:c r="K322" s="63" t="str">
        <x:v>statement</x:v>
      </x:c>
      <x:c r="L322" s="63" t="str">
        <x:v>2025-06-01</x:v>
      </x:c>
      <x:c r="M322" s="63" t="str">
        <x:v>2026-06-30</x:v>
      </x:c>
      <x:c r="N322" s="63" t="str">
        <x:v>2026-06-30</x:v>
      </x:c>
      <x:c r="O322" s="63" t="str">
        <x:v>E0</x:v>
      </x:c>
      <x:c r="P322" s="63" t="str">
        <x:v>APPROVED</x:v>
      </x:c>
      <x:c r="Q322" s="64" t="b">
        <x:v>0</x:v>
      </x:c>
      <x:c r="R322" s="63" t="str">
        <x:v>BUSINESS_AND_FINANCIAL_RISKS</x:v>
      </x:c>
      <x:c r="S322" s="63" t="str">
        <x:v>Governed sector operating-model and responsibility policy</x:v>
      </x:c>
      <x:c r="T322" s="63"/>
      <x:c r="U322" s="63" t="str">
        <x:v>internal://v31/governed-policy</x:v>
      </x:c>
      <x:c r="V322" s="63" t="str">
        <x:v>249876c49f7540956ef0b46d7326a44a1307aa28d9ebe4733a847b058062e731</x:v>
      </x:c>
    </x:row>
    <x:row r="323">
      <x:c r="A323" s="63" t="str">
        <x:v>bec:E07:struct:risk:1</x:v>
      </x:c>
      <x:c r="B323" s="63" t="str">
        <x:v>E07</x:v>
      </x:c>
      <x:c r="C323" s="63" t="str">
        <x:v>sector_primary_risk</x:v>
      </x:c>
      <x:c r="D323" s="63" t="str">
        <x:v>CATEGORICAL</x:v>
      </x:c>
      <x:c r="E323" s="63" t="str">
        <x:v>SCENARIO</x:v>
      </x:c>
      <x:c r="F323" s="65"/>
      <x:c r="G323" s="66"/>
      <x:c r="H323" s="67"/>
      <x:c r="I323" s="63" t="str">
        <x:v>investment-portfolio duration</x:v>
      </x:c>
      <x:c r="J323" s="63"/>
      <x:c r="K323" s="63" t="str">
        <x:v>statement</x:v>
      </x:c>
      <x:c r="L323" s="63" t="str">
        <x:v>2025-06-01</x:v>
      </x:c>
      <x:c r="M323" s="63" t="str">
        <x:v>2026-06-30</x:v>
      </x:c>
      <x:c r="N323" s="63" t="str">
        <x:v>2026-06-30</x:v>
      </x:c>
      <x:c r="O323" s="63" t="str">
        <x:v>E0</x:v>
      </x:c>
      <x:c r="P323" s="63" t="str">
        <x:v>APPROVED</x:v>
      </x:c>
      <x:c r="Q323" s="64" t="b">
        <x:v>0</x:v>
      </x:c>
      <x:c r="R323" s="63" t="str">
        <x:v>BUSINESS_AND_FINANCIAL_RISKS</x:v>
      </x:c>
      <x:c r="S323" s="63" t="str">
        <x:v>Governed sector operating-model and responsibility policy</x:v>
      </x:c>
      <x:c r="T323" s="63"/>
      <x:c r="U323" s="63" t="str">
        <x:v>internal://v31/governed-policy</x:v>
      </x:c>
      <x:c r="V323" s="63" t="str">
        <x:v>ce71720cb696f75e6c03ec2783f83bcaccecd3396749a5a7acb907ff8f641659</x:v>
      </x:c>
    </x:row>
    <x:row r="324">
      <x:c r="A324" s="63" t="str">
        <x:v>bec:E07:struct:risk:2</x:v>
      </x:c>
      <x:c r="B324" s="63" t="str">
        <x:v>E07</x:v>
      </x:c>
      <x:c r="C324" s="63" t="str">
        <x:v>sector_primary_risk</x:v>
      </x:c>
      <x:c r="D324" s="63" t="str">
        <x:v>CATEGORICAL</x:v>
      </x:c>
      <x:c r="E324" s="63" t="str">
        <x:v>SCENARIO</x:v>
      </x:c>
      <x:c r="F324" s="65"/>
      <x:c r="G324" s="66"/>
      <x:c r="H324" s="67"/>
      <x:c r="I324" s="63" t="str">
        <x:v>regulatory capital</x:v>
      </x:c>
      <x:c r="J324" s="63"/>
      <x:c r="K324" s="63" t="str">
        <x:v>statement</x:v>
      </x:c>
      <x:c r="L324" s="63" t="str">
        <x:v>2025-06-01</x:v>
      </x:c>
      <x:c r="M324" s="63" t="str">
        <x:v>2026-06-30</x:v>
      </x:c>
      <x:c r="N324" s="63" t="str">
        <x:v>2026-06-30</x:v>
      </x:c>
      <x:c r="O324" s="63" t="str">
        <x:v>E0</x:v>
      </x:c>
      <x:c r="P324" s="63" t="str">
        <x:v>APPROVED</x:v>
      </x:c>
      <x:c r="Q324" s="64" t="b">
        <x:v>0</x:v>
      </x:c>
      <x:c r="R324" s="63" t="str">
        <x:v>BUSINESS_AND_FINANCIAL_RISKS</x:v>
      </x:c>
      <x:c r="S324" s="63" t="str">
        <x:v>Governed sector operating-model and responsibility policy</x:v>
      </x:c>
      <x:c r="T324" s="63"/>
      <x:c r="U324" s="63" t="str">
        <x:v>internal://v31/governed-policy</x:v>
      </x:c>
      <x:c r="V324" s="63" t="str">
        <x:v>3ccda9e89a0c4973b2609af76d11de38bcf15b49fd37f03c69961b5471983adc</x:v>
      </x:c>
    </x:row>
    <x:row r="325">
      <x:c r="A325" s="63" t="str">
        <x:v>bec:E07:struct:responsibility-model</x:v>
      </x:c>
      <x:c r="B325" s="63" t="str">
        <x:v>E07</x:v>
      </x:c>
      <x:c r="C325" s="63" t="str">
        <x:v>stakeholder_responsibility_model</x:v>
      </x:c>
      <x:c r="D325" s="63" t="str">
        <x:v>TEXTUAL</x:v>
      </x:c>
      <x:c r="E325" s="63" t="str">
        <x:v>SCENARIO</x:v>
      </x:c>
      <x:c r="F325" s="65"/>
      <x:c r="G325" s="66"/>
      <x:c r="H325" s="67"/>
      <x:c r="I325" s="63" t="str">
        <x:v>Responsibility is assigned by role persona using governed matrix v31-stakeholder-responsibility-3.1.0. Named individuals are not resolved in the demonstration and require CRM entitlement checks in production.</x:v>
      </x:c>
      <x:c r="J325" s="63"/>
      <x:c r="K325" s="63" t="str">
        <x:v>statement</x:v>
      </x:c>
      <x:c r="L325" s="63" t="str">
        <x:v>2025-06-01</x:v>
      </x:c>
      <x:c r="M325" s="63" t="str">
        <x:v>2026-06-30</x:v>
      </x:c>
      <x:c r="N325" s="63" t="str">
        <x:v>2026-06-30</x:v>
      </x:c>
      <x:c r="O325" s="63" t="str">
        <x:v>E0</x:v>
      </x:c>
      <x:c r="P325" s="63" t="str">
        <x:v>APPROVED</x:v>
      </x:c>
      <x:c r="Q325" s="64" t="b">
        <x:v>0</x:v>
      </x:c>
      <x:c r="R325" s="63" t="str">
        <x:v>STAKEHOLDER_RESPONSIBILITY</x:v>
      </x:c>
      <x:c r="S325" s="63" t="str">
        <x:v>Governed sector operating-model and responsibility policy</x:v>
      </x:c>
      <x:c r="T325" s="63"/>
      <x:c r="U325" s="63" t="str">
        <x:v>internal://v31/governed-policy</x:v>
      </x:c>
      <x:c r="V325" s="63" t="str">
        <x:v>51556e66d5599467a7a0eac3d0889099347becf5beb7d6c51db3dd8a0e3916d2</x:v>
      </x:c>
    </x:row>
    <x:row r="326">
      <x:c r="A326" s="63" t="str">
        <x:v>bec:E07:struct:responsibility:fx_exposure</x:v>
      </x:c>
      <x:c r="B326" s="63" t="str">
        <x:v>E07</x:v>
      </x:c>
      <x:c r="C326" s="63" t="str">
        <x:v>problem_role_ownership</x:v>
      </x:c>
      <x:c r="D326" s="63" t="str">
        <x:v>STRUCTURE_RELATIONSHIP</x:v>
      </x:c>
      <x:c r="E326" s="63" t="str">
        <x:v>SCENARIO</x:v>
      </x:c>
      <x:c r="F326" s="65"/>
      <x:c r="G326" s="66"/>
      <x:c r="H326" s="67"/>
      <x:c r="I326" s="63"/>
      <x:c r="J326" s="63"/>
      <x:c r="K326" s="63" t="str">
        <x:v>statement</x:v>
      </x:c>
      <x:c r="L326" s="63" t="str">
        <x:v>2025-06-01</x:v>
      </x:c>
      <x:c r="M326" s="63" t="str">
        <x:v>2026-06-30</x:v>
      </x:c>
      <x:c r="N326" s="63" t="str">
        <x:v>2026-06-30</x:v>
      </x:c>
      <x:c r="O326" s="63" t="str">
        <x:v>E0</x:v>
      </x:c>
      <x:c r="P326" s="63" t="str">
        <x:v>APPROVED</x:v>
      </x:c>
      <x:c r="Q326" s="64" t="b">
        <x:v>0</x:v>
      </x:c>
      <x:c r="R326" s="63" t="str">
        <x:v>STAKEHOLDER_RESPONSIBILITY</x:v>
      </x:c>
      <x:c r="S326" s="63" t="str">
        <x:v>Governed sector operating-model and responsibility policy</x:v>
      </x:c>
      <x:c r="T326" s="63"/>
      <x:c r="U326" s="63" t="str">
        <x:v>internal://v31/governed-policy</x:v>
      </x:c>
      <x:c r="V326" s="63" t="str">
        <x:v>e22b8dfa9547249611a83c55a7678cdbf44f8d7c462e89e368cb1b3b0fde2425</x:v>
      </x:c>
    </x:row>
    <x:row r="327">
      <x:c r="A327" s="63" t="str">
        <x:v>bec:E07:struct:responsibility:refinancing_cliff</x:v>
      </x:c>
      <x:c r="B327" s="63" t="str">
        <x:v>E07</x:v>
      </x:c>
      <x:c r="C327" s="63" t="str">
        <x:v>problem_role_ownership</x:v>
      </x:c>
      <x:c r="D327" s="63" t="str">
        <x:v>STRUCTURE_RELATIONSHIP</x:v>
      </x:c>
      <x:c r="E327" s="63" t="str">
        <x:v>SCENARIO</x:v>
      </x:c>
      <x:c r="F327" s="65"/>
      <x:c r="G327" s="66"/>
      <x:c r="H327" s="67"/>
      <x:c r="I327" s="63"/>
      <x:c r="J327" s="63"/>
      <x:c r="K327" s="63" t="str">
        <x:v>statement</x:v>
      </x:c>
      <x:c r="L327" s="63" t="str">
        <x:v>2025-06-01</x:v>
      </x:c>
      <x:c r="M327" s="63" t="str">
        <x:v>2026-06-30</x:v>
      </x:c>
      <x:c r="N327" s="63" t="str">
        <x:v>2026-06-30</x:v>
      </x:c>
      <x:c r="O327" s="63" t="str">
        <x:v>E0</x:v>
      </x:c>
      <x:c r="P327" s="63" t="str">
        <x:v>APPROVED</x:v>
      </x:c>
      <x:c r="Q327" s="64" t="b">
        <x:v>0</x:v>
      </x:c>
      <x:c r="R327" s="63" t="str">
        <x:v>STAKEHOLDER_RESPONSIBILITY</x:v>
      </x:c>
      <x:c r="S327" s="63" t="str">
        <x:v>Governed sector operating-model and responsibility policy</x:v>
      </x:c>
      <x:c r="T327" s="63"/>
      <x:c r="U327" s="63" t="str">
        <x:v>internal://v31/governed-policy</x:v>
      </x:c>
      <x:c r="V327" s="63" t="str">
        <x:v>5a9be3e500bce16e45b55cf859462ca66eb44273b28d1e1fe32ea9c5127c0d6a</x:v>
      </x:c>
    </x:row>
    <x:row r="328">
      <x:c r="A328" s="63" t="str">
        <x:v>bec:E07:struct:responsibility:working_capital_pressure</x:v>
      </x:c>
      <x:c r="B328" s="63" t="str">
        <x:v>E07</x:v>
      </x:c>
      <x:c r="C328" s="63" t="str">
        <x:v>problem_role_ownership</x:v>
      </x:c>
      <x:c r="D328" s="63" t="str">
        <x:v>STRUCTURE_RELATIONSHIP</x:v>
      </x:c>
      <x:c r="E328" s="63" t="str">
        <x:v>SCENARIO</x:v>
      </x:c>
      <x:c r="F328" s="65"/>
      <x:c r="G328" s="66"/>
      <x:c r="H328" s="67"/>
      <x:c r="I328" s="63"/>
      <x:c r="J328" s="63"/>
      <x:c r="K328" s="63" t="str">
        <x:v>statement</x:v>
      </x:c>
      <x:c r="L328" s="63" t="str">
        <x:v>2025-06-01</x:v>
      </x:c>
      <x:c r="M328" s="63" t="str">
        <x:v>2026-06-30</x:v>
      </x:c>
      <x:c r="N328" s="63" t="str">
        <x:v>2026-06-30</x:v>
      </x:c>
      <x:c r="O328" s="63" t="str">
        <x:v>E0</x:v>
      </x:c>
      <x:c r="P328" s="63" t="str">
        <x:v>APPROVED</x:v>
      </x:c>
      <x:c r="Q328" s="64" t="b">
        <x:v>0</x:v>
      </x:c>
      <x:c r="R328" s="63" t="str">
        <x:v>STAKEHOLDER_RESPONSIBILITY</x:v>
      </x:c>
      <x:c r="S328" s="63" t="str">
        <x:v>Governed sector operating-model and responsibility policy</x:v>
      </x:c>
      <x:c r="T328" s="63"/>
      <x:c r="U328" s="63" t="str">
        <x:v>internal://v31/governed-policy</x:v>
      </x:c>
      <x:c r="V328" s="63" t="str">
        <x:v>f5d66c5794bd69feed5f05387d9163f3d7a13104336df89f672afb9de5358f76</x:v>
      </x:c>
    </x:row>
    <x:row r="329">
      <x:c r="A329" s="63" t="str">
        <x:v>bec:SANLAM-2024-INSREV</x:v>
      </x:c>
      <x:c r="B329" s="63" t="str">
        <x:v>E08</x:v>
      </x:c>
      <x:c r="C329" s="63" t="str">
        <x:v>insurance_revenue</x:v>
      </x:c>
      <x:c r="D329" s="63" t="str">
        <x:v>MONEY</x:v>
      </x:c>
      <x:c r="E329" s="63" t="str">
        <x:v>OBSERVED</x:v>
      </x:c>
      <x:c r="F329" s="65" t="n">
        <x:v>93475</x:v>
      </x:c>
      <x:c r="G329" s="66"/>
      <x:c r="H329" s="67"/>
      <x:c r="I329" s="63"/>
      <x:c r="J329" s="63" t="str">
        <x:v>ZAR</x:v>
      </x:c>
      <x:c r="K329" s="63" t="str">
        <x:v>million</x:v>
      </x:c>
      <x:c r="L329" s="63" t="str">
        <x:v>2024-01-01</x:v>
      </x:c>
      <x:c r="M329" s="63" t="str">
        <x:v>2024-12-31</x:v>
      </x:c>
      <x:c r="N329" s="63" t="str">
        <x:v>2025-03-07</x:v>
      </x:c>
      <x:c r="O329" s="63" t="str">
        <x:v>E1</x:v>
      </x:c>
      <x:c r="P329" s="63" t="str">
        <x:v>PENDING_REVIEW</x:v>
      </x:c>
      <x:c r="Q329" s="64" t="b">
        <x:v>1</x:v>
      </x:c>
      <x:c r="R329" s="63" t="str">
        <x:v>REVENUE_ENGINE</x:v>
      </x:c>
      <x:c r="S329" s="63" t="str">
        <x:v>Sanlam Annual Financial Statements 2024</x:v>
      </x:c>
      <x:c r="T329" s="63" t="n">
        <x:v>42</x:v>
      </x:c>
      <x:c r="U329" s="63" t="str">
        <x:v>https://www.sanlam.com/downloads/integrated-report-and-annual-financial-statements/2024/Sanlam-AFS-2024-spreads.pdf</x:v>
      </x:c>
      <x:c r="V329" s="63" t="str">
        <x:v>fc2487f72420917e9c52f78bc4a7800a1e4270781aa2117632f69680b4ca14da</x:v>
      </x:c>
    </x:row>
    <x:row r="330">
      <x:c r="A330" s="63" t="str">
        <x:v>bec:SANLAM-2024-CASH</x:v>
      </x:c>
      <x:c r="B330" s="63" t="str">
        <x:v>E08</x:v>
      </x:c>
      <x:c r="C330" s="63" t="str">
        <x:v>cash_and_cash_equivalents</x:v>
      </x:c>
      <x:c r="D330" s="63" t="str">
        <x:v>MONEY</x:v>
      </x:c>
      <x:c r="E330" s="63" t="str">
        <x:v>OBSERVED</x:v>
      </x:c>
      <x:c r="F330" s="65" t="n">
        <x:v>34602</x:v>
      </x:c>
      <x:c r="G330" s="66"/>
      <x:c r="H330" s="67"/>
      <x:c r="I330" s="63"/>
      <x:c r="J330" s="63" t="str">
        <x:v>ZAR</x:v>
      </x:c>
      <x:c r="K330" s="63" t="str">
        <x:v>million</x:v>
      </x:c>
      <x:c r="L330" s="63" t="str">
        <x:v>2024-12-31</x:v>
      </x:c>
      <x:c r="M330" s="63" t="str">
        <x:v>2024-12-31</x:v>
      </x:c>
      <x:c r="N330" s="63" t="str">
        <x:v>2025-03-07</x:v>
      </x:c>
      <x:c r="O330" s="63" t="str">
        <x:v>E1</x:v>
      </x:c>
      <x:c r="P330" s="63" t="str">
        <x:v>PENDING_REVIEW</x:v>
      </x:c>
      <x:c r="Q330" s="64" t="b">
        <x:v>1</x:v>
      </x:c>
      <x:c r="R330" s="63" t="str">
        <x:v>LIQUIDITY_AND_BUFFER</x:v>
      </x:c>
      <x:c r="S330" s="63" t="str">
        <x:v>Sanlam Annual Financial Statements 2024</x:v>
      </x:c>
      <x:c r="T330" s="63" t="n">
        <x:v>42</x:v>
      </x:c>
      <x:c r="U330" s="63" t="str">
        <x:v>https://www.sanlam.com/downloads/integrated-report-and-annual-financial-statements/2024/Sanlam-AFS-2024-spreads.pdf</x:v>
      </x:c>
      <x:c r="V330" s="63" t="str">
        <x:v>fc2487f72420917e9c52f78bc4a7800a1e4270781aa2117632f69680b4ca14da</x:v>
      </x:c>
    </x:row>
    <x:row r="331">
      <x:c r="A331" s="63" t="str">
        <x:v>bec:SANLAM-2024-TERM</x:v>
      </x:c>
      <x:c r="B331" s="63" t="str">
        <x:v>E08</x:v>
      </x:c>
      <x:c r="C331" s="63" t="str">
        <x:v>term_finance</x:v>
      </x:c>
      <x:c r="D331" s="63" t="str">
        <x:v>MONEY</x:v>
      </x:c>
      <x:c r="E331" s="63" t="str">
        <x:v>OBSERVED</x:v>
      </x:c>
      <x:c r="F331" s="65" t="n">
        <x:v>19769</x:v>
      </x:c>
      <x:c r="G331" s="66"/>
      <x:c r="H331" s="67"/>
      <x:c r="I331" s="63"/>
      <x:c r="J331" s="63" t="str">
        <x:v>ZAR</x:v>
      </x:c>
      <x:c r="K331" s="63" t="str">
        <x:v>million</x:v>
      </x:c>
      <x:c r="L331" s="63" t="str">
        <x:v>2024-12-31</x:v>
      </x:c>
      <x:c r="M331" s="63" t="str">
        <x:v>2024-12-31</x:v>
      </x:c>
      <x:c r="N331" s="63" t="str">
        <x:v>2025-03-07</x:v>
      </x:c>
      <x:c r="O331" s="63" t="str">
        <x:v>E1</x:v>
      </x:c>
      <x:c r="P331" s="63" t="str">
        <x:v>PENDING_REVIEW</x:v>
      </x:c>
      <x:c r="Q331" s="64" t="b">
        <x:v>1</x:v>
      </x:c>
      <x:c r="R331" s="63" t="str">
        <x:v>FUNDING_STRUCTURE</x:v>
      </x:c>
      <x:c r="S331" s="63" t="str">
        <x:v>Sanlam Annual Financial Statements 2024</x:v>
      </x:c>
      <x:c r="T331" s="63" t="n">
        <x:v>42</x:v>
      </x:c>
      <x:c r="U331" s="63" t="str">
        <x:v>https://www.sanlam.com/downloads/integrated-report-and-annual-financial-statements/2024/Sanlam-AFS-2024-spreads.pdf</x:v>
      </x:c>
      <x:c r="V331" s="63" t="str">
        <x:v>fc2487f72420917e9c52f78bc4a7800a1e4270781aa2117632f69680b4ca14da</x:v>
      </x:c>
    </x:row>
    <x:row r="332">
      <x:c r="A332" s="63" t="str">
        <x:v>bec:E08:obs:flow:collections</x:v>
      </x:c>
      <x:c r="B332" s="63" t="str">
        <x:v>E08</x:v>
      </x:c>
      <x:c r="C332" s="63" t="str">
        <x:v>bank_observed_collections_ltm</x:v>
      </x:c>
      <x:c r="D332" s="63" t="str">
        <x:v>MONEY</x:v>
      </x:c>
      <x:c r="E332" s="63" t="str">
        <x:v>OBSERVED</x:v>
      </x:c>
      <x:c r="F332" s="65" t="n">
        <x:v>5302959760.240003</x:v>
      </x:c>
      <x:c r="G332" s="66"/>
      <x:c r="H332" s="67"/>
      <x:c r="I332" s="63"/>
      <x:c r="J332" s="63" t="str">
        <x:v>ZAR</x:v>
      </x:c>
      <x:c r="K332" s="63" t="str">
        <x:v>ZAR</x:v>
      </x:c>
      <x:c r="L332" s="63" t="str">
        <x:v>2025-06-01</x:v>
      </x:c>
      <x:c r="M332" s="63" t="str">
        <x:v>2026-06-30</x:v>
      </x:c>
      <x:c r="N332" s="63" t="str">
        <x:v>2026-06-30</x:v>
      </x:c>
      <x:c r="O332" s="63" t="str">
        <x:v>E0</x:v>
      </x:c>
      <x:c r="P332" s="63" t="str">
        <x:v>APPROVED</x:v>
      </x:c>
      <x:c r="Q332" s="64" t="b">
        <x:v>1</x:v>
      </x:c>
      <x:c r="R332" s="63" t="str">
        <x:v>REVENUE_ENGINE, WORKING_CAPITAL_CYCLE</x:v>
      </x:c>
      <x:c r="S332" s="63" t="str">
        <x:v>Syn Bank transaction and relationship simulation</x:v>
      </x:c>
      <x:c r="T332" s="63"/>
      <x:c r="U332" s="63" t="str">
        <x:v>internal://syn-bank/simulation/ltm</x:v>
      </x:c>
      <x:c r="V332" s="63" t="str">
        <x:v>bc2400ac028bd83a0181e241dd4765301283cb1c19636202a6d6710e25afb145</x:v>
      </x:c>
    </x:row>
    <x:row r="333">
      <x:c r="A333" s="63" t="str">
        <x:v>bec:E08:obs:trend:collections</x:v>
      </x:c>
      <x:c r="B333" s="63" t="str">
        <x:v>E08</x:v>
      </x:c>
      <x:c r="C333" s="63" t="str">
        <x:v>bank_observed_collections_yoy_change</x:v>
      </x:c>
      <x:c r="D333" s="63" t="str">
        <x:v>RATIO</x:v>
      </x:c>
      <x:c r="E333" s="63" t="str">
        <x:v>OBSERVED</x:v>
      </x:c>
      <x:c r="F333" s="65"/>
      <x:c r="G333" s="66" t="n">
        <x:v>-0.218329</x:v>
      </x:c>
      <x:c r="H333" s="67"/>
      <x:c r="I333" s="63"/>
      <x:c r="J333" s="63"/>
      <x:c r="K333" s="63" t="str">
        <x:v>ratio</x:v>
      </x:c>
      <x:c r="L333" s="63" t="str">
        <x:v>2025-06-01</x:v>
      </x:c>
      <x:c r="M333" s="63" t="str">
        <x:v>2026-06-30</x:v>
      </x:c>
      <x:c r="N333" s="63" t="str">
        <x:v>2026-06-30</x:v>
      </x:c>
      <x:c r="O333" s="63" t="str">
        <x:v>E0</x:v>
      </x:c>
      <x:c r="P333" s="63" t="str">
        <x:v>APPROVED</x:v>
      </x:c>
      <x:c r="Q333" s="64" t="b">
        <x:v>0</x:v>
      </x:c>
      <x:c r="R333" s="63" t="str">
        <x:v>REVENUE_ENGINE, WORKING_CAPITAL_CYCLE</x:v>
      </x:c>
      <x:c r="S333" s="63" t="str">
        <x:v>Syn Bank transaction and relationship simulation</x:v>
      </x:c>
      <x:c r="T333" s="63"/>
      <x:c r="U333" s="63" t="str">
        <x:v>internal://syn-bank/simulation/ltm</x:v>
      </x:c>
      <x:c r="V333" s="63" t="str">
        <x:v>8567e73f72ae4b5c06f040df6ffba42da2070d73182ca3f7d113b0e550faf4d2</x:v>
      </x:c>
    </x:row>
    <x:row r="334">
      <x:c r="A334" s="63" t="str">
        <x:v>bec:E08:obs:flow:payments</x:v>
      </x:c>
      <x:c r="B334" s="63" t="str">
        <x:v>E08</x:v>
      </x:c>
      <x:c r="C334" s="63" t="str">
        <x:v>bank_observed_payments_ltm</x:v>
      </x:c>
      <x:c r="D334" s="63" t="str">
        <x:v>MONEY</x:v>
      </x:c>
      <x:c r="E334" s="63" t="str">
        <x:v>OBSERVED</x:v>
      </x:c>
      <x:c r="F334" s="65" t="n">
        <x:v>13465817999.559992</x:v>
      </x:c>
      <x:c r="G334" s="66"/>
      <x:c r="H334" s="67"/>
      <x:c r="I334" s="63"/>
      <x:c r="J334" s="63" t="str">
        <x:v>ZAR</x:v>
      </x:c>
      <x:c r="K334" s="63" t="str">
        <x:v>ZAR</x:v>
      </x:c>
      <x:c r="L334" s="63" t="str">
        <x:v>2025-06-01</x:v>
      </x:c>
      <x:c r="M334" s="63" t="str">
        <x:v>2026-06-30</x:v>
      </x:c>
      <x:c r="N334" s="63" t="str">
        <x:v>2026-06-30</x:v>
      </x:c>
      <x:c r="O334" s="63" t="str">
        <x:v>E0</x:v>
      </x:c>
      <x:c r="P334" s="63" t="str">
        <x:v>APPROVED</x:v>
      </x:c>
      <x:c r="Q334" s="64" t="b">
        <x:v>1</x:v>
      </x:c>
      <x:c r="R334" s="63" t="str">
        <x:v>COST_ENGINE, WORKING_CAPITAL_CYCLE</x:v>
      </x:c>
      <x:c r="S334" s="63" t="str">
        <x:v>Syn Bank transaction and relationship simulation</x:v>
      </x:c>
      <x:c r="T334" s="63"/>
      <x:c r="U334" s="63" t="str">
        <x:v>internal://syn-bank/simulation/ltm</x:v>
      </x:c>
      <x:c r="V334" s="63" t="str">
        <x:v>7f13a84fec86f6297689427f831ac634cdd542a966747d4f24f5d82302a8fe7f</x:v>
      </x:c>
    </x:row>
    <x:row r="335">
      <x:c r="A335" s="63" t="str">
        <x:v>bec:E08:obs:trend:payments</x:v>
      </x:c>
      <x:c r="B335" s="63" t="str">
        <x:v>E08</x:v>
      </x:c>
      <x:c r="C335" s="63" t="str">
        <x:v>bank_observed_payments_yoy_change</x:v>
      </x:c>
      <x:c r="D335" s="63" t="str">
        <x:v>RATIO</x:v>
      </x:c>
      <x:c r="E335" s="63" t="str">
        <x:v>OBSERVED</x:v>
      </x:c>
      <x:c r="F335" s="65"/>
      <x:c r="G335" s="66" t="n">
        <x:v>-0.231805</x:v>
      </x:c>
      <x:c r="H335" s="67"/>
      <x:c r="I335" s="63"/>
      <x:c r="J335" s="63"/>
      <x:c r="K335" s="63" t="str">
        <x:v>ratio</x:v>
      </x:c>
      <x:c r="L335" s="63" t="str">
        <x:v>2025-06-01</x:v>
      </x:c>
      <x:c r="M335" s="63" t="str">
        <x:v>2026-06-30</x:v>
      </x:c>
      <x:c r="N335" s="63" t="str">
        <x:v>2026-06-30</x:v>
      </x:c>
      <x:c r="O335" s="63" t="str">
        <x:v>E0</x:v>
      </x:c>
      <x:c r="P335" s="63" t="str">
        <x:v>APPROVED</x:v>
      </x:c>
      <x:c r="Q335" s="64" t="b">
        <x:v>0</x:v>
      </x:c>
      <x:c r="R335" s="63" t="str">
        <x:v>COST_ENGINE, WORKING_CAPITAL_CYCLE</x:v>
      </x:c>
      <x:c r="S335" s="63" t="str">
        <x:v>Syn Bank transaction and relationship simulation</x:v>
      </x:c>
      <x:c r="T335" s="63"/>
      <x:c r="U335" s="63" t="str">
        <x:v>internal://syn-bank/simulation/ltm</x:v>
      </x:c>
      <x:c r="V335" s="63" t="str">
        <x:v>dac78bcf0dc77d4a75cd21645d6533c61b626a95aa211dc55bad3aa53410250f</x:v>
      </x:c>
    </x:row>
    <x:row r="336">
      <x:c r="A336" s="63" t="str">
        <x:v>bec:E08:obs:flow:liquidity</x:v>
      </x:c>
      <x:c r="B336" s="63" t="str">
        <x:v>E08</x:v>
      </x:c>
      <x:c r="C336" s="63" t="str">
        <x:v>bank_observed_liquidity_ltm</x:v>
      </x:c>
      <x:c r="D336" s="63" t="str">
        <x:v>MONEY</x:v>
      </x:c>
      <x:c r="E336" s="63" t="str">
        <x:v>OBSERVED</x:v>
      </x:c>
      <x:c r="F336" s="65" t="n">
        <x:v>9384388879.899994</x:v>
      </x:c>
      <x:c r="G336" s="66"/>
      <x:c r="H336" s="67"/>
      <x:c r="I336" s="63"/>
      <x:c r="J336" s="63" t="str">
        <x:v>ZAR</x:v>
      </x:c>
      <x:c r="K336" s="63" t="str">
        <x:v>ZAR</x:v>
      </x:c>
      <x:c r="L336" s="63" t="str">
        <x:v>2025-06-01</x:v>
      </x:c>
      <x:c r="M336" s="63" t="str">
        <x:v>2026-06-30</x:v>
      </x:c>
      <x:c r="N336" s="63" t="str">
        <x:v>2026-06-30</x:v>
      </x:c>
      <x:c r="O336" s="63" t="str">
        <x:v>E0</x:v>
      </x:c>
      <x:c r="P336" s="63" t="str">
        <x:v>APPROVED</x:v>
      </x:c>
      <x:c r="Q336" s="64" t="b">
        <x:v>1</x:v>
      </x:c>
      <x:c r="R336" s="63" t="str">
        <x:v>LIQUIDITY_AND_BUFFER</x:v>
      </x:c>
      <x:c r="S336" s="63" t="str">
        <x:v>Syn Bank transaction and relationship simulation</x:v>
      </x:c>
      <x:c r="T336" s="63"/>
      <x:c r="U336" s="63" t="str">
        <x:v>internal://syn-bank/simulation/ltm</x:v>
      </x:c>
      <x:c r="V336" s="63" t="str">
        <x:v>1327305100e5f54c86ce10a53177dc49b91c34b2e1627459d46a37688f21b50a</x:v>
      </x:c>
    </x:row>
    <x:row r="337">
      <x:c r="A337" s="63" t="str">
        <x:v>bec:E08:obs:trend:liquidity</x:v>
      </x:c>
      <x:c r="B337" s="63" t="str">
        <x:v>E08</x:v>
      </x:c>
      <x:c r="C337" s="63" t="str">
        <x:v>bank_observed_liquidity_yoy_change</x:v>
      </x:c>
      <x:c r="D337" s="63" t="str">
        <x:v>RATIO</x:v>
      </x:c>
      <x:c r="E337" s="63" t="str">
        <x:v>OBSERVED</x:v>
      </x:c>
      <x:c r="F337" s="65"/>
      <x:c r="G337" s="66" t="n">
        <x:v>-0.228045</x:v>
      </x:c>
      <x:c r="H337" s="67"/>
      <x:c r="I337" s="63"/>
      <x:c r="J337" s="63"/>
      <x:c r="K337" s="63" t="str">
        <x:v>ratio</x:v>
      </x:c>
      <x:c r="L337" s="63" t="str">
        <x:v>2025-06-01</x:v>
      </x:c>
      <x:c r="M337" s="63" t="str">
        <x:v>2026-06-30</x:v>
      </x:c>
      <x:c r="N337" s="63" t="str">
        <x:v>2026-06-30</x:v>
      </x:c>
      <x:c r="O337" s="63" t="str">
        <x:v>E0</x:v>
      </x:c>
      <x:c r="P337" s="63" t="str">
        <x:v>APPROVED</x:v>
      </x:c>
      <x:c r="Q337" s="64" t="b">
        <x:v>0</x:v>
      </x:c>
      <x:c r="R337" s="63" t="str">
        <x:v>LIQUIDITY_AND_BUFFER</x:v>
      </x:c>
      <x:c r="S337" s="63" t="str">
        <x:v>Syn Bank transaction and relationship simulation</x:v>
      </x:c>
      <x:c r="T337" s="63"/>
      <x:c r="U337" s="63" t="str">
        <x:v>internal://syn-bank/simulation/ltm</x:v>
      </x:c>
      <x:c r="V337" s="63" t="str">
        <x:v>3efe6aac3c6a7dd5945a265e0b633d465e0185fb128f1a56cd5cbd24d0a54b1b</x:v>
      </x:c>
    </x:row>
    <x:row r="338">
      <x:c r="A338" s="63" t="str">
        <x:v>bec:E08:obs:flow:cross-border-fx</x:v>
      </x:c>
      <x:c r="B338" s="63" t="str">
        <x:v>E08</x:v>
      </x:c>
      <x:c r="C338" s="63" t="str">
        <x:v>bank_observed_cross_border_fx_ltm</x:v>
      </x:c>
      <x:c r="D338" s="63" t="str">
        <x:v>MONEY</x:v>
      </x:c>
      <x:c r="E338" s="63" t="str">
        <x:v>OBSERVED</x:v>
      </x:c>
      <x:c r="F338" s="65" t="n">
        <x:v>2658605045.9500003</x:v>
      </x:c>
      <x:c r="G338" s="66"/>
      <x:c r="H338" s="67"/>
      <x:c r="I338" s="63"/>
      <x:c r="J338" s="63" t="str">
        <x:v>ZAR</x:v>
      </x:c>
      <x:c r="K338" s="63" t="str">
        <x:v>ZAR</x:v>
      </x:c>
      <x:c r="L338" s="63" t="str">
        <x:v>2025-06-01</x:v>
      </x:c>
      <x:c r="M338" s="63" t="str">
        <x:v>2026-06-30</x:v>
      </x:c>
      <x:c r="N338" s="63" t="str">
        <x:v>2026-06-30</x:v>
      </x:c>
      <x:c r="O338" s="63" t="str">
        <x:v>E0</x:v>
      </x:c>
      <x:c r="P338" s="63" t="str">
        <x:v>APPROVED</x:v>
      </x:c>
      <x:c r="Q338" s="64" t="b">
        <x:v>1</x:v>
      </x:c>
      <x:c r="R338" s="63" t="str">
        <x:v>CURRENCY_AND_COMMODITY_EXPOSURE, GEOGRAPHIC_EXPOSURE</x:v>
      </x:c>
      <x:c r="S338" s="63" t="str">
        <x:v>Syn Bank transaction and relationship simulation</x:v>
      </x:c>
      <x:c r="T338" s="63"/>
      <x:c r="U338" s="63" t="str">
        <x:v>internal://syn-bank/simulation/ltm</x:v>
      </x:c>
      <x:c r="V338" s="63" t="str">
        <x:v>aa1be0beeb2431c37151acd858c0001fc44a00e82f046664c483e13af9733542</x:v>
      </x:c>
    </x:row>
    <x:row r="339">
      <x:c r="A339" s="63" t="str">
        <x:v>bec:E08:obs:trend:cross-border-fx</x:v>
      </x:c>
      <x:c r="B339" s="63" t="str">
        <x:v>E08</x:v>
      </x:c>
      <x:c r="C339" s="63" t="str">
        <x:v>bank_observed_cross_border_fx_yoy_change</x:v>
      </x:c>
      <x:c r="D339" s="63" t="str">
        <x:v>RATIO</x:v>
      </x:c>
      <x:c r="E339" s="63" t="str">
        <x:v>OBSERVED</x:v>
      </x:c>
      <x:c r="F339" s="65"/>
      <x:c r="G339" s="66" t="n">
        <x:v>-0.058206</x:v>
      </x:c>
      <x:c r="H339" s="67"/>
      <x:c r="I339" s="63"/>
      <x:c r="J339" s="63"/>
      <x:c r="K339" s="63" t="str">
        <x:v>ratio</x:v>
      </x:c>
      <x:c r="L339" s="63" t="str">
        <x:v>2025-06-01</x:v>
      </x:c>
      <x:c r="M339" s="63" t="str">
        <x:v>2026-06-30</x:v>
      </x:c>
      <x:c r="N339" s="63" t="str">
        <x:v>2026-06-30</x:v>
      </x:c>
      <x:c r="O339" s="63" t="str">
        <x:v>E0</x:v>
      </x:c>
      <x:c r="P339" s="63" t="str">
        <x:v>APPROVED</x:v>
      </x:c>
      <x:c r="Q339" s="64" t="b">
        <x:v>0</x:v>
      </x:c>
      <x:c r="R339" s="63" t="str">
        <x:v>CURRENCY_AND_COMMODITY_EXPOSURE, GEOGRAPHIC_EXPOSURE</x:v>
      </x:c>
      <x:c r="S339" s="63" t="str">
        <x:v>Syn Bank transaction and relationship simulation</x:v>
      </x:c>
      <x:c r="T339" s="63"/>
      <x:c r="U339" s="63" t="str">
        <x:v>internal://syn-bank/simulation/ltm</x:v>
      </x:c>
      <x:c r="V339" s="63" t="str">
        <x:v>72d960638ed7b60349ba7b5e8098cb319147ded44e752d52aa7ece6cb2e181e9</x:v>
      </x:c>
    </x:row>
    <x:row r="340">
      <x:c r="A340" s="63" t="str">
        <x:v>bec:E08:obs:flow:trade-finance</x:v>
      </x:c>
      <x:c r="B340" s="63" t="str">
        <x:v>E08</x:v>
      </x:c>
      <x:c r="C340" s="63" t="str">
        <x:v>bank_observed_trade_finance_ltm</x:v>
      </x:c>
      <x:c r="D340" s="63" t="str">
        <x:v>MONEY</x:v>
      </x:c>
      <x:c r="E340" s="63" t="str">
        <x:v>OBSERVED</x:v>
      </x:c>
      <x:c r="F340" s="65" t="n">
        <x:v>150787778.32</x:v>
      </x:c>
      <x:c r="G340" s="66"/>
      <x:c r="H340" s="67"/>
      <x:c r="I340" s="63"/>
      <x:c r="J340" s="63" t="str">
        <x:v>ZAR</x:v>
      </x:c>
      <x:c r="K340" s="63" t="str">
        <x:v>ZAR</x:v>
      </x:c>
      <x:c r="L340" s="63" t="str">
        <x:v>2025-06-01</x:v>
      </x:c>
      <x:c r="M340" s="63" t="str">
        <x:v>2026-06-30</x:v>
      </x:c>
      <x:c r="N340" s="63" t="str">
        <x:v>2026-06-30</x:v>
      </x:c>
      <x:c r="O340" s="63" t="str">
        <x:v>E0</x:v>
      </x:c>
      <x:c r="P340" s="63" t="str">
        <x:v>APPROVED</x:v>
      </x:c>
      <x:c r="Q340" s="64" t="b">
        <x:v>1</x:v>
      </x:c>
      <x:c r="R340" s="63" t="str">
        <x:v>WORKING_CAPITAL_CYCLE, OPERATING_MODEL</x:v>
      </x:c>
      <x:c r="S340" s="63" t="str">
        <x:v>Syn Bank transaction and relationship simulation</x:v>
      </x:c>
      <x:c r="T340" s="63"/>
      <x:c r="U340" s="63" t="str">
        <x:v>internal://syn-bank/simulation/ltm</x:v>
      </x:c>
      <x:c r="V340" s="63" t="str">
        <x:v>4428ab61322445d66e78d9cfc0f7551e5b4ee3c2f33eddc038d506a88eb5af75</x:v>
      </x:c>
    </x:row>
    <x:row r="341">
      <x:c r="A341" s="63" t="str">
        <x:v>bec:E08:obs:trend:trade-finance</x:v>
      </x:c>
      <x:c r="B341" s="63" t="str">
        <x:v>E08</x:v>
      </x:c>
      <x:c r="C341" s="63" t="str">
        <x:v>bank_observed_trade_finance_yoy_change</x:v>
      </x:c>
      <x:c r="D341" s="63" t="str">
        <x:v>RATIO</x:v>
      </x:c>
      <x:c r="E341" s="63" t="str">
        <x:v>OBSERVED</x:v>
      </x:c>
      <x:c r="F341" s="65"/>
      <x:c r="G341" s="66" t="n">
        <x:v>-0.172846</x:v>
      </x:c>
      <x:c r="H341" s="67"/>
      <x:c r="I341" s="63"/>
      <x:c r="J341" s="63"/>
      <x:c r="K341" s="63" t="str">
        <x:v>ratio</x:v>
      </x:c>
      <x:c r="L341" s="63" t="str">
        <x:v>2025-06-01</x:v>
      </x:c>
      <x:c r="M341" s="63" t="str">
        <x:v>2026-06-30</x:v>
      </x:c>
      <x:c r="N341" s="63" t="str">
        <x:v>2026-06-30</x:v>
      </x:c>
      <x:c r="O341" s="63" t="str">
        <x:v>E0</x:v>
      </x:c>
      <x:c r="P341" s="63" t="str">
        <x:v>APPROVED</x:v>
      </x:c>
      <x:c r="Q341" s="64" t="b">
        <x:v>0</x:v>
      </x:c>
      <x:c r="R341" s="63" t="str">
        <x:v>WORKING_CAPITAL_CYCLE, OPERATING_MODEL</x:v>
      </x:c>
      <x:c r="S341" s="63" t="str">
        <x:v>Syn Bank transaction and relationship simulation</x:v>
      </x:c>
      <x:c r="T341" s="63"/>
      <x:c r="U341" s="63" t="str">
        <x:v>internal://syn-bank/simulation/ltm</x:v>
      </x:c>
      <x:c r="V341" s="63" t="str">
        <x:v>01f86cede42f122d2ea7e17e2168abc6a59df15d64a2b8453fa7ba971b580e03</x:v>
      </x:c>
    </x:row>
    <x:row r="342">
      <x:c r="A342" s="63" t="str">
        <x:v>bec:E08:obs:corridor:0</x:v>
      </x:c>
      <x:c r="B342" s="63" t="str">
        <x:v>E08</x:v>
      </x:c>
      <x:c r="C342" s="63" t="str">
        <x:v>bank_observed_corridor_value</x:v>
      </x:c>
      <x:c r="D342" s="63" t="str">
        <x:v>MONEY</x:v>
      </x:c>
      <x:c r="E342" s="63" t="str">
        <x:v>OBSERVED</x:v>
      </x:c>
      <x:c r="F342" s="65" t="n">
        <x:v>704496404.619999</x:v>
      </x:c>
      <x:c r="G342" s="66"/>
      <x:c r="H342" s="67"/>
      <x:c r="I342" s="63"/>
      <x:c r="J342" s="63" t="str">
        <x:v>ZAR</x:v>
      </x:c>
      <x:c r="K342" s="63" t="str">
        <x:v>ZAR</x:v>
      </x:c>
      <x:c r="L342" s="63" t="str">
        <x:v>2025-06-01</x:v>
      </x:c>
      <x:c r="M342" s="63" t="str">
        <x:v>2026-06-30</x:v>
      </x:c>
      <x:c r="N342" s="63" t="str">
        <x:v>2026-06-30</x:v>
      </x:c>
      <x:c r="O342" s="63" t="str">
        <x:v>E0</x:v>
      </x:c>
      <x:c r="P342" s="63" t="str">
        <x:v>APPROVED</x:v>
      </x:c>
      <x:c r="Q342" s="64" t="b">
        <x:v>1</x:v>
      </x:c>
      <x:c r="R342" s="63" t="str">
        <x:v>GEOGRAPHIC_EXPOSURE</x:v>
      </x:c>
      <x:c r="S342" s="63" t="str">
        <x:v>Syn Bank transaction and relationship simulation</x:v>
      </x:c>
      <x:c r="T342" s="63"/>
      <x:c r="U342" s="63" t="str">
        <x:v>internal://syn-bank/simulation/ltm</x:v>
      </x:c>
      <x:c r="V342" s="63" t="str">
        <x:v>5e511b8e53578cea78bf9212a351cd5233cee236adea6eaa0567112189b600d1</x:v>
      </x:c>
    </x:row>
    <x:row r="343">
      <x:c r="A343" s="63" t="str">
        <x:v>bec:E08:obs:corridor-name:0</x:v>
      </x:c>
      <x:c r="B343" s="63" t="str">
        <x:v>E08</x:v>
      </x:c>
      <x:c r="C343" s="63" t="str">
        <x:v>bank_observed_corridor_country</x:v>
      </x:c>
      <x:c r="D343" s="63" t="str">
        <x:v>CATEGORICAL</x:v>
      </x:c>
      <x:c r="E343" s="63" t="str">
        <x:v>OBSERVED</x:v>
      </x:c>
      <x:c r="F343" s="65"/>
      <x:c r="G343" s="66"/>
      <x:c r="H343" s="67"/>
      <x:c r="I343" s="63" t="str">
        <x:v>Kenya</x:v>
      </x:c>
      <x:c r="J343" s="63"/>
      <x:c r="K343" s="63" t="str">
        <x:v>country</x:v>
      </x:c>
      <x:c r="L343" s="63" t="str">
        <x:v>2025-06-01</x:v>
      </x:c>
      <x:c r="M343" s="63" t="str">
        <x:v>2026-06-30</x:v>
      </x:c>
      <x:c r="N343" s="63" t="str">
        <x:v>2026-06-30</x:v>
      </x:c>
      <x:c r="O343" s="63" t="str">
        <x:v>E0</x:v>
      </x:c>
      <x:c r="P343" s="63" t="str">
        <x:v>APPROVED</x:v>
      </x:c>
      <x:c r="Q343" s="64" t="b">
        <x:v>0</x:v>
      </x:c>
      <x:c r="R343" s="63" t="str">
        <x:v>GEOGRAPHIC_EXPOSURE</x:v>
      </x:c>
      <x:c r="S343" s="63" t="str">
        <x:v>Syn Bank transaction and relationship simulation</x:v>
      </x:c>
      <x:c r="T343" s="63"/>
      <x:c r="U343" s="63" t="str">
        <x:v>internal://syn-bank/simulation/ltm</x:v>
      </x:c>
      <x:c r="V343" s="63" t="str">
        <x:v>a2174152110a3702da117c8ec4496e11cd49bf9745f5e3fd5e0208c4dcce41d3</x:v>
      </x:c>
    </x:row>
    <x:row r="344">
      <x:c r="A344" s="63" t="str">
        <x:v>bec:E08:obs:corridor:1</x:v>
      </x:c>
      <x:c r="B344" s="63" t="str">
        <x:v>E08</x:v>
      </x:c>
      <x:c r="C344" s="63" t="str">
        <x:v>bank_observed_corridor_value</x:v>
      </x:c>
      <x:c r="D344" s="63" t="str">
        <x:v>MONEY</x:v>
      </x:c>
      <x:c r="E344" s="63" t="str">
        <x:v>OBSERVED</x:v>
      </x:c>
      <x:c r="F344" s="65" t="n">
        <x:v>626211720.3799998</x:v>
      </x:c>
      <x:c r="G344" s="66"/>
      <x:c r="H344" s="67"/>
      <x:c r="I344" s="63"/>
      <x:c r="J344" s="63" t="str">
        <x:v>ZAR</x:v>
      </x:c>
      <x:c r="K344" s="63" t="str">
        <x:v>ZAR</x:v>
      </x:c>
      <x:c r="L344" s="63" t="str">
        <x:v>2025-06-01</x:v>
      </x:c>
      <x:c r="M344" s="63" t="str">
        <x:v>2026-06-30</x:v>
      </x:c>
      <x:c r="N344" s="63" t="str">
        <x:v>2026-06-30</x:v>
      </x:c>
      <x:c r="O344" s="63" t="str">
        <x:v>E0</x:v>
      </x:c>
      <x:c r="P344" s="63" t="str">
        <x:v>APPROVED</x:v>
      </x:c>
      <x:c r="Q344" s="64" t="b">
        <x:v>0</x:v>
      </x:c>
      <x:c r="R344" s="63" t="str">
        <x:v>GEOGRAPHIC_EXPOSURE</x:v>
      </x:c>
      <x:c r="S344" s="63" t="str">
        <x:v>Syn Bank transaction and relationship simulation</x:v>
      </x:c>
      <x:c r="T344" s="63"/>
      <x:c r="U344" s="63" t="str">
        <x:v>internal://syn-bank/simulation/ltm</x:v>
      </x:c>
      <x:c r="V344" s="63" t="str">
        <x:v>51bb9bc3a349eea98bd6c092175827c428427d1a2ff959f83aadf2e42214dfe8</x:v>
      </x:c>
    </x:row>
    <x:row r="345">
      <x:c r="A345" s="63" t="str">
        <x:v>bec:E08:obs:corridor-name:1</x:v>
      </x:c>
      <x:c r="B345" s="63" t="str">
        <x:v>E08</x:v>
      </x:c>
      <x:c r="C345" s="63" t="str">
        <x:v>bank_observed_corridor_country</x:v>
      </x:c>
      <x:c r="D345" s="63" t="str">
        <x:v>CATEGORICAL</x:v>
      </x:c>
      <x:c r="E345" s="63" t="str">
        <x:v>OBSERVED</x:v>
      </x:c>
      <x:c r="F345" s="65"/>
      <x:c r="G345" s="66"/>
      <x:c r="H345" s="67"/>
      <x:c r="I345" s="63" t="str">
        <x:v>Botswana</x:v>
      </x:c>
      <x:c r="J345" s="63"/>
      <x:c r="K345" s="63" t="str">
        <x:v>country</x:v>
      </x:c>
      <x:c r="L345" s="63" t="str">
        <x:v>2025-06-01</x:v>
      </x:c>
      <x:c r="M345" s="63" t="str">
        <x:v>2026-06-30</x:v>
      </x:c>
      <x:c r="N345" s="63" t="str">
        <x:v>2026-06-30</x:v>
      </x:c>
      <x:c r="O345" s="63" t="str">
        <x:v>E0</x:v>
      </x:c>
      <x:c r="P345" s="63" t="str">
        <x:v>APPROVED</x:v>
      </x:c>
      <x:c r="Q345" s="64" t="b">
        <x:v>0</x:v>
      </x:c>
      <x:c r="R345" s="63" t="str">
        <x:v>GEOGRAPHIC_EXPOSURE</x:v>
      </x:c>
      <x:c r="S345" s="63" t="str">
        <x:v>Syn Bank transaction and relationship simulation</x:v>
      </x:c>
      <x:c r="T345" s="63"/>
      <x:c r="U345" s="63" t="str">
        <x:v>internal://syn-bank/simulation/ltm</x:v>
      </x:c>
      <x:c r="V345" s="63" t="str">
        <x:v>d2ea7b7c0b07a128c9766ec52684c08788e33fb310fb64592d02e6d584c335b0</x:v>
      </x:c>
    </x:row>
    <x:row r="346">
      <x:c r="A346" s="63" t="str">
        <x:v>bec:E08:obs:corridor:2</x:v>
      </x:c>
      <x:c r="B346" s="63" t="str">
        <x:v>E08</x:v>
      </x:c>
      <x:c r="C346" s="63" t="str">
        <x:v>bank_observed_corridor_value</x:v>
      </x:c>
      <x:c r="D346" s="63" t="str">
        <x:v>MONEY</x:v>
      </x:c>
      <x:c r="E346" s="63" t="str">
        <x:v>OBSERVED</x:v>
      </x:c>
      <x:c r="F346" s="65" t="n">
        <x:v>604500631.46</x:v>
      </x:c>
      <x:c r="G346" s="66"/>
      <x:c r="H346" s="67"/>
      <x:c r="I346" s="63"/>
      <x:c r="J346" s="63" t="str">
        <x:v>ZAR</x:v>
      </x:c>
      <x:c r="K346" s="63" t="str">
        <x:v>ZAR</x:v>
      </x:c>
      <x:c r="L346" s="63" t="str">
        <x:v>2025-06-01</x:v>
      </x:c>
      <x:c r="M346" s="63" t="str">
        <x:v>2026-06-30</x:v>
      </x:c>
      <x:c r="N346" s="63" t="str">
        <x:v>2026-06-30</x:v>
      </x:c>
      <x:c r="O346" s="63" t="str">
        <x:v>E0</x:v>
      </x:c>
      <x:c r="P346" s="63" t="str">
        <x:v>APPROVED</x:v>
      </x:c>
      <x:c r="Q346" s="64" t="b">
        <x:v>0</x:v>
      </x:c>
      <x:c r="R346" s="63" t="str">
        <x:v>GEOGRAPHIC_EXPOSURE</x:v>
      </x:c>
      <x:c r="S346" s="63" t="str">
        <x:v>Syn Bank transaction and relationship simulation</x:v>
      </x:c>
      <x:c r="T346" s="63"/>
      <x:c r="U346" s="63" t="str">
        <x:v>internal://syn-bank/simulation/ltm</x:v>
      </x:c>
      <x:c r="V346" s="63" t="str">
        <x:v>a5a5cf4e83f668069a15f992a26b4e95fcea1e53843225d55bb8b37114791645</x:v>
      </x:c>
    </x:row>
    <x:row r="347">
      <x:c r="A347" s="63" t="str">
        <x:v>bec:E08:obs:corridor-name:2</x:v>
      </x:c>
      <x:c r="B347" s="63" t="str">
        <x:v>E08</x:v>
      </x:c>
      <x:c r="C347" s="63" t="str">
        <x:v>bank_observed_corridor_country</x:v>
      </x:c>
      <x:c r="D347" s="63" t="str">
        <x:v>CATEGORICAL</x:v>
      </x:c>
      <x:c r="E347" s="63" t="str">
        <x:v>OBSERVED</x:v>
      </x:c>
      <x:c r="F347" s="65"/>
      <x:c r="G347" s="66"/>
      <x:c r="H347" s="67"/>
      <x:c r="I347" s="63" t="str">
        <x:v>Zambia</x:v>
      </x:c>
      <x:c r="J347" s="63"/>
      <x:c r="K347" s="63" t="str">
        <x:v>country</x:v>
      </x:c>
      <x:c r="L347" s="63" t="str">
        <x:v>2025-06-01</x:v>
      </x:c>
      <x:c r="M347" s="63" t="str">
        <x:v>2026-06-30</x:v>
      </x:c>
      <x:c r="N347" s="63" t="str">
        <x:v>2026-06-30</x:v>
      </x:c>
      <x:c r="O347" s="63" t="str">
        <x:v>E0</x:v>
      </x:c>
      <x:c r="P347" s="63" t="str">
        <x:v>APPROVED</x:v>
      </x:c>
      <x:c r="Q347" s="64" t="b">
        <x:v>0</x:v>
      </x:c>
      <x:c r="R347" s="63" t="str">
        <x:v>GEOGRAPHIC_EXPOSURE</x:v>
      </x:c>
      <x:c r="S347" s="63" t="str">
        <x:v>Syn Bank transaction and relationship simulation</x:v>
      </x:c>
      <x:c r="T347" s="63"/>
      <x:c r="U347" s="63" t="str">
        <x:v>internal://syn-bank/simulation/ltm</x:v>
      </x:c>
      <x:c r="V347" s="63" t="str">
        <x:v>28540567c33c03da47d8894b845d7a625cb000c4476c3f4e91dbc05ecef04dc1</x:v>
      </x:c>
    </x:row>
    <x:row r="348">
      <x:c r="A348" s="63" t="str">
        <x:v>bec:E08:obs:currency:0</x:v>
      </x:c>
      <x:c r="B348" s="63" t="str">
        <x:v>E08</x:v>
      </x:c>
      <x:c r="C348" s="63" t="str">
        <x:v>bank_observed_currency_pair_value</x:v>
      </x:c>
      <x:c r="D348" s="63" t="str">
        <x:v>MONEY</x:v>
      </x:c>
      <x:c r="E348" s="63" t="str">
        <x:v>OBSERVED</x:v>
      </x:c>
      <x:c r="F348" s="65" t="n">
        <x:v>1735228031.859996</x:v>
      </x:c>
      <x:c r="G348" s="66"/>
      <x:c r="H348" s="67"/>
      <x:c r="I348" s="63"/>
      <x:c r="J348" s="63" t="str">
        <x:v>ZAR</x:v>
      </x:c>
      <x:c r="K348" s="63" t="str">
        <x:v>ZAR</x:v>
      </x:c>
      <x:c r="L348" s="63" t="str">
        <x:v>2025-06-01</x:v>
      </x:c>
      <x:c r="M348" s="63" t="str">
        <x:v>2026-06-30</x:v>
      </x:c>
      <x:c r="N348" s="63" t="str">
        <x:v>2026-06-30</x:v>
      </x:c>
      <x:c r="O348" s="63" t="str">
        <x:v>E0</x:v>
      </x:c>
      <x:c r="P348" s="63" t="str">
        <x:v>APPROVED</x:v>
      </x:c>
      <x:c r="Q348" s="64" t="b">
        <x:v>1</x:v>
      </x:c>
      <x:c r="R348" s="63" t="str">
        <x:v>CURRENCY_AND_COMMODITY_EXPOSURE</x:v>
      </x:c>
      <x:c r="S348" s="63" t="str">
        <x:v>Syn Bank transaction and relationship simulation</x:v>
      </x:c>
      <x:c r="T348" s="63"/>
      <x:c r="U348" s="63" t="str">
        <x:v>internal://syn-bank/simulation/ltm</x:v>
      </x:c>
      <x:c r="V348" s="63" t="str">
        <x:v>da5651fbe6d5017ba07b1db1964538c4194b1e7bf9502dd24832d0977730c677</x:v>
      </x:c>
    </x:row>
    <x:row r="349">
      <x:c r="A349" s="63" t="str">
        <x:v>bec:E08:obs:currency-pair:0</x:v>
      </x:c>
      <x:c r="B349" s="63" t="str">
        <x:v>E08</x:v>
      </x:c>
      <x:c r="C349" s="63" t="str">
        <x:v>bank_observed_currency_pair</x:v>
      </x:c>
      <x:c r="D349" s="63" t="str">
        <x:v>CATEGORICAL</x:v>
      </x:c>
      <x:c r="E349" s="63" t="str">
        <x:v>OBSERVED</x:v>
      </x:c>
      <x:c r="F349" s="65"/>
      <x:c r="G349" s="66"/>
      <x:c r="H349" s="67"/>
      <x:c r="I349" s="63" t="str">
        <x:v>AED/ZAR</x:v>
      </x:c>
      <x:c r="J349" s="63"/>
      <x:c r="K349" s="63" t="str">
        <x:v>currency_pair</x:v>
      </x:c>
      <x:c r="L349" s="63" t="str">
        <x:v>2025-06-01</x:v>
      </x:c>
      <x:c r="M349" s="63" t="str">
        <x:v>2026-06-30</x:v>
      </x:c>
      <x:c r="N349" s="63" t="str">
        <x:v>2026-06-30</x:v>
      </x:c>
      <x:c r="O349" s="63" t="str">
        <x:v>E0</x:v>
      </x:c>
      <x:c r="P349" s="63" t="str">
        <x:v>APPROVED</x:v>
      </x:c>
      <x:c r="Q349" s="64" t="b">
        <x:v>0</x:v>
      </x:c>
      <x:c r="R349" s="63" t="str">
        <x:v>CURRENCY_AND_COMMODITY_EXPOSURE</x:v>
      </x:c>
      <x:c r="S349" s="63" t="str">
        <x:v>Syn Bank transaction and relationship simulation</x:v>
      </x:c>
      <x:c r="T349" s="63"/>
      <x:c r="U349" s="63" t="str">
        <x:v>internal://syn-bank/simulation/ltm</x:v>
      </x:c>
      <x:c r="V349" s="63" t="str">
        <x:v>1086dc59b65260faae673bf81921779e2fa64d3f60681425abc7370ca1ba57c8</x:v>
      </x:c>
    </x:row>
    <x:row r="350">
      <x:c r="A350" s="63" t="str">
        <x:v>bec:E08:obs:currency:1</x:v>
      </x:c>
      <x:c r="B350" s="63" t="str">
        <x:v>E08</x:v>
      </x:c>
      <x:c r="C350" s="63" t="str">
        <x:v>bank_observed_currency_pair_value</x:v>
      </x:c>
      <x:c r="D350" s="63" t="str">
        <x:v>MONEY</x:v>
      </x:c>
      <x:c r="E350" s="63" t="str">
        <x:v>OBSERVED</x:v>
      </x:c>
      <x:c r="F350" s="65" t="n">
        <x:v>1677070259.1500044</x:v>
      </x:c>
      <x:c r="G350" s="66"/>
      <x:c r="H350" s="67"/>
      <x:c r="I350" s="63"/>
      <x:c r="J350" s="63" t="str">
        <x:v>ZAR</x:v>
      </x:c>
      <x:c r="K350" s="63" t="str">
        <x:v>ZAR</x:v>
      </x:c>
      <x:c r="L350" s="63" t="str">
        <x:v>2025-06-01</x:v>
      </x:c>
      <x:c r="M350" s="63" t="str">
        <x:v>2026-06-30</x:v>
      </x:c>
      <x:c r="N350" s="63" t="str">
        <x:v>2026-06-30</x:v>
      </x:c>
      <x:c r="O350" s="63" t="str">
        <x:v>E0</x:v>
      </x:c>
      <x:c r="P350" s="63" t="str">
        <x:v>APPROVED</x:v>
      </x:c>
      <x:c r="Q350" s="64" t="b">
        <x:v>0</x:v>
      </x:c>
      <x:c r="R350" s="63" t="str">
        <x:v>CURRENCY_AND_COMMODITY_EXPOSURE</x:v>
      </x:c>
      <x:c r="S350" s="63" t="str">
        <x:v>Syn Bank transaction and relationship simulation</x:v>
      </x:c>
      <x:c r="T350" s="63"/>
      <x:c r="U350" s="63" t="str">
        <x:v>internal://syn-bank/simulation/ltm</x:v>
      </x:c>
      <x:c r="V350" s="63" t="str">
        <x:v>53a9bb80bd38c3a5dc8d8e4b0bd03577c56e0b32ecb77aee466c4e23c423d59d</x:v>
      </x:c>
    </x:row>
    <x:row r="351">
      <x:c r="A351" s="63" t="str">
        <x:v>bec:E08:obs:currency-pair:1</x:v>
      </x:c>
      <x:c r="B351" s="63" t="str">
        <x:v>E08</x:v>
      </x:c>
      <x:c r="C351" s="63" t="str">
        <x:v>bank_observed_currency_pair</x:v>
      </x:c>
      <x:c r="D351" s="63" t="str">
        <x:v>CATEGORICAL</x:v>
      </x:c>
      <x:c r="E351" s="63" t="str">
        <x:v>OBSERVED</x:v>
      </x:c>
      <x:c r="F351" s="65"/>
      <x:c r="G351" s="66"/>
      <x:c r="H351" s="67"/>
      <x:c r="I351" s="63" t="str">
        <x:v>EUR/ZAR</x:v>
      </x:c>
      <x:c r="J351" s="63"/>
      <x:c r="K351" s="63" t="str">
        <x:v>currency_pair</x:v>
      </x:c>
      <x:c r="L351" s="63" t="str">
        <x:v>2025-06-01</x:v>
      </x:c>
      <x:c r="M351" s="63" t="str">
        <x:v>2026-06-30</x:v>
      </x:c>
      <x:c r="N351" s="63" t="str">
        <x:v>2026-06-30</x:v>
      </x:c>
      <x:c r="O351" s="63" t="str">
        <x:v>E0</x:v>
      </x:c>
      <x:c r="P351" s="63" t="str">
        <x:v>APPROVED</x:v>
      </x:c>
      <x:c r="Q351" s="64" t="b">
        <x:v>0</x:v>
      </x:c>
      <x:c r="R351" s="63" t="str">
        <x:v>CURRENCY_AND_COMMODITY_EXPOSURE</x:v>
      </x:c>
      <x:c r="S351" s="63" t="str">
        <x:v>Syn Bank transaction and relationship simulation</x:v>
      </x:c>
      <x:c r="T351" s="63"/>
      <x:c r="U351" s="63" t="str">
        <x:v>internal://syn-bank/simulation/ltm</x:v>
      </x:c>
      <x:c r="V351" s="63" t="str">
        <x:v>a3b3ba9b4a4a752ec3e3a6e2a4e1eb648d2229f4de4cb605b74f9d73c13ca434</x:v>
      </x:c>
    </x:row>
    <x:row r="352">
      <x:c r="A352" s="63" t="str">
        <x:v>bec:E08:obs:currency:2</x:v>
      </x:c>
      <x:c r="B352" s="63" t="str">
        <x:v>E08</x:v>
      </x:c>
      <x:c r="C352" s="63" t="str">
        <x:v>bank_observed_currency_pair_value</x:v>
      </x:c>
      <x:c r="D352" s="63" t="str">
        <x:v>MONEY</x:v>
      </x:c>
      <x:c r="E352" s="63" t="str">
        <x:v>OBSERVED</x:v>
      </x:c>
      <x:c r="F352" s="65" t="n">
        <x:v>1667095244.7599955</x:v>
      </x:c>
      <x:c r="G352" s="66"/>
      <x:c r="H352" s="67"/>
      <x:c r="I352" s="63"/>
      <x:c r="J352" s="63" t="str">
        <x:v>ZAR</x:v>
      </x:c>
      <x:c r="K352" s="63" t="str">
        <x:v>ZAR</x:v>
      </x:c>
      <x:c r="L352" s="63" t="str">
        <x:v>2025-06-01</x:v>
      </x:c>
      <x:c r="M352" s="63" t="str">
        <x:v>2026-06-30</x:v>
      </x:c>
      <x:c r="N352" s="63" t="str">
        <x:v>2026-06-30</x:v>
      </x:c>
      <x:c r="O352" s="63" t="str">
        <x:v>E0</x:v>
      </x:c>
      <x:c r="P352" s="63" t="str">
        <x:v>APPROVED</x:v>
      </x:c>
      <x:c r="Q352" s="64" t="b">
        <x:v>0</x:v>
      </x:c>
      <x:c r="R352" s="63" t="str">
        <x:v>CURRENCY_AND_COMMODITY_EXPOSURE</x:v>
      </x:c>
      <x:c r="S352" s="63" t="str">
        <x:v>Syn Bank transaction and relationship simulation</x:v>
      </x:c>
      <x:c r="T352" s="63"/>
      <x:c r="U352" s="63" t="str">
        <x:v>internal://syn-bank/simulation/ltm</x:v>
      </x:c>
      <x:c r="V352" s="63" t="str">
        <x:v>0a98c36153c446c9e05bf939b7f61e5ef1199c4a0cdbfee9e1473259b282af4c</x:v>
      </x:c>
    </x:row>
    <x:row r="353">
      <x:c r="A353" s="63" t="str">
        <x:v>bec:E08:obs:currency-pair:2</x:v>
      </x:c>
      <x:c r="B353" s="63" t="str">
        <x:v>E08</x:v>
      </x:c>
      <x:c r="C353" s="63" t="str">
        <x:v>bank_observed_currency_pair</x:v>
      </x:c>
      <x:c r="D353" s="63" t="str">
        <x:v>CATEGORICAL</x:v>
      </x:c>
      <x:c r="E353" s="63" t="str">
        <x:v>OBSERVED</x:v>
      </x:c>
      <x:c r="F353" s="65"/>
      <x:c r="G353" s="66"/>
      <x:c r="H353" s="67"/>
      <x:c r="I353" s="63" t="str">
        <x:v>USD/ZAR</x:v>
      </x:c>
      <x:c r="J353" s="63"/>
      <x:c r="K353" s="63" t="str">
        <x:v>currency_pair</x:v>
      </x:c>
      <x:c r="L353" s="63" t="str">
        <x:v>2025-06-01</x:v>
      </x:c>
      <x:c r="M353" s="63" t="str">
        <x:v>2026-06-30</x:v>
      </x:c>
      <x:c r="N353" s="63" t="str">
        <x:v>2026-06-30</x:v>
      </x:c>
      <x:c r="O353" s="63" t="str">
        <x:v>E0</x:v>
      </x:c>
      <x:c r="P353" s="63" t="str">
        <x:v>APPROVED</x:v>
      </x:c>
      <x:c r="Q353" s="64" t="b">
        <x:v>0</x:v>
      </x:c>
      <x:c r="R353" s="63" t="str">
        <x:v>CURRENCY_AND_COMMODITY_EXPOSURE</x:v>
      </x:c>
      <x:c r="S353" s="63" t="str">
        <x:v>Syn Bank transaction and relationship simulation</x:v>
      </x:c>
      <x:c r="T353" s="63"/>
      <x:c r="U353" s="63" t="str">
        <x:v>internal://syn-bank/simulation/ltm</x:v>
      </x:c>
      <x:c r="V353" s="63" t="str">
        <x:v>2165b67739d6f1aff8d0a5602d8e39b4c2dc556ee7755beda22fe7e8f7d91ad4</x:v>
      </x:c>
    </x:row>
    <x:row r="354">
      <x:c r="A354" s="63" t="str">
        <x:v>bec:E08:obs:country-count</x:v>
      </x:c>
      <x:c r="B354" s="63" t="str">
        <x:v>E08</x:v>
      </x:c>
      <x:c r="C354" s="63" t="str">
        <x:v>bank_observed_active_country_count</x:v>
      </x:c>
      <x:c r="D354" s="63" t="str">
        <x:v>COUNT</x:v>
      </x:c>
      <x:c r="E354" s="63" t="str">
        <x:v>OBSERVED</x:v>
      </x:c>
      <x:c r="F354" s="65"/>
      <x:c r="G354" s="66"/>
      <x:c r="H354" s="67" t="n">
        <x:v>20</x:v>
      </x:c>
      <x:c r="I354" s="63"/>
      <x:c r="J354" s="63"/>
      <x:c r="K354" s="63" t="str">
        <x:v>countries</x:v>
      </x:c>
      <x:c r="L354" s="63" t="str">
        <x:v>2025-06-01</x:v>
      </x:c>
      <x:c r="M354" s="63" t="str">
        <x:v>2026-06-30</x:v>
      </x:c>
      <x:c r="N354" s="63" t="str">
        <x:v>2026-06-30</x:v>
      </x:c>
      <x:c r="O354" s="63" t="str">
        <x:v>E0</x:v>
      </x:c>
      <x:c r="P354" s="63" t="str">
        <x:v>APPROVED</x:v>
      </x:c>
      <x:c r="Q354" s="64" t="b">
        <x:v>1</x:v>
      </x:c>
      <x:c r="R354" s="63" t="str">
        <x:v>GEOGRAPHIC_EXPOSURE</x:v>
      </x:c>
      <x:c r="S354" s="63" t="str">
        <x:v>Syn Bank transaction and relationship simulation</x:v>
      </x:c>
      <x:c r="T354" s="63"/>
      <x:c r="U354" s="63" t="str">
        <x:v>internal://syn-bank/simulation/ltm</x:v>
      </x:c>
      <x:c r="V354" s="63" t="str">
        <x:v>35805333ce7473c6341dc372418c29445a854ee9523278d1bea4b6b58ff44e57</x:v>
      </x:c>
    </x:row>
    <x:row r="355">
      <x:c r="A355" s="63" t="str">
        <x:v>bec:E08:obs:relationship-breadth</x:v>
      </x:c>
      <x:c r="B355" s="63" t="str">
        <x:v>E08</x:v>
      </x:c>
      <x:c r="C355" s="63" t="str">
        <x:v>bank_observed_product_relationship_breadth</x:v>
      </x:c>
      <x:c r="D355" s="63" t="str">
        <x:v>COUNT</x:v>
      </x:c>
      <x:c r="E355" s="63" t="str">
        <x:v>OBSERVED</x:v>
      </x:c>
      <x:c r="F355" s="65"/>
      <x:c r="G355" s="66"/>
      <x:c r="H355" s="67" t="n">
        <x:v>5</x:v>
      </x:c>
      <x:c r="I355" s="63"/>
      <x:c r="J355" s="63"/>
      <x:c r="K355" s="63" t="str">
        <x:v>products</x:v>
      </x:c>
      <x:c r="L355" s="63" t="str">
        <x:v>2025-06-01</x:v>
      </x:c>
      <x:c r="M355" s="63" t="str">
        <x:v>2026-06-30</x:v>
      </x:c>
      <x:c r="N355" s="63" t="str">
        <x:v>2026-06-30</x:v>
      </x:c>
      <x:c r="O355" s="63" t="str">
        <x:v>E0</x:v>
      </x:c>
      <x:c r="P355" s="63" t="str">
        <x:v>APPROVED</x:v>
      </x:c>
      <x:c r="Q355" s="64" t="b">
        <x:v>1</x:v>
      </x:c>
      <x:c r="R355" s="63" t="str">
        <x:v>OPERATING_MODEL</x:v>
      </x:c>
      <x:c r="S355" s="63" t="str">
        <x:v>Syn Bank transaction and relationship simulation</x:v>
      </x:c>
      <x:c r="T355" s="63"/>
      <x:c r="U355" s="63" t="str">
        <x:v>internal://syn-bank/simulation/ltm</x:v>
      </x:c>
      <x:c r="V355" s="63" t="str">
        <x:v>3cff156d92caf015bd5549f016e15d16f24bb3760f8e5d0f0c0a59704adf0b3f</x:v>
      </x:c>
    </x:row>
    <x:row r="356">
      <x:c r="A356" s="63" t="str">
        <x:v>bec:E08:obs:latent:operating_scale</x:v>
      </x:c>
      <x:c r="B356" s="63" t="str">
        <x:v>E08</x:v>
      </x:c>
      <x:c r="C356" s="63" t="str">
        <x:v>bank_observed_operating_scale_index</x:v>
      </x:c>
      <x:c r="D356" s="63" t="str">
        <x:v>RATIO</x:v>
      </x:c>
      <x:c r="E356" s="63" t="str">
        <x:v>OBSERVED</x:v>
      </x:c>
      <x:c r="F356" s="65"/>
      <x:c r="G356" s="66" t="n">
        <x:v>0.95</x:v>
      </x:c>
      <x:c r="H356" s="67"/>
      <x:c r="I356" s="63"/>
      <x:c r="J356" s="63"/>
      <x:c r="K356" s="63" t="str">
        <x:v>index_0_1</x:v>
      </x:c>
      <x:c r="L356" s="63" t="str">
        <x:v>2025-06-01</x:v>
      </x:c>
      <x:c r="M356" s="63" t="str">
        <x:v>2026-06-30</x:v>
      </x:c>
      <x:c r="N356" s="63" t="str">
        <x:v>2026-06-30</x:v>
      </x:c>
      <x:c r="O356" s="63" t="str">
        <x:v>E0</x:v>
      </x:c>
      <x:c r="P356" s="63" t="str">
        <x:v>APPROVED</x:v>
      </x:c>
      <x:c r="Q356" s="64" t="b">
        <x:v>0</x:v>
      </x:c>
      <x:c r="R356" s="63" t="str">
        <x:v>OPERATING_MODEL</x:v>
      </x:c>
      <x:c r="S356" s="63" t="str">
        <x:v>Syn Bank transaction and relationship simulation</x:v>
      </x:c>
      <x:c r="T356" s="63"/>
      <x:c r="U356" s="63" t="str">
        <x:v>internal://syn-bank/simulation/ltm</x:v>
      </x:c>
      <x:c r="V356" s="63" t="str">
        <x:v>eab639d955b37a9f8e4afd5d572504768b68b8ac29eb13ee32bdb9647a5eea40</x:v>
      </x:c>
    </x:row>
    <x:row r="357">
      <x:c r="A357" s="63" t="str">
        <x:v>bec:E08:obs:latent:working_capital_intensity</x:v>
      </x:c>
      <x:c r="B357" s="63" t="str">
        <x:v>E08</x:v>
      </x:c>
      <x:c r="C357" s="63" t="str">
        <x:v>bank_observed_working_capital_intensity_index</x:v>
      </x:c>
      <x:c r="D357" s="63" t="str">
        <x:v>RATIO</x:v>
      </x:c>
      <x:c r="E357" s="63" t="str">
        <x:v>OBSERVED</x:v>
      </x:c>
      <x:c r="F357" s="65"/>
      <x:c r="G357" s="66" t="n">
        <x:v>0.87</x:v>
      </x:c>
      <x:c r="H357" s="67"/>
      <x:c r="I357" s="63"/>
      <x:c r="J357" s="63"/>
      <x:c r="K357" s="63" t="str">
        <x:v>index_0_1</x:v>
      </x:c>
      <x:c r="L357" s="63" t="str">
        <x:v>2025-06-01</x:v>
      </x:c>
      <x:c r="M357" s="63" t="str">
        <x:v>2026-06-30</x:v>
      </x:c>
      <x:c r="N357" s="63" t="str">
        <x:v>2026-06-30</x:v>
      </x:c>
      <x:c r="O357" s="63" t="str">
        <x:v>E0</x:v>
      </x:c>
      <x:c r="P357" s="63" t="str">
        <x:v>APPROVED</x:v>
      </x:c>
      <x:c r="Q357" s="64" t="b">
        <x:v>0</x:v>
      </x:c>
      <x:c r="R357" s="63" t="str">
        <x:v>WORKING_CAPITAL_CYCLE</x:v>
      </x:c>
      <x:c r="S357" s="63" t="str">
        <x:v>Syn Bank transaction and relationship simulation</x:v>
      </x:c>
      <x:c r="T357" s="63"/>
      <x:c r="U357" s="63" t="str">
        <x:v>internal://syn-bank/simulation/ltm</x:v>
      </x:c>
      <x:c r="V357" s="63" t="str">
        <x:v>5644d5daa89b5e9a58485f6834a1362e8d85429a7933c41fa84e1652756c73cc</x:v>
      </x:c>
    </x:row>
    <x:row r="358">
      <x:c r="A358" s="63" t="str">
        <x:v>bec:E08:obs:latent:liquidity_volatility</x:v>
      </x:c>
      <x:c r="B358" s="63" t="str">
        <x:v>E08</x:v>
      </x:c>
      <x:c r="C358" s="63" t="str">
        <x:v>bank_observed_liquidity_volatility_index</x:v>
      </x:c>
      <x:c r="D358" s="63" t="str">
        <x:v>RATIO</x:v>
      </x:c>
      <x:c r="E358" s="63" t="str">
        <x:v>OBSERVED</x:v>
      </x:c>
      <x:c r="F358" s="65"/>
      <x:c r="G358" s="66" t="n">
        <x:v>0.019</x:v>
      </x:c>
      <x:c r="H358" s="67"/>
      <x:c r="I358" s="63"/>
      <x:c r="J358" s="63"/>
      <x:c r="K358" s="63" t="str">
        <x:v>index_0_1</x:v>
      </x:c>
      <x:c r="L358" s="63" t="str">
        <x:v>2025-06-01</x:v>
      </x:c>
      <x:c r="M358" s="63" t="str">
        <x:v>2026-06-30</x:v>
      </x:c>
      <x:c r="N358" s="63" t="str">
        <x:v>2026-06-30</x:v>
      </x:c>
      <x:c r="O358" s="63" t="str">
        <x:v>E0</x:v>
      </x:c>
      <x:c r="P358" s="63" t="str">
        <x:v>APPROVED</x:v>
      </x:c>
      <x:c r="Q358" s="64" t="b">
        <x:v>0</x:v>
      </x:c>
      <x:c r="R358" s="63" t="str">
        <x:v>LIQUIDITY_AND_BUFFER</x:v>
      </x:c>
      <x:c r="S358" s="63" t="str">
        <x:v>Syn Bank transaction and relationship simulation</x:v>
      </x:c>
      <x:c r="T358" s="63"/>
      <x:c r="U358" s="63" t="str">
        <x:v>internal://syn-bank/simulation/ltm</x:v>
      </x:c>
      <x:c r="V358" s="63" t="str">
        <x:v>dde9888ea83b9a63aea1886754cd1688457a7c13e1cf41c35e91dba98dd9854d</x:v>
      </x:c>
    </x:row>
    <x:row r="359">
      <x:c r="A359" s="63" t="str">
        <x:v>bec:E08:obs:latent:international_exposure</x:v>
      </x:c>
      <x:c r="B359" s="63" t="str">
        <x:v>E08</x:v>
      </x:c>
      <x:c r="C359" s="63" t="str">
        <x:v>bank_observed_international_exposure_index</x:v>
      </x:c>
      <x:c r="D359" s="63" t="str">
        <x:v>RATIO</x:v>
      </x:c>
      <x:c r="E359" s="63" t="str">
        <x:v>OBSERVED</x:v>
      </x:c>
      <x:c r="F359" s="65"/>
      <x:c r="G359" s="66" t="n">
        <x:v>0.13</x:v>
      </x:c>
      <x:c r="H359" s="67"/>
      <x:c r="I359" s="63"/>
      <x:c r="J359" s="63"/>
      <x:c r="K359" s="63" t="str">
        <x:v>index_0_1</x:v>
      </x:c>
      <x:c r="L359" s="63" t="str">
        <x:v>2025-06-01</x:v>
      </x:c>
      <x:c r="M359" s="63" t="str">
        <x:v>2026-06-30</x:v>
      </x:c>
      <x:c r="N359" s="63" t="str">
        <x:v>2026-06-30</x:v>
      </x:c>
      <x:c r="O359" s="63" t="str">
        <x:v>E0</x:v>
      </x:c>
      <x:c r="P359" s="63" t="str">
        <x:v>APPROVED</x:v>
      </x:c>
      <x:c r="Q359" s="64" t="b">
        <x:v>0</x:v>
      </x:c>
      <x:c r="R359" s="63" t="str">
        <x:v>GEOGRAPHIC_EXPOSURE</x:v>
      </x:c>
      <x:c r="S359" s="63" t="str">
        <x:v>Syn Bank transaction and relationship simulation</x:v>
      </x:c>
      <x:c r="T359" s="63"/>
      <x:c r="U359" s="63" t="str">
        <x:v>internal://syn-bank/simulation/ltm</x:v>
      </x:c>
      <x:c r="V359" s="63" t="str">
        <x:v>07684a700875df23784ae26a54419cb74defcf7816532c9f62f773cfb23626ea</x:v>
      </x:c>
    </x:row>
    <x:row r="360">
      <x:c r="A360" s="63" t="str">
        <x:v>bec:E08:obs:latent:financing_need</x:v>
      </x:c>
      <x:c r="B360" s="63" t="str">
        <x:v>E08</x:v>
      </x:c>
      <x:c r="C360" s="63" t="str">
        <x:v>bank_observed_financing_need_index</x:v>
      </x:c>
      <x:c r="D360" s="63" t="str">
        <x:v>RATIO</x:v>
      </x:c>
      <x:c r="E360" s="63" t="str">
        <x:v>OBSERVED</x:v>
      </x:c>
      <x:c r="F360" s="65"/>
      <x:c r="G360" s="66" t="n">
        <x:v>0.009</x:v>
      </x:c>
      <x:c r="H360" s="67"/>
      <x:c r="I360" s="63"/>
      <x:c r="J360" s="63"/>
      <x:c r="K360" s="63" t="str">
        <x:v>index_0_1</x:v>
      </x:c>
      <x:c r="L360" s="63" t="str">
        <x:v>2025-06-01</x:v>
      </x:c>
      <x:c r="M360" s="63" t="str">
        <x:v>2026-06-30</x:v>
      </x:c>
      <x:c r="N360" s="63" t="str">
        <x:v>2026-06-30</x:v>
      </x:c>
      <x:c r="O360" s="63" t="str">
        <x:v>E0</x:v>
      </x:c>
      <x:c r="P360" s="63" t="str">
        <x:v>APPROVED</x:v>
      </x:c>
      <x:c r="Q360" s="64" t="b">
        <x:v>0</x:v>
      </x:c>
      <x:c r="R360" s="63" t="str">
        <x:v>FUNDING_STRUCTURE</x:v>
      </x:c>
      <x:c r="S360" s="63" t="str">
        <x:v>Syn Bank transaction and relationship simulation</x:v>
      </x:c>
      <x:c r="T360" s="63"/>
      <x:c r="U360" s="63" t="str">
        <x:v>internal://syn-bank/simulation/ltm</x:v>
      </x:c>
      <x:c r="V360" s="63" t="str">
        <x:v>216a9c727037535d40700fc3d4b01405ecc2bfa5395190d0594d38c37f9ae42e</x:v>
      </x:c>
    </x:row>
    <x:row r="361">
      <x:c r="A361" s="63" t="str">
        <x:v>bec:E08:obs:latent:event_intensity</x:v>
      </x:c>
      <x:c r="B361" s="63" t="str">
        <x:v>E08</x:v>
      </x:c>
      <x:c r="C361" s="63" t="str">
        <x:v>bank_observed_event_intensity_index</x:v>
      </x:c>
      <x:c r="D361" s="63" t="str">
        <x:v>RATIO</x:v>
      </x:c>
      <x:c r="E361" s="63" t="str">
        <x:v>OBSERVED</x:v>
      </x:c>
      <x:c r="F361" s="65"/>
      <x:c r="G361" s="66" t="n">
        <x:v>1</x:v>
      </x:c>
      <x:c r="H361" s="67"/>
      <x:c r="I361" s="63"/>
      <x:c r="J361" s="63"/>
      <x:c r="K361" s="63" t="str">
        <x:v>index_0_1</x:v>
      </x:c>
      <x:c r="L361" s="63" t="str">
        <x:v>2025-06-01</x:v>
      </x:c>
      <x:c r="M361" s="63" t="str">
        <x:v>2026-06-30</x:v>
      </x:c>
      <x:c r="N361" s="63" t="str">
        <x:v>2026-06-30</x:v>
      </x:c>
      <x:c r="O361" s="63" t="str">
        <x:v>E0</x:v>
      </x:c>
      <x:c r="P361" s="63" t="str">
        <x:v>APPROVED</x:v>
      </x:c>
      <x:c r="Q361" s="64" t="b">
        <x:v>0</x:v>
      </x:c>
      <x:c r="R361" s="63" t="str">
        <x:v>STRATEGY_ACTIONS_AND_ESG</x:v>
      </x:c>
      <x:c r="S361" s="63" t="str">
        <x:v>Syn Bank transaction and relationship simulation</x:v>
      </x:c>
      <x:c r="T361" s="63"/>
      <x:c r="U361" s="63" t="str">
        <x:v>internal://syn-bank/simulation/ltm</x:v>
      </x:c>
      <x:c r="V361" s="63" t="str">
        <x:v>75b6a53e0e153a0f66c9fa4754194266422f6259b913a6937213f81bbe2d92eb</x:v>
      </x:c>
    </x:row>
    <x:row r="362">
      <x:c r="A362" s="63" t="str">
        <x:v>bec:E08:obs:latent:relationship_complexity</x:v>
      </x:c>
      <x:c r="B362" s="63" t="str">
        <x:v>E08</x:v>
      </x:c>
      <x:c r="C362" s="63" t="str">
        <x:v>bank_observed_relationship_complexity_index</x:v>
      </x:c>
      <x:c r="D362" s="63" t="str">
        <x:v>RATIO</x:v>
      </x:c>
      <x:c r="E362" s="63" t="str">
        <x:v>OBSERVED</x:v>
      </x:c>
      <x:c r="F362" s="65"/>
      <x:c r="G362" s="66" t="n">
        <x:v>1</x:v>
      </x:c>
      <x:c r="H362" s="67"/>
      <x:c r="I362" s="63"/>
      <x:c r="J362" s="63"/>
      <x:c r="K362" s="63" t="str">
        <x:v>index_0_1</x:v>
      </x:c>
      <x:c r="L362" s="63" t="str">
        <x:v>2025-06-01</x:v>
      </x:c>
      <x:c r="M362" s="63" t="str">
        <x:v>2026-06-30</x:v>
      </x:c>
      <x:c r="N362" s="63" t="str">
        <x:v>2026-06-30</x:v>
      </x:c>
      <x:c r="O362" s="63" t="str">
        <x:v>E0</x:v>
      </x:c>
      <x:c r="P362" s="63" t="str">
        <x:v>APPROVED</x:v>
      </x:c>
      <x:c r="Q362" s="64" t="b">
        <x:v>0</x:v>
      </x:c>
      <x:c r="R362" s="63" t="str">
        <x:v>OPERATING_MODEL</x:v>
      </x:c>
      <x:c r="S362" s="63" t="str">
        <x:v>Syn Bank transaction and relationship simulation</x:v>
      </x:c>
      <x:c r="T362" s="63"/>
      <x:c r="U362" s="63" t="str">
        <x:v>internal://syn-bank/simulation/ltm</x:v>
      </x:c>
      <x:c r="V362" s="63" t="str">
        <x:v>e0134d293ae962f74a5803ff247cdc652ba0e63f4e568402b654dcc863989294</x:v>
      </x:c>
    </x:row>
    <x:row r="363">
      <x:c r="A363" s="63" t="str">
        <x:v>bec:E08:obs:events:trade-90d</x:v>
      </x:c>
      <x:c r="B363" s="63" t="str">
        <x:v>E08</x:v>
      </x:c>
      <x:c r="C363" s="63" t="str">
        <x:v>bank_observed_trade_events_next_90d</x:v>
      </x:c>
      <x:c r="D363" s="63" t="str">
        <x:v>COUNT</x:v>
      </x:c>
      <x:c r="E363" s="63" t="str">
        <x:v>OBSERVED</x:v>
      </x:c>
      <x:c r="F363" s="65"/>
      <x:c r="G363" s="66"/>
      <x:c r="H363" s="67" t="n">
        <x:v>18</x:v>
      </x:c>
      <x:c r="I363" s="63"/>
      <x:c r="J363" s="63"/>
      <x:c r="K363" s="63" t="str">
        <x:v>events</x:v>
      </x:c>
      <x:c r="L363" s="63" t="str">
        <x:v>2025-06-01</x:v>
      </x:c>
      <x:c r="M363" s="63" t="str">
        <x:v>2026-06-30</x:v>
      </x:c>
      <x:c r="N363" s="63" t="str">
        <x:v>2026-06-30</x:v>
      </x:c>
      <x:c r="O363" s="63" t="str">
        <x:v>E0</x:v>
      </x:c>
      <x:c r="P363" s="63" t="str">
        <x:v>APPROVED</x:v>
      </x:c>
      <x:c r="Q363" s="64" t="b">
        <x:v>1</x:v>
      </x:c>
      <x:c r="R363" s="63" t="str">
        <x:v>OPERATING_MODEL, WORKING_CAPITAL_CYCLE</x:v>
      </x:c>
      <x:c r="S363" s="63" t="str">
        <x:v>Syn Bank transaction and relationship simulation</x:v>
      </x:c>
      <x:c r="T363" s="63"/>
      <x:c r="U363" s="63" t="str">
        <x:v>internal://syn-bank/simulation/ltm</x:v>
      </x:c>
      <x:c r="V363" s="63" t="str">
        <x:v>cd5f23fe46dca667ff32360c06379bd89fd628e121e9b31021ce304c29c95ba8</x:v>
      </x:c>
    </x:row>
    <x:row r="364">
      <x:c r="A364" s="63" t="str">
        <x:v>bec:E08:obs:events:trade-90d-value</x:v>
      </x:c>
      <x:c r="B364" s="63" t="str">
        <x:v>E08</x:v>
      </x:c>
      <x:c r="C364" s="63" t="str">
        <x:v>bank_observed_trade_events_value_next_90d</x:v>
      </x:c>
      <x:c r="D364" s="63" t="str">
        <x:v>MONEY</x:v>
      </x:c>
      <x:c r="E364" s="63" t="str">
        <x:v>OBSERVED</x:v>
      </x:c>
      <x:c r="F364" s="65" t="n">
        <x:v>21301075.72</x:v>
      </x:c>
      <x:c r="G364" s="66"/>
      <x:c r="H364" s="67"/>
      <x:c r="I364" s="63"/>
      <x:c r="J364" s="63" t="str">
        <x:v>ZAR</x:v>
      </x:c>
      <x:c r="K364" s="63" t="str">
        <x:v>ZAR</x:v>
      </x:c>
      <x:c r="L364" s="63" t="str">
        <x:v>2025-06-01</x:v>
      </x:c>
      <x:c r="M364" s="63" t="str">
        <x:v>2026-06-30</x:v>
      </x:c>
      <x:c r="N364" s="63" t="str">
        <x:v>2026-06-30</x:v>
      </x:c>
      <x:c r="O364" s="63" t="str">
        <x:v>E0</x:v>
      </x:c>
      <x:c r="P364" s="63" t="str">
        <x:v>APPROVED</x:v>
      </x:c>
      <x:c r="Q364" s="64" t="b">
        <x:v>0</x:v>
      </x:c>
      <x:c r="R364" s="63" t="str">
        <x:v>WORKING_CAPITAL_CYCLE</x:v>
      </x:c>
      <x:c r="S364" s="63" t="str">
        <x:v>Syn Bank transaction and relationship simulation</x:v>
      </x:c>
      <x:c r="T364" s="63"/>
      <x:c r="U364" s="63" t="str">
        <x:v>internal://syn-bank/simulation/ltm</x:v>
      </x:c>
      <x:c r="V364" s="63" t="str">
        <x:v>0637f73fe0080c4abcaa39a865754e344f578556cfc7cb40b45f8d2f49a37379</x:v>
      </x:c>
    </x:row>
    <x:row r="365">
      <x:c r="A365" s="63" t="str">
        <x:v>bec:E08:struct:operating-model</x:v>
      </x:c>
      <x:c r="B365" s="63" t="str">
        <x:v>E08</x:v>
      </x:c>
      <x:c r="C365" s="63" t="str">
        <x:v>sector_operating_model</x:v>
      </x:c>
      <x:c r="D365" s="63" t="str">
        <x:v>TEXTUAL</x:v>
      </x:c>
      <x:c r="E365" s="63" t="str">
        <x:v>SCENARIO</x:v>
      </x:c>
      <x:c r="F365" s="65"/>
      <x:c r="G365" s="66"/>
      <x:c r="H365" s="67"/>
      <x:c r="I365" s="63" t="str">
        <x:v>Regulated underwriter with premium collections, claims payment cycles and investment-portfolio liquidity.</x:v>
      </x:c>
      <x:c r="J365" s="63"/>
      <x:c r="K365" s="63" t="str">
        <x:v>statement</x:v>
      </x:c>
      <x:c r="L365" s="63" t="str">
        <x:v>2025-06-01</x:v>
      </x:c>
      <x:c r="M365" s="63" t="str">
        <x:v>2026-06-30</x:v>
      </x:c>
      <x:c r="N365" s="63" t="str">
        <x:v>2026-06-30</x:v>
      </x:c>
      <x:c r="O365" s="63" t="str">
        <x:v>E0</x:v>
      </x:c>
      <x:c r="P365" s="63" t="str">
        <x:v>APPROVED</x:v>
      </x:c>
      <x:c r="Q365" s="64" t="b">
        <x:v>0</x:v>
      </x:c>
      <x:c r="R365" s="63" t="str">
        <x:v>OPERATING_MODEL</x:v>
      </x:c>
      <x:c r="S365" s="63" t="str">
        <x:v>Governed sector operating-model and responsibility policy</x:v>
      </x:c>
      <x:c r="T365" s="63"/>
      <x:c r="U365" s="63" t="str">
        <x:v>internal://v31/governed-policy</x:v>
      </x:c>
      <x:c r="V365" s="63" t="str">
        <x:v>e1b6b9256a313bace8a839537b000533f9c8f7725e7d2aee55638810af7bf710</x:v>
      </x:c>
    </x:row>
    <x:row r="366">
      <x:c r="A366" s="63" t="str">
        <x:v>bec:E08:struct:risk:0</x:v>
      </x:c>
      <x:c r="B366" s="63" t="str">
        <x:v>E08</x:v>
      </x:c>
      <x:c r="C366" s="63" t="str">
        <x:v>sector_primary_risk</x:v>
      </x:c>
      <x:c r="D366" s="63" t="str">
        <x:v>CATEGORICAL</x:v>
      </x:c>
      <x:c r="E366" s="63" t="str">
        <x:v>SCENARIO</x:v>
      </x:c>
      <x:c r="F366" s="65"/>
      <x:c r="G366" s="66"/>
      <x:c r="H366" s="67"/>
      <x:c r="I366" s="63" t="str">
        <x:v>claims volatility</x:v>
      </x:c>
      <x:c r="J366" s="63"/>
      <x:c r="K366" s="63" t="str">
        <x:v>statement</x:v>
      </x:c>
      <x:c r="L366" s="63" t="str">
        <x:v>2025-06-01</x:v>
      </x:c>
      <x:c r="M366" s="63" t="str">
        <x:v>2026-06-30</x:v>
      </x:c>
      <x:c r="N366" s="63" t="str">
        <x:v>2026-06-30</x:v>
      </x:c>
      <x:c r="O366" s="63" t="str">
        <x:v>E0</x:v>
      </x:c>
      <x:c r="P366" s="63" t="str">
        <x:v>APPROVED</x:v>
      </x:c>
      <x:c r="Q366" s="64" t="b">
        <x:v>0</x:v>
      </x:c>
      <x:c r="R366" s="63" t="str">
        <x:v>BUSINESS_AND_FINANCIAL_RISKS</x:v>
      </x:c>
      <x:c r="S366" s="63" t="str">
        <x:v>Governed sector operating-model and responsibility policy</x:v>
      </x:c>
      <x:c r="T366" s="63"/>
      <x:c r="U366" s="63" t="str">
        <x:v>internal://v31/governed-policy</x:v>
      </x:c>
      <x:c r="V366" s="63" t="str">
        <x:v>6c822eeb9edf6c0001fb4022878025fa5e85e5c1d99ef1ff5966ab8df0ea0035</x:v>
      </x:c>
    </x:row>
    <x:row r="367">
      <x:c r="A367" s="63" t="str">
        <x:v>bec:E08:struct:risk:1</x:v>
      </x:c>
      <x:c r="B367" s="63" t="str">
        <x:v>E08</x:v>
      </x:c>
      <x:c r="C367" s="63" t="str">
        <x:v>sector_primary_risk</x:v>
      </x:c>
      <x:c r="D367" s="63" t="str">
        <x:v>CATEGORICAL</x:v>
      </x:c>
      <x:c r="E367" s="63" t="str">
        <x:v>SCENARIO</x:v>
      </x:c>
      <x:c r="F367" s="65"/>
      <x:c r="G367" s="66"/>
      <x:c r="H367" s="67"/>
      <x:c r="I367" s="63" t="str">
        <x:v>investment-portfolio duration</x:v>
      </x:c>
      <x:c r="J367" s="63"/>
      <x:c r="K367" s="63" t="str">
        <x:v>statement</x:v>
      </x:c>
      <x:c r="L367" s="63" t="str">
        <x:v>2025-06-01</x:v>
      </x:c>
      <x:c r="M367" s="63" t="str">
        <x:v>2026-06-30</x:v>
      </x:c>
      <x:c r="N367" s="63" t="str">
        <x:v>2026-06-30</x:v>
      </x:c>
      <x:c r="O367" s="63" t="str">
        <x:v>E0</x:v>
      </x:c>
      <x:c r="P367" s="63" t="str">
        <x:v>APPROVED</x:v>
      </x:c>
      <x:c r="Q367" s="64" t="b">
        <x:v>0</x:v>
      </x:c>
      <x:c r="R367" s="63" t="str">
        <x:v>BUSINESS_AND_FINANCIAL_RISKS</x:v>
      </x:c>
      <x:c r="S367" s="63" t="str">
        <x:v>Governed sector operating-model and responsibility policy</x:v>
      </x:c>
      <x:c r="T367" s="63"/>
      <x:c r="U367" s="63" t="str">
        <x:v>internal://v31/governed-policy</x:v>
      </x:c>
      <x:c r="V367" s="63" t="str">
        <x:v>48bb8bfd39cab75969fa57faba3fb6502fad5ea08852663c5498b232c7a0e795</x:v>
      </x:c>
    </x:row>
    <x:row r="368">
      <x:c r="A368" s="63" t="str">
        <x:v>bec:E08:struct:risk:2</x:v>
      </x:c>
      <x:c r="B368" s="63" t="str">
        <x:v>E08</x:v>
      </x:c>
      <x:c r="C368" s="63" t="str">
        <x:v>sector_primary_risk</x:v>
      </x:c>
      <x:c r="D368" s="63" t="str">
        <x:v>CATEGORICAL</x:v>
      </x:c>
      <x:c r="E368" s="63" t="str">
        <x:v>SCENARIO</x:v>
      </x:c>
      <x:c r="F368" s="65"/>
      <x:c r="G368" s="66"/>
      <x:c r="H368" s="67"/>
      <x:c r="I368" s="63" t="str">
        <x:v>regulatory capital</x:v>
      </x:c>
      <x:c r="J368" s="63"/>
      <x:c r="K368" s="63" t="str">
        <x:v>statement</x:v>
      </x:c>
      <x:c r="L368" s="63" t="str">
        <x:v>2025-06-01</x:v>
      </x:c>
      <x:c r="M368" s="63" t="str">
        <x:v>2026-06-30</x:v>
      </x:c>
      <x:c r="N368" s="63" t="str">
        <x:v>2026-06-30</x:v>
      </x:c>
      <x:c r="O368" s="63" t="str">
        <x:v>E0</x:v>
      </x:c>
      <x:c r="P368" s="63" t="str">
        <x:v>APPROVED</x:v>
      </x:c>
      <x:c r="Q368" s="64" t="b">
        <x:v>0</x:v>
      </x:c>
      <x:c r="R368" s="63" t="str">
        <x:v>BUSINESS_AND_FINANCIAL_RISKS</x:v>
      </x:c>
      <x:c r="S368" s="63" t="str">
        <x:v>Governed sector operating-model and responsibility policy</x:v>
      </x:c>
      <x:c r="T368" s="63"/>
      <x:c r="U368" s="63" t="str">
        <x:v>internal://v31/governed-policy</x:v>
      </x:c>
      <x:c r="V368" s="63" t="str">
        <x:v>fd6d60ccd01dad804a470c951410b8badd8df37cc8d60756dfe0f3fd2e177f68</x:v>
      </x:c>
    </x:row>
    <x:row r="369">
      <x:c r="A369" s="63" t="str">
        <x:v>bec:E08:struct:responsibility-model</x:v>
      </x:c>
      <x:c r="B369" s="63" t="str">
        <x:v>E08</x:v>
      </x:c>
      <x:c r="C369" s="63" t="str">
        <x:v>stakeholder_responsibility_model</x:v>
      </x:c>
      <x:c r="D369" s="63" t="str">
        <x:v>TEXTUAL</x:v>
      </x:c>
      <x:c r="E369" s="63" t="str">
        <x:v>SCENARIO</x:v>
      </x:c>
      <x:c r="F369" s="65"/>
      <x:c r="G369" s="66"/>
      <x:c r="H369" s="67"/>
      <x:c r="I369" s="63" t="str">
        <x:v>Responsibility is assigned by role persona using governed matrix v31-stakeholder-responsibility-3.1.0. Named individuals are not resolved in the demonstration and require CRM entitlement checks in production.</x:v>
      </x:c>
      <x:c r="J369" s="63"/>
      <x:c r="K369" s="63" t="str">
        <x:v>statement</x:v>
      </x:c>
      <x:c r="L369" s="63" t="str">
        <x:v>2025-06-01</x:v>
      </x:c>
      <x:c r="M369" s="63" t="str">
        <x:v>2026-06-30</x:v>
      </x:c>
      <x:c r="N369" s="63" t="str">
        <x:v>2026-06-30</x:v>
      </x:c>
      <x:c r="O369" s="63" t="str">
        <x:v>E0</x:v>
      </x:c>
      <x:c r="P369" s="63" t="str">
        <x:v>APPROVED</x:v>
      </x:c>
      <x:c r="Q369" s="64" t="b">
        <x:v>0</x:v>
      </x:c>
      <x:c r="R369" s="63" t="str">
        <x:v>STAKEHOLDER_RESPONSIBILITY</x:v>
      </x:c>
      <x:c r="S369" s="63" t="str">
        <x:v>Governed sector operating-model and responsibility policy</x:v>
      </x:c>
      <x:c r="T369" s="63"/>
      <x:c r="U369" s="63" t="str">
        <x:v>internal://v31/governed-policy</x:v>
      </x:c>
      <x:c r="V369" s="63" t="str">
        <x:v>b3f9ecf5f8e8f6d77d6b26c2d09dcb99ca02381da456da0ac97558de79abb516</x:v>
      </x:c>
    </x:row>
    <x:row r="370">
      <x:c r="A370" s="63" t="str">
        <x:v>bec:E08:struct:responsibility:fx_exposure</x:v>
      </x:c>
      <x:c r="B370" s="63" t="str">
        <x:v>E08</x:v>
      </x:c>
      <x:c r="C370" s="63" t="str">
        <x:v>problem_role_ownership</x:v>
      </x:c>
      <x:c r="D370" s="63" t="str">
        <x:v>STRUCTURE_RELATIONSHIP</x:v>
      </x:c>
      <x:c r="E370" s="63" t="str">
        <x:v>SCENARIO</x:v>
      </x:c>
      <x:c r="F370" s="65"/>
      <x:c r="G370" s="66"/>
      <x:c r="H370" s="67"/>
      <x:c r="I370" s="63"/>
      <x:c r="J370" s="63"/>
      <x:c r="K370" s="63" t="str">
        <x:v>statement</x:v>
      </x:c>
      <x:c r="L370" s="63" t="str">
        <x:v>2025-06-01</x:v>
      </x:c>
      <x:c r="M370" s="63" t="str">
        <x:v>2026-06-30</x:v>
      </x:c>
      <x:c r="N370" s="63" t="str">
        <x:v>2026-06-30</x:v>
      </x:c>
      <x:c r="O370" s="63" t="str">
        <x:v>E0</x:v>
      </x:c>
      <x:c r="P370" s="63" t="str">
        <x:v>APPROVED</x:v>
      </x:c>
      <x:c r="Q370" s="64" t="b">
        <x:v>0</x:v>
      </x:c>
      <x:c r="R370" s="63" t="str">
        <x:v>STAKEHOLDER_RESPONSIBILITY</x:v>
      </x:c>
      <x:c r="S370" s="63" t="str">
        <x:v>Governed sector operating-model and responsibility policy</x:v>
      </x:c>
      <x:c r="T370" s="63"/>
      <x:c r="U370" s="63" t="str">
        <x:v>internal://v31/governed-policy</x:v>
      </x:c>
      <x:c r="V370" s="63" t="str">
        <x:v>99146c679644956f1b38e9aaa15da0bb0b67e0206f6a1683b52b01f9d4f63429</x:v>
      </x:c>
    </x:row>
    <x:row r="371">
      <x:c r="A371" s="63" t="str">
        <x:v>bec:E08:struct:responsibility:refinancing_cliff</x:v>
      </x:c>
      <x:c r="B371" s="63" t="str">
        <x:v>E08</x:v>
      </x:c>
      <x:c r="C371" s="63" t="str">
        <x:v>problem_role_ownership</x:v>
      </x:c>
      <x:c r="D371" s="63" t="str">
        <x:v>STRUCTURE_RELATIONSHIP</x:v>
      </x:c>
      <x:c r="E371" s="63" t="str">
        <x:v>SCENARIO</x:v>
      </x:c>
      <x:c r="F371" s="65"/>
      <x:c r="G371" s="66"/>
      <x:c r="H371" s="67"/>
      <x:c r="I371" s="63"/>
      <x:c r="J371" s="63"/>
      <x:c r="K371" s="63" t="str">
        <x:v>statement</x:v>
      </x:c>
      <x:c r="L371" s="63" t="str">
        <x:v>2025-06-01</x:v>
      </x:c>
      <x:c r="M371" s="63" t="str">
        <x:v>2026-06-30</x:v>
      </x:c>
      <x:c r="N371" s="63" t="str">
        <x:v>2026-06-30</x:v>
      </x:c>
      <x:c r="O371" s="63" t="str">
        <x:v>E0</x:v>
      </x:c>
      <x:c r="P371" s="63" t="str">
        <x:v>APPROVED</x:v>
      </x:c>
      <x:c r="Q371" s="64" t="b">
        <x:v>0</x:v>
      </x:c>
      <x:c r="R371" s="63" t="str">
        <x:v>STAKEHOLDER_RESPONSIBILITY</x:v>
      </x:c>
      <x:c r="S371" s="63" t="str">
        <x:v>Governed sector operating-model and responsibility policy</x:v>
      </x:c>
      <x:c r="T371" s="63"/>
      <x:c r="U371" s="63" t="str">
        <x:v>internal://v31/governed-policy</x:v>
      </x:c>
      <x:c r="V371" s="63" t="str">
        <x:v>c969b66c249327a5bdc27709f19c3158e905ad2c3b33c6c189381ac2c890bec4</x:v>
      </x:c>
    </x:row>
    <x:row r="372">
      <x:c r="A372" s="63" t="str">
        <x:v>bec:E08:struct:responsibility:working_capital_pressure</x:v>
      </x:c>
      <x:c r="B372" s="63" t="str">
        <x:v>E08</x:v>
      </x:c>
      <x:c r="C372" s="63" t="str">
        <x:v>problem_role_ownership</x:v>
      </x:c>
      <x:c r="D372" s="63" t="str">
        <x:v>STRUCTURE_RELATIONSHIP</x:v>
      </x:c>
      <x:c r="E372" s="63" t="str">
        <x:v>SCENARIO</x:v>
      </x:c>
      <x:c r="F372" s="65"/>
      <x:c r="G372" s="66"/>
      <x:c r="H372" s="67"/>
      <x:c r="I372" s="63"/>
      <x:c r="J372" s="63"/>
      <x:c r="K372" s="63" t="str">
        <x:v>statement</x:v>
      </x:c>
      <x:c r="L372" s="63" t="str">
        <x:v>2025-06-01</x:v>
      </x:c>
      <x:c r="M372" s="63" t="str">
        <x:v>2026-06-30</x:v>
      </x:c>
      <x:c r="N372" s="63" t="str">
        <x:v>2026-06-30</x:v>
      </x:c>
      <x:c r="O372" s="63" t="str">
        <x:v>E0</x:v>
      </x:c>
      <x:c r="P372" s="63" t="str">
        <x:v>APPROVED</x:v>
      </x:c>
      <x:c r="Q372" s="64" t="b">
        <x:v>0</x:v>
      </x:c>
      <x:c r="R372" s="63" t="str">
        <x:v>STAKEHOLDER_RESPONSIBILITY</x:v>
      </x:c>
      <x:c r="S372" s="63" t="str">
        <x:v>Governed sector operating-model and responsibility policy</x:v>
      </x:c>
      <x:c r="T372" s="63"/>
      <x:c r="U372" s="63" t="str">
        <x:v>internal://v31/governed-policy</x:v>
      </x:c>
      <x:c r="V372" s="63" t="str">
        <x:v>f49c266d076cde4a4dd18c943ab40248674792f1f1088f2e1823a1cfb27b0533</x:v>
      </x:c>
    </x:row>
    <x:row r="373">
      <x:c r="A373" s="63" t="str">
        <x:v>bec:SHP-2025-REV</x:v>
      </x:c>
      <x:c r="B373" s="63" t="str">
        <x:v>E09</x:v>
      </x:c>
      <x:c r="C373" s="63" t="str">
        <x:v>revenue</x:v>
      </x:c>
      <x:c r="D373" s="63" t="str">
        <x:v>MONEY</x:v>
      </x:c>
      <x:c r="E373" s="63" t="str">
        <x:v>OBSERVED</x:v>
      </x:c>
      <x:c r="F373" s="65" t="n">
        <x:v>256682</x:v>
      </x:c>
      <x:c r="G373" s="66"/>
      <x:c r="H373" s="67"/>
      <x:c r="I373" s="63"/>
      <x:c r="J373" s="63" t="str">
        <x:v>ZAR</x:v>
      </x:c>
      <x:c r="K373" s="63" t="str">
        <x:v>million</x:v>
      </x:c>
      <x:c r="L373" s="63" t="str">
        <x:v>2024-07-01</x:v>
      </x:c>
      <x:c r="M373" s="63" t="str">
        <x:v>2025-06-29</x:v>
      </x:c>
      <x:c r="N373" s="63" t="str">
        <x:v>2025-10-13</x:v>
      </x:c>
      <x:c r="O373" s="63" t="str">
        <x:v>E1</x:v>
      </x:c>
      <x:c r="P373" s="63" t="str">
        <x:v>APPROVED</x:v>
      </x:c>
      <x:c r="Q373" s="64" t="b">
        <x:v>1</x:v>
      </x:c>
      <x:c r="R373" s="63" t="str">
        <x:v>REVENUE_ENGINE</x:v>
      </x:c>
      <x:c r="S373" s="63" t="str">
        <x:v>Shoprite Holdings Annual Financial Statements 2025</x:v>
      </x:c>
      <x:c r="T373" s="63" t="n">
        <x:v>19</x:v>
      </x:c>
      <x:c r="U373" s="63" t="str">
        <x:v>https://www.shopriteholdings.co.za/docs/shp-afs-2025.pdf</x:v>
      </x:c>
      <x:c r="V373" s="63" t="str">
        <x:v>seed-register-hash:SHP-2025-REV</x:v>
      </x:c>
    </x:row>
    <x:row r="374">
      <x:c r="A374" s="63" t="str">
        <x:v>bec:SHP-2025-COST</x:v>
      </x:c>
      <x:c r="B374" s="63" t="str">
        <x:v>E09</x:v>
      </x:c>
      <x:c r="C374" s="63" t="str">
        <x:v>operating_cost_base</x:v>
      </x:c>
      <x:c r="D374" s="63" t="str">
        <x:v>MONEY</x:v>
      </x:c>
      <x:c r="E374" s="63" t="str">
        <x:v>OBSERVED</x:v>
      </x:c>
      <x:c r="F374" s="65" t="n">
        <x:v>191259</x:v>
      </x:c>
      <x:c r="G374" s="66"/>
      <x:c r="H374" s="67"/>
      <x:c r="I374" s="63"/>
      <x:c r="J374" s="63" t="str">
        <x:v>ZAR</x:v>
      </x:c>
      <x:c r="K374" s="63" t="str">
        <x:v>million</x:v>
      </x:c>
      <x:c r="L374" s="63" t="str">
        <x:v>2024-07-01</x:v>
      </x:c>
      <x:c r="M374" s="63" t="str">
        <x:v>2025-06-29</x:v>
      </x:c>
      <x:c r="N374" s="63" t="str">
        <x:v>2025-10-13</x:v>
      </x:c>
      <x:c r="O374" s="63" t="str">
        <x:v>E1</x:v>
      </x:c>
      <x:c r="P374" s="63" t="str">
        <x:v>APPROVED</x:v>
      </x:c>
      <x:c r="Q374" s="64" t="b">
        <x:v>1</x:v>
      </x:c>
      <x:c r="R374" s="63" t="str">
        <x:v>COST_ENGINE</x:v>
      </x:c>
      <x:c r="S374" s="63" t="str">
        <x:v>Shoprite Holdings Annual Financial Statements 2025</x:v>
      </x:c>
      <x:c r="T374" s="63" t="n">
        <x:v>19</x:v>
      </x:c>
      <x:c r="U374" s="63" t="str">
        <x:v>https://www.shopriteholdings.co.za/docs/shp-afs-2025.pdf</x:v>
      </x:c>
      <x:c r="V374" s="63" t="str">
        <x:v>seed-register-hash:SHP-2025-COST</x:v>
      </x:c>
    </x:row>
    <x:row r="375">
      <x:c r="A375" s="63" t="str">
        <x:v>bec:SHP-2025-AR-OPEN</x:v>
      </x:c>
      <x:c r="B375" s="63" t="str">
        <x:v>E09</x:v>
      </x:c>
      <x:c r="C375" s="63" t="str">
        <x:v>trade_receivables_open</x:v>
      </x:c>
      <x:c r="D375" s="63" t="str">
        <x:v>MONEY</x:v>
      </x:c>
      <x:c r="E375" s="63" t="str">
        <x:v>OBSERVED</x:v>
      </x:c>
      <x:c r="F375" s="65" t="n">
        <x:v>6714</x:v>
      </x:c>
      <x:c r="G375" s="66"/>
      <x:c r="H375" s="67"/>
      <x:c r="I375" s="63"/>
      <x:c r="J375" s="63" t="str">
        <x:v>ZAR</x:v>
      </x:c>
      <x:c r="K375" s="63" t="str">
        <x:v>million</x:v>
      </x:c>
      <x:c r="L375" s="63" t="str">
        <x:v>2023-07-01</x:v>
      </x:c>
      <x:c r="M375" s="63" t="str">
        <x:v>2024-06-30</x:v>
      </x:c>
      <x:c r="N375" s="63" t="str">
        <x:v>2025-10-13</x:v>
      </x:c>
      <x:c r="O375" s="63" t="str">
        <x:v>E1</x:v>
      </x:c>
      <x:c r="P375" s="63" t="str">
        <x:v>APPROVED</x:v>
      </x:c>
      <x:c r="Q375" s="64" t="b">
        <x:v>0</x:v>
      </x:c>
      <x:c r="R375" s="63" t="str">
        <x:v>REVENUE_ENGINE, WORKING_CAPITAL_CYCLE</x:v>
      </x:c>
      <x:c r="S375" s="63" t="str">
        <x:v>Shoprite Holdings Annual Financial Statements 2025</x:v>
      </x:c>
      <x:c r="T375" s="63" t="n">
        <x:v>18</x:v>
      </x:c>
      <x:c r="U375" s="63" t="str">
        <x:v>https://www.shopriteholdings.co.za/docs/shp-afs-2025.pdf</x:v>
      </x:c>
      <x:c r="V375" s="63" t="str">
        <x:v>seed-register-hash:SHP-2025-AR-OPEN</x:v>
      </x:c>
    </x:row>
    <x:row r="376">
      <x:c r="A376" s="63" t="str">
        <x:v>bec:SHP-2025-AR-CLOSE</x:v>
      </x:c>
      <x:c r="B376" s="63" t="str">
        <x:v>E09</x:v>
      </x:c>
      <x:c r="C376" s="63" t="str">
        <x:v>trade_receivables_close</x:v>
      </x:c>
      <x:c r="D376" s="63" t="str">
        <x:v>MONEY</x:v>
      </x:c>
      <x:c r="E376" s="63" t="str">
        <x:v>OBSERVED</x:v>
      </x:c>
      <x:c r="F376" s="65" t="n">
        <x:v>6291</x:v>
      </x:c>
      <x:c r="G376" s="66"/>
      <x:c r="H376" s="67"/>
      <x:c r="I376" s="63"/>
      <x:c r="J376" s="63" t="str">
        <x:v>ZAR</x:v>
      </x:c>
      <x:c r="K376" s="63" t="str">
        <x:v>million</x:v>
      </x:c>
      <x:c r="L376" s="63" t="str">
        <x:v>2024-07-01</x:v>
      </x:c>
      <x:c r="M376" s="63" t="str">
        <x:v>2025-06-29</x:v>
      </x:c>
      <x:c r="N376" s="63" t="str">
        <x:v>2025-10-13</x:v>
      </x:c>
      <x:c r="O376" s="63" t="str">
        <x:v>E1</x:v>
      </x:c>
      <x:c r="P376" s="63" t="str">
        <x:v>APPROVED</x:v>
      </x:c>
      <x:c r="Q376" s="64" t="b">
        <x:v>1</x:v>
      </x:c>
      <x:c r="R376" s="63" t="str">
        <x:v>REVENUE_ENGINE, WORKING_CAPITAL_CYCLE</x:v>
      </x:c>
      <x:c r="S376" s="63" t="str">
        <x:v>Shoprite Holdings Annual Financial Statements 2025</x:v>
      </x:c>
      <x:c r="T376" s="63" t="n">
        <x:v>18</x:v>
      </x:c>
      <x:c r="U376" s="63" t="str">
        <x:v>https://www.shopriteholdings.co.za/docs/shp-afs-2025.pdf</x:v>
      </x:c>
      <x:c r="V376" s="63" t="str">
        <x:v>seed-register-hash:SHP-2025-AR-CLOSE</x:v>
      </x:c>
    </x:row>
    <x:row r="377">
      <x:c r="A377" s="63" t="str">
        <x:v>bec:SHP-2025-INV-OPEN</x:v>
      </x:c>
      <x:c r="B377" s="63" t="str">
        <x:v>E09</x:v>
      </x:c>
      <x:c r="C377" s="63" t="str">
        <x:v>inventories_open</x:v>
      </x:c>
      <x:c r="D377" s="63" t="str">
        <x:v>MONEY</x:v>
      </x:c>
      <x:c r="E377" s="63" t="str">
        <x:v>OBSERVED</x:v>
      </x:c>
      <x:c r="F377" s="65" t="n">
        <x:v>28366</x:v>
      </x:c>
      <x:c r="G377" s="66"/>
      <x:c r="H377" s="67"/>
      <x:c r="I377" s="63"/>
      <x:c r="J377" s="63" t="str">
        <x:v>ZAR</x:v>
      </x:c>
      <x:c r="K377" s="63" t="str">
        <x:v>million</x:v>
      </x:c>
      <x:c r="L377" s="63" t="str">
        <x:v>2023-07-01</x:v>
      </x:c>
      <x:c r="M377" s="63" t="str">
        <x:v>2024-06-30</x:v>
      </x:c>
      <x:c r="N377" s="63" t="str">
        <x:v>2025-10-13</x:v>
      </x:c>
      <x:c r="O377" s="63" t="str">
        <x:v>E1</x:v>
      </x:c>
      <x:c r="P377" s="63" t="str">
        <x:v>APPROVED</x:v>
      </x:c>
      <x:c r="Q377" s="64" t="b">
        <x:v>0</x:v>
      </x:c>
      <x:c r="R377" s="63" t="str">
        <x:v>WORKING_CAPITAL_CYCLE</x:v>
      </x:c>
      <x:c r="S377" s="63" t="str">
        <x:v>Shoprite Holdings Annual Financial Statements 2025</x:v>
      </x:c>
      <x:c r="T377" s="63" t="n">
        <x:v>18</x:v>
      </x:c>
      <x:c r="U377" s="63" t="str">
        <x:v>https://www.shopriteholdings.co.za/docs/shp-afs-2025.pdf</x:v>
      </x:c>
      <x:c r="V377" s="63" t="str">
        <x:v>seed-register-hash:SHP-2025-INV-OPEN</x:v>
      </x:c>
    </x:row>
    <x:row r="378">
      <x:c r="A378" s="63" t="str">
        <x:v>bec:SHP-2025-INV-CLOSE</x:v>
      </x:c>
      <x:c r="B378" s="63" t="str">
        <x:v>E09</x:v>
      </x:c>
      <x:c r="C378" s="63" t="str">
        <x:v>inventories_close</x:v>
      </x:c>
      <x:c r="D378" s="63" t="str">
        <x:v>MONEY</x:v>
      </x:c>
      <x:c r="E378" s="63" t="str">
        <x:v>OBSERVED</x:v>
      </x:c>
      <x:c r="F378" s="65" t="n">
        <x:v>29748</x:v>
      </x:c>
      <x:c r="G378" s="66"/>
      <x:c r="H378" s="67"/>
      <x:c r="I378" s="63"/>
      <x:c r="J378" s="63" t="str">
        <x:v>ZAR</x:v>
      </x:c>
      <x:c r="K378" s="63" t="str">
        <x:v>million</x:v>
      </x:c>
      <x:c r="L378" s="63" t="str">
        <x:v>2024-07-01</x:v>
      </x:c>
      <x:c r="M378" s="63" t="str">
        <x:v>2025-06-29</x:v>
      </x:c>
      <x:c r="N378" s="63" t="str">
        <x:v>2025-10-13</x:v>
      </x:c>
      <x:c r="O378" s="63" t="str">
        <x:v>E1</x:v>
      </x:c>
      <x:c r="P378" s="63" t="str">
        <x:v>APPROVED</x:v>
      </x:c>
      <x:c r="Q378" s="64" t="b">
        <x:v>1</x:v>
      </x:c>
      <x:c r="R378" s="63" t="str">
        <x:v>WORKING_CAPITAL_CYCLE</x:v>
      </x:c>
      <x:c r="S378" s="63" t="str">
        <x:v>Shoprite Holdings Annual Financial Statements 2025</x:v>
      </x:c>
      <x:c r="T378" s="63" t="n">
        <x:v>18</x:v>
      </x:c>
      <x:c r="U378" s="63" t="str">
        <x:v>https://www.shopriteholdings.co.za/docs/shp-afs-2025.pdf</x:v>
      </x:c>
      <x:c r="V378" s="63" t="str">
        <x:v>seed-register-hash:SHP-2025-INV-CLOSE</x:v>
      </x:c>
    </x:row>
    <x:row r="379">
      <x:c r="A379" s="63" t="str">
        <x:v>bec:SHP-2025-AP-OPEN</x:v>
      </x:c>
      <x:c r="B379" s="63" t="str">
        <x:v>E09</x:v>
      </x:c>
      <x:c r="C379" s="63" t="str">
        <x:v>trade_payables_open</x:v>
      </x:c>
      <x:c r="D379" s="63" t="str">
        <x:v>MONEY</x:v>
      </x:c>
      <x:c r="E379" s="63" t="str">
        <x:v>OBSERVED</x:v>
      </x:c>
      <x:c r="F379" s="65" t="n">
        <x:v>32544</x:v>
      </x:c>
      <x:c r="G379" s="66"/>
      <x:c r="H379" s="67"/>
      <x:c r="I379" s="63"/>
      <x:c r="J379" s="63" t="str">
        <x:v>ZAR</x:v>
      </x:c>
      <x:c r="K379" s="63" t="str">
        <x:v>million</x:v>
      </x:c>
      <x:c r="L379" s="63" t="str">
        <x:v>2023-07-01</x:v>
      </x:c>
      <x:c r="M379" s="63" t="str">
        <x:v>2024-06-30</x:v>
      </x:c>
      <x:c r="N379" s="63" t="str">
        <x:v>2025-10-13</x:v>
      </x:c>
      <x:c r="O379" s="63" t="str">
        <x:v>E1</x:v>
      </x:c>
      <x:c r="P379" s="63" t="str">
        <x:v>APPROVED</x:v>
      </x:c>
      <x:c r="Q379" s="64" t="b">
        <x:v>0</x:v>
      </x:c>
      <x:c r="R379" s="63" t="str">
        <x:v>COST_ENGINE, WORKING_CAPITAL_CYCLE</x:v>
      </x:c>
      <x:c r="S379" s="63" t="str">
        <x:v>Shoprite Holdings Annual Financial Statements 2025</x:v>
      </x:c>
      <x:c r="T379" s="63" t="n">
        <x:v>18</x:v>
      </x:c>
      <x:c r="U379" s="63" t="str">
        <x:v>https://www.shopriteholdings.co.za/docs/shp-afs-2025.pdf</x:v>
      </x:c>
      <x:c r="V379" s="63" t="str">
        <x:v>seed-register-hash:SHP-2025-AP-OPEN</x:v>
      </x:c>
    </x:row>
    <x:row r="380">
      <x:c r="A380" s="63" t="str">
        <x:v>bec:SHP-2025-AP-CLOSE</x:v>
      </x:c>
      <x:c r="B380" s="63" t="str">
        <x:v>E09</x:v>
      </x:c>
      <x:c r="C380" s="63" t="str">
        <x:v>trade_payables_close</x:v>
      </x:c>
      <x:c r="D380" s="63" t="str">
        <x:v>MONEY</x:v>
      </x:c>
      <x:c r="E380" s="63" t="str">
        <x:v>OBSERVED</x:v>
      </x:c>
      <x:c r="F380" s="65" t="n">
        <x:v>34160</x:v>
      </x:c>
      <x:c r="G380" s="66"/>
      <x:c r="H380" s="67"/>
      <x:c r="I380" s="63"/>
      <x:c r="J380" s="63" t="str">
        <x:v>ZAR</x:v>
      </x:c>
      <x:c r="K380" s="63" t="str">
        <x:v>million</x:v>
      </x:c>
      <x:c r="L380" s="63" t="str">
        <x:v>2024-07-01</x:v>
      </x:c>
      <x:c r="M380" s="63" t="str">
        <x:v>2025-06-29</x:v>
      </x:c>
      <x:c r="N380" s="63" t="str">
        <x:v>2025-10-13</x:v>
      </x:c>
      <x:c r="O380" s="63" t="str">
        <x:v>E1</x:v>
      </x:c>
      <x:c r="P380" s="63" t="str">
        <x:v>APPROVED</x:v>
      </x:c>
      <x:c r="Q380" s="64" t="b">
        <x:v>1</x:v>
      </x:c>
      <x:c r="R380" s="63" t="str">
        <x:v>COST_ENGINE, WORKING_CAPITAL_CYCLE</x:v>
      </x:c>
      <x:c r="S380" s="63" t="str">
        <x:v>Shoprite Holdings Annual Financial Statements 2025</x:v>
      </x:c>
      <x:c r="T380" s="63" t="n">
        <x:v>18</x:v>
      </x:c>
      <x:c r="U380" s="63" t="str">
        <x:v>https://www.shopriteholdings.co.za/docs/shp-afs-2025.pdf</x:v>
      </x:c>
      <x:c r="V380" s="63" t="str">
        <x:v>seed-register-hash:SHP-2025-AP-CLOSE</x:v>
      </x:c>
    </x:row>
    <x:row r="381">
      <x:c r="A381" s="63" t="str">
        <x:v>bec:SHP-2025-FX</x:v>
      </x:c>
      <x:c r="B381" s="63" t="str">
        <x:v>E09</x:v>
      </x:c>
      <x:c r="C381" s="63" t="str">
        <x:v>fx_exposure</x:v>
      </x:c>
      <x:c r="D381" s="63" t="str">
        <x:v>MONEY</x:v>
      </x:c>
      <x:c r="E381" s="63" t="str">
        <x:v>OBSERVED</x:v>
      </x:c>
      <x:c r="F381" s="65" t="n">
        <x:v>3572</x:v>
      </x:c>
      <x:c r="G381" s="66"/>
      <x:c r="H381" s="67"/>
      <x:c r="I381" s="63"/>
      <x:c r="J381" s="63" t="str">
        <x:v>ZAR</x:v>
      </x:c>
      <x:c r="K381" s="63" t="str">
        <x:v>million</x:v>
      </x:c>
      <x:c r="L381" s="63" t="str">
        <x:v>2024-07-01</x:v>
      </x:c>
      <x:c r="M381" s="63" t="str">
        <x:v>2025-06-29</x:v>
      </x:c>
      <x:c r="N381" s="63" t="str">
        <x:v>2025-10-13</x:v>
      </x:c>
      <x:c r="O381" s="63" t="str">
        <x:v>E1</x:v>
      </x:c>
      <x:c r="P381" s="63" t="str">
        <x:v>APPROVED</x:v>
      </x:c>
      <x:c r="Q381" s="64" t="b">
        <x:v>1</x:v>
      </x:c>
      <x:c r="R381" s="63" t="str">
        <x:v>CURRENCY_AND_COMMODITY_EXPOSURE</x:v>
      </x:c>
      <x:c r="S381" s="63" t="str">
        <x:v>Shoprite Holdings Annual Financial Statements 2025</x:v>
      </x:c>
      <x:c r="T381" s="63" t="n">
        <x:v>118</x:v>
      </x:c>
      <x:c r="U381" s="63" t="str">
        <x:v>https://www.shopriteholdings.co.za/docs/shp-afs-2025.pdf</x:v>
      </x:c>
      <x:c r="V381" s="63" t="str">
        <x:v>seed-register-hash:SHP-2025-FX</x:v>
      </x:c>
    </x:row>
    <x:row r="382">
      <x:c r="A382" s="63" t="str">
        <x:v>bec:SHP-2025-DEBT</x:v>
      </x:c>
      <x:c r="B382" s="63" t="str">
        <x:v>E09</x:v>
      </x:c>
      <x:c r="C382" s="63" t="str">
        <x:v>current_debt</x:v>
      </x:c>
      <x:c r="D382" s="63" t="str">
        <x:v>MONEY</x:v>
      </x:c>
      <x:c r="E382" s="63" t="str">
        <x:v>OBSERVED</x:v>
      </x:c>
      <x:c r="F382" s="65" t="n">
        <x:v>489</x:v>
      </x:c>
      <x:c r="G382" s="66"/>
      <x:c r="H382" s="67"/>
      <x:c r="I382" s="63"/>
      <x:c r="J382" s="63" t="str">
        <x:v>ZAR</x:v>
      </x:c>
      <x:c r="K382" s="63" t="str">
        <x:v>million</x:v>
      </x:c>
      <x:c r="L382" s="63" t="str">
        <x:v>2024-07-01</x:v>
      </x:c>
      <x:c r="M382" s="63" t="str">
        <x:v>2025-06-29</x:v>
      </x:c>
      <x:c r="N382" s="63" t="str">
        <x:v>2025-10-13</x:v>
      </x:c>
      <x:c r="O382" s="63" t="str">
        <x:v>E1</x:v>
      </x:c>
      <x:c r="P382" s="63" t="str">
        <x:v>APPROVED</x:v>
      </x:c>
      <x:c r="Q382" s="64" t="b">
        <x:v>1</x:v>
      </x:c>
      <x:c r="R382" s="63" t="str">
        <x:v>FUNDING_STRUCTURE</x:v>
      </x:c>
      <x:c r="S382" s="63" t="str">
        <x:v>Shoprite Holdings Annual Financial Statements 2025</x:v>
      </x:c>
      <x:c r="T382" s="63" t="n">
        <x:v>18</x:v>
      </x:c>
      <x:c r="U382" s="63" t="str">
        <x:v>https://www.shopriteholdings.co.za/docs/shp-afs-2025.pdf</x:v>
      </x:c>
      <x:c r="V382" s="63" t="str">
        <x:v>seed-register-hash:SHP-2025-DEBT</x:v>
      </x:c>
    </x:row>
    <x:row r="383">
      <x:c r="A383" s="63" t="str">
        <x:v>bec:SHP-2025-STF</x:v>
      </x:c>
      <x:c r="B383" s="63" t="str">
        <x:v>E09</x:v>
      </x:c>
      <x:c r="C383" s="63" t="str">
        <x:v>short_term_facilities</x:v>
      </x:c>
      <x:c r="D383" s="63" t="str">
        <x:v>MONEY</x:v>
      </x:c>
      <x:c r="E383" s="63" t="str">
        <x:v>OBSERVED</x:v>
      </x:c>
      <x:c r="F383" s="65" t="n">
        <x:v>1863</x:v>
      </x:c>
      <x:c r="G383" s="66"/>
      <x:c r="H383" s="67"/>
      <x:c r="I383" s="63"/>
      <x:c r="J383" s="63" t="str">
        <x:v>ZAR</x:v>
      </x:c>
      <x:c r="K383" s="63" t="str">
        <x:v>million</x:v>
      </x:c>
      <x:c r="L383" s="63" t="str">
        <x:v>2024-07-01</x:v>
      </x:c>
      <x:c r="M383" s="63" t="str">
        <x:v>2025-06-29</x:v>
      </x:c>
      <x:c r="N383" s="63" t="str">
        <x:v>2025-10-13</x:v>
      </x:c>
      <x:c r="O383" s="63" t="str">
        <x:v>E1</x:v>
      </x:c>
      <x:c r="P383" s="63" t="str">
        <x:v>APPROVED</x:v>
      </x:c>
      <x:c r="Q383" s="64" t="b">
        <x:v>1</x:v>
      </x:c>
      <x:c r="R383" s="63" t="str">
        <x:v>FUNDING_STRUCTURE, LIQUIDITY_AND_BUFFER</x:v>
      </x:c>
      <x:c r="S383" s="63" t="str">
        <x:v>Shoprite Holdings Annual Financial Statements 2025</x:v>
      </x:c>
      <x:c r="T383" s="63" t="n">
        <x:v>18</x:v>
      </x:c>
      <x:c r="U383" s="63" t="str">
        <x:v>https://www.shopriteholdings.co.za/docs/shp-afs-2025.pdf</x:v>
      </x:c>
      <x:c r="V383" s="63" t="str">
        <x:v>seed-register-hash:SHP-2025-STF</x:v>
      </x:c>
    </x:row>
    <x:row r="384">
      <x:c r="A384" s="63" t="str">
        <x:v>bec:E09:obs:flow:collections</x:v>
      </x:c>
      <x:c r="B384" s="63" t="str">
        <x:v>E09</x:v>
      </x:c>
      <x:c r="C384" s="63" t="str">
        <x:v>bank_observed_collections_ltm</x:v>
      </x:c>
      <x:c r="D384" s="63" t="str">
        <x:v>MONEY</x:v>
      </x:c>
      <x:c r="E384" s="63" t="str">
        <x:v>OBSERVED</x:v>
      </x:c>
      <x:c r="F384" s="65" t="n">
        <x:v>2673495088.859999</x:v>
      </x:c>
      <x:c r="G384" s="66"/>
      <x:c r="H384" s="67"/>
      <x:c r="I384" s="63"/>
      <x:c r="J384" s="63" t="str">
        <x:v>ZAR</x:v>
      </x:c>
      <x:c r="K384" s="63" t="str">
        <x:v>ZAR</x:v>
      </x:c>
      <x:c r="L384" s="63" t="str">
        <x:v>2025-06-01</x:v>
      </x:c>
      <x:c r="M384" s="63" t="str">
        <x:v>2026-06-30</x:v>
      </x:c>
      <x:c r="N384" s="63" t="str">
        <x:v>2026-06-30</x:v>
      </x:c>
      <x:c r="O384" s="63" t="str">
        <x:v>E0</x:v>
      </x:c>
      <x:c r="P384" s="63" t="str">
        <x:v>APPROVED</x:v>
      </x:c>
      <x:c r="Q384" s="64" t="b">
        <x:v>1</x:v>
      </x:c>
      <x:c r="R384" s="63" t="str">
        <x:v>REVENUE_ENGINE, WORKING_CAPITAL_CYCLE</x:v>
      </x:c>
      <x:c r="S384" s="63" t="str">
        <x:v>Syn Bank transaction and relationship simulation</x:v>
      </x:c>
      <x:c r="T384" s="63"/>
      <x:c r="U384" s="63" t="str">
        <x:v>internal://syn-bank/simulation/ltm</x:v>
      </x:c>
      <x:c r="V384" s="63" t="str">
        <x:v>f57bfec570319dca118425d848d9ab9e7a20a59f4af4ce4172420444692874c1</x:v>
      </x:c>
    </x:row>
    <x:row r="385">
      <x:c r="A385" s="63" t="str">
        <x:v>bec:E09:obs:trend:collections</x:v>
      </x:c>
      <x:c r="B385" s="63" t="str">
        <x:v>E09</x:v>
      </x:c>
      <x:c r="C385" s="63" t="str">
        <x:v>bank_observed_collections_yoy_change</x:v>
      </x:c>
      <x:c r="D385" s="63" t="str">
        <x:v>RATIO</x:v>
      </x:c>
      <x:c r="E385" s="63" t="str">
        <x:v>OBSERVED</x:v>
      </x:c>
      <x:c r="F385" s="65"/>
      <x:c r="G385" s="66" t="n">
        <x:v>0.031083</x:v>
      </x:c>
      <x:c r="H385" s="67"/>
      <x:c r="I385" s="63"/>
      <x:c r="J385" s="63"/>
      <x:c r="K385" s="63" t="str">
        <x:v>ratio</x:v>
      </x:c>
      <x:c r="L385" s="63" t="str">
        <x:v>2025-06-01</x:v>
      </x:c>
      <x:c r="M385" s="63" t="str">
        <x:v>2026-06-30</x:v>
      </x:c>
      <x:c r="N385" s="63" t="str">
        <x:v>2026-06-30</x:v>
      </x:c>
      <x:c r="O385" s="63" t="str">
        <x:v>E0</x:v>
      </x:c>
      <x:c r="P385" s="63" t="str">
        <x:v>APPROVED</x:v>
      </x:c>
      <x:c r="Q385" s="64" t="b">
        <x:v>0</x:v>
      </x:c>
      <x:c r="R385" s="63" t="str">
        <x:v>REVENUE_ENGINE, WORKING_CAPITAL_CYCLE</x:v>
      </x:c>
      <x:c r="S385" s="63" t="str">
        <x:v>Syn Bank transaction and relationship simulation</x:v>
      </x:c>
      <x:c r="T385" s="63"/>
      <x:c r="U385" s="63" t="str">
        <x:v>internal://syn-bank/simulation/ltm</x:v>
      </x:c>
      <x:c r="V385" s="63" t="str">
        <x:v>ff8f479601fb7d06330092810e06df359211d878bda956d3bbe3cf5fb0a570ca</x:v>
      </x:c>
    </x:row>
    <x:row r="386">
      <x:c r="A386" s="63" t="str">
        <x:v>bec:E09:obs:flow:payments</x:v>
      </x:c>
      <x:c r="B386" s="63" t="str">
        <x:v>E09</x:v>
      </x:c>
      <x:c r="C386" s="63" t="str">
        <x:v>bank_observed_payments_ltm</x:v>
      </x:c>
      <x:c r="D386" s="63" t="str">
        <x:v>MONEY</x:v>
      </x:c>
      <x:c r="E386" s="63" t="str">
        <x:v>OBSERVED</x:v>
      </x:c>
      <x:c r="F386" s="65" t="n">
        <x:v>7657917973.610004</x:v>
      </x:c>
      <x:c r="G386" s="66"/>
      <x:c r="H386" s="67"/>
      <x:c r="I386" s="63"/>
      <x:c r="J386" s="63" t="str">
        <x:v>ZAR</x:v>
      </x:c>
      <x:c r="K386" s="63" t="str">
        <x:v>ZAR</x:v>
      </x:c>
      <x:c r="L386" s="63" t="str">
        <x:v>2025-06-01</x:v>
      </x:c>
      <x:c r="M386" s="63" t="str">
        <x:v>2026-06-30</x:v>
      </x:c>
      <x:c r="N386" s="63" t="str">
        <x:v>2026-06-30</x:v>
      </x:c>
      <x:c r="O386" s="63" t="str">
        <x:v>E0</x:v>
      </x:c>
      <x:c r="P386" s="63" t="str">
        <x:v>APPROVED</x:v>
      </x:c>
      <x:c r="Q386" s="64" t="b">
        <x:v>1</x:v>
      </x:c>
      <x:c r="R386" s="63" t="str">
        <x:v>COST_ENGINE, WORKING_CAPITAL_CYCLE</x:v>
      </x:c>
      <x:c r="S386" s="63" t="str">
        <x:v>Syn Bank transaction and relationship simulation</x:v>
      </x:c>
      <x:c r="T386" s="63"/>
      <x:c r="U386" s="63" t="str">
        <x:v>internal://syn-bank/simulation/ltm</x:v>
      </x:c>
      <x:c r="V386" s="63" t="str">
        <x:v>8da9c8269e7492ffb0e32bf8f0e1ef96b4bd17a6eade3a9dc7e5ce473d4b8109</x:v>
      </x:c>
    </x:row>
    <x:row r="387">
      <x:c r="A387" s="63" t="str">
        <x:v>bec:E09:obs:trend:payments</x:v>
      </x:c>
      <x:c r="B387" s="63" t="str">
        <x:v>E09</x:v>
      </x:c>
      <x:c r="C387" s="63" t="str">
        <x:v>bank_observed_payments_yoy_change</x:v>
      </x:c>
      <x:c r="D387" s="63" t="str">
        <x:v>RATIO</x:v>
      </x:c>
      <x:c r="E387" s="63" t="str">
        <x:v>OBSERVED</x:v>
      </x:c>
      <x:c r="F387" s="65"/>
      <x:c r="G387" s="66" t="n">
        <x:v>0.019779</x:v>
      </x:c>
      <x:c r="H387" s="67"/>
      <x:c r="I387" s="63"/>
      <x:c r="J387" s="63"/>
      <x:c r="K387" s="63" t="str">
        <x:v>ratio</x:v>
      </x:c>
      <x:c r="L387" s="63" t="str">
        <x:v>2025-06-01</x:v>
      </x:c>
      <x:c r="M387" s="63" t="str">
        <x:v>2026-06-30</x:v>
      </x:c>
      <x:c r="N387" s="63" t="str">
        <x:v>2026-06-30</x:v>
      </x:c>
      <x:c r="O387" s="63" t="str">
        <x:v>E0</x:v>
      </x:c>
      <x:c r="P387" s="63" t="str">
        <x:v>APPROVED</x:v>
      </x:c>
      <x:c r="Q387" s="64" t="b">
        <x:v>0</x:v>
      </x:c>
      <x:c r="R387" s="63" t="str">
        <x:v>COST_ENGINE, WORKING_CAPITAL_CYCLE</x:v>
      </x:c>
      <x:c r="S387" s="63" t="str">
        <x:v>Syn Bank transaction and relationship simulation</x:v>
      </x:c>
      <x:c r="T387" s="63"/>
      <x:c r="U387" s="63" t="str">
        <x:v>internal://syn-bank/simulation/ltm</x:v>
      </x:c>
      <x:c r="V387" s="63" t="str">
        <x:v>96750d894ba4c0ed6c349c15fbb76626a1f45c62b315c4f1b456dbf571e0ccaa</x:v>
      </x:c>
    </x:row>
    <x:row r="388">
      <x:c r="A388" s="63" t="str">
        <x:v>bec:E09:obs:flow:liquidity</x:v>
      </x:c>
      <x:c r="B388" s="63" t="str">
        <x:v>E09</x:v>
      </x:c>
      <x:c r="C388" s="63" t="str">
        <x:v>bank_observed_liquidity_ltm</x:v>
      </x:c>
      <x:c r="D388" s="63" t="str">
        <x:v>MONEY</x:v>
      </x:c>
      <x:c r="E388" s="63" t="str">
        <x:v>OBSERVED</x:v>
      </x:c>
      <x:c r="F388" s="65" t="n">
        <x:v>5165706531.235001</x:v>
      </x:c>
      <x:c r="G388" s="66"/>
      <x:c r="H388" s="67"/>
      <x:c r="I388" s="63"/>
      <x:c r="J388" s="63" t="str">
        <x:v>ZAR</x:v>
      </x:c>
      <x:c r="K388" s="63" t="str">
        <x:v>ZAR</x:v>
      </x:c>
      <x:c r="L388" s="63" t="str">
        <x:v>2025-06-01</x:v>
      </x:c>
      <x:c r="M388" s="63" t="str">
        <x:v>2026-06-30</x:v>
      </x:c>
      <x:c r="N388" s="63" t="str">
        <x:v>2026-06-30</x:v>
      </x:c>
      <x:c r="O388" s="63" t="str">
        <x:v>E0</x:v>
      </x:c>
      <x:c r="P388" s="63" t="str">
        <x:v>APPROVED</x:v>
      </x:c>
      <x:c r="Q388" s="64" t="b">
        <x:v>1</x:v>
      </x:c>
      <x:c r="R388" s="63" t="str">
        <x:v>LIQUIDITY_AND_BUFFER</x:v>
      </x:c>
      <x:c r="S388" s="63" t="str">
        <x:v>Syn Bank transaction and relationship simulation</x:v>
      </x:c>
      <x:c r="T388" s="63"/>
      <x:c r="U388" s="63" t="str">
        <x:v>internal://syn-bank/simulation/ltm</x:v>
      </x:c>
      <x:c r="V388" s="63" t="str">
        <x:v>757ee096cc864a57deb760ce97a01e4c98bea61bc65e1010cbf435cc86438b68</x:v>
      </x:c>
    </x:row>
    <x:row r="389">
      <x:c r="A389" s="63" t="str">
        <x:v>bec:E09:obs:trend:liquidity</x:v>
      </x:c>
      <x:c r="B389" s="63" t="str">
        <x:v>E09</x:v>
      </x:c>
      <x:c r="C389" s="63" t="str">
        <x:v>bank_observed_liquidity_yoy_change</x:v>
      </x:c>
      <x:c r="D389" s="63" t="str">
        <x:v>RATIO</x:v>
      </x:c>
      <x:c r="E389" s="63" t="str">
        <x:v>OBSERVED</x:v>
      </x:c>
      <x:c r="F389" s="65"/>
      <x:c r="G389" s="66" t="n">
        <x:v>0.022681</x:v>
      </x:c>
      <x:c r="H389" s="67"/>
      <x:c r="I389" s="63"/>
      <x:c r="J389" s="63"/>
      <x:c r="K389" s="63" t="str">
        <x:v>ratio</x:v>
      </x:c>
      <x:c r="L389" s="63" t="str">
        <x:v>2025-06-01</x:v>
      </x:c>
      <x:c r="M389" s="63" t="str">
        <x:v>2026-06-30</x:v>
      </x:c>
      <x:c r="N389" s="63" t="str">
        <x:v>2026-06-30</x:v>
      </x:c>
      <x:c r="O389" s="63" t="str">
        <x:v>E0</x:v>
      </x:c>
      <x:c r="P389" s="63" t="str">
        <x:v>APPROVED</x:v>
      </x:c>
      <x:c r="Q389" s="64" t="b">
        <x:v>0</x:v>
      </x:c>
      <x:c r="R389" s="63" t="str">
        <x:v>LIQUIDITY_AND_BUFFER</x:v>
      </x:c>
      <x:c r="S389" s="63" t="str">
        <x:v>Syn Bank transaction and relationship simulation</x:v>
      </x:c>
      <x:c r="T389" s="63"/>
      <x:c r="U389" s="63" t="str">
        <x:v>internal://syn-bank/simulation/ltm</x:v>
      </x:c>
      <x:c r="V389" s="63" t="str">
        <x:v>b9fde55a05830f14efa0e55b1a27ec1bb6cee18b79ae91aeb6fbd64c90300d11</x:v>
      </x:c>
    </x:row>
    <x:row r="390">
      <x:c r="A390" s="63" t="str">
        <x:v>bec:E09:obs:flow:cross-border-fx</x:v>
      </x:c>
      <x:c r="B390" s="63" t="str">
        <x:v>E09</x:v>
      </x:c>
      <x:c r="C390" s="63" t="str">
        <x:v>bank_observed_cross_border_fx_ltm</x:v>
      </x:c>
      <x:c r="D390" s="63" t="str">
        <x:v>MONEY</x:v>
      </x:c>
      <x:c r="E390" s="63" t="str">
        <x:v>OBSERVED</x:v>
      </x:c>
      <x:c r="F390" s="65" t="n">
        <x:v>3347437360.4100003</x:v>
      </x:c>
      <x:c r="G390" s="66"/>
      <x:c r="H390" s="67"/>
      <x:c r="I390" s="63"/>
      <x:c r="J390" s="63" t="str">
        <x:v>ZAR</x:v>
      </x:c>
      <x:c r="K390" s="63" t="str">
        <x:v>ZAR</x:v>
      </x:c>
      <x:c r="L390" s="63" t="str">
        <x:v>2025-06-01</x:v>
      </x:c>
      <x:c r="M390" s="63" t="str">
        <x:v>2026-06-30</x:v>
      </x:c>
      <x:c r="N390" s="63" t="str">
        <x:v>2026-06-30</x:v>
      </x:c>
      <x:c r="O390" s="63" t="str">
        <x:v>E0</x:v>
      </x:c>
      <x:c r="P390" s="63" t="str">
        <x:v>APPROVED</x:v>
      </x:c>
      <x:c r="Q390" s="64" t="b">
        <x:v>1</x:v>
      </x:c>
      <x:c r="R390" s="63" t="str">
        <x:v>CURRENCY_AND_COMMODITY_EXPOSURE, GEOGRAPHIC_EXPOSURE</x:v>
      </x:c>
      <x:c r="S390" s="63" t="str">
        <x:v>Syn Bank transaction and relationship simulation</x:v>
      </x:c>
      <x:c r="T390" s="63"/>
      <x:c r="U390" s="63" t="str">
        <x:v>internal://syn-bank/simulation/ltm</x:v>
      </x:c>
      <x:c r="V390" s="63" t="str">
        <x:v>27f7f6245cba5a52f8cbfefcd5b8dc427d49108f91c4c6f14f17462dca12bdfd</x:v>
      </x:c>
    </x:row>
    <x:row r="391">
      <x:c r="A391" s="63" t="str">
        <x:v>bec:E09:obs:trend:cross-border-fx</x:v>
      </x:c>
      <x:c r="B391" s="63" t="str">
        <x:v>E09</x:v>
      </x:c>
      <x:c r="C391" s="63" t="str">
        <x:v>bank_observed_cross_border_fx_yoy_change</x:v>
      </x:c>
      <x:c r="D391" s="63" t="str">
        <x:v>RATIO</x:v>
      </x:c>
      <x:c r="E391" s="63" t="str">
        <x:v>OBSERVED</x:v>
      </x:c>
      <x:c r="F391" s="65"/>
      <x:c r="G391" s="66" t="n">
        <x:v>-0.031252</x:v>
      </x:c>
      <x:c r="H391" s="67"/>
      <x:c r="I391" s="63"/>
      <x:c r="J391" s="63"/>
      <x:c r="K391" s="63" t="str">
        <x:v>ratio</x:v>
      </x:c>
      <x:c r="L391" s="63" t="str">
        <x:v>2025-06-01</x:v>
      </x:c>
      <x:c r="M391" s="63" t="str">
        <x:v>2026-06-30</x:v>
      </x:c>
      <x:c r="N391" s="63" t="str">
        <x:v>2026-06-30</x:v>
      </x:c>
      <x:c r="O391" s="63" t="str">
        <x:v>E0</x:v>
      </x:c>
      <x:c r="P391" s="63" t="str">
        <x:v>APPROVED</x:v>
      </x:c>
      <x:c r="Q391" s="64" t="b">
        <x:v>0</x:v>
      </x:c>
      <x:c r="R391" s="63" t="str">
        <x:v>CURRENCY_AND_COMMODITY_EXPOSURE, GEOGRAPHIC_EXPOSURE</x:v>
      </x:c>
      <x:c r="S391" s="63" t="str">
        <x:v>Syn Bank transaction and relationship simulation</x:v>
      </x:c>
      <x:c r="T391" s="63"/>
      <x:c r="U391" s="63" t="str">
        <x:v>internal://syn-bank/simulation/ltm</x:v>
      </x:c>
      <x:c r="V391" s="63" t="str">
        <x:v>ba3d95d2a062077ed136cc7247487ad7b5d79b8f340f211aedfaeccda8471db3</x:v>
      </x:c>
    </x:row>
    <x:row r="392">
      <x:c r="A392" s="63" t="str">
        <x:v>bec:E09:obs:flow:trade-finance</x:v>
      </x:c>
      <x:c r="B392" s="63" t="str">
        <x:v>E09</x:v>
      </x:c>
      <x:c r="C392" s="63" t="str">
        <x:v>bank_observed_trade_finance_ltm</x:v>
      </x:c>
      <x:c r="D392" s="63" t="str">
        <x:v>MONEY</x:v>
      </x:c>
      <x:c r="E392" s="63" t="str">
        <x:v>OBSERVED</x:v>
      </x:c>
      <x:c r="F392" s="65" t="n">
        <x:v>1539090586.51</x:v>
      </x:c>
      <x:c r="G392" s="66"/>
      <x:c r="H392" s="67"/>
      <x:c r="I392" s="63"/>
      <x:c r="J392" s="63" t="str">
        <x:v>ZAR</x:v>
      </x:c>
      <x:c r="K392" s="63" t="str">
        <x:v>ZAR</x:v>
      </x:c>
      <x:c r="L392" s="63" t="str">
        <x:v>2025-06-01</x:v>
      </x:c>
      <x:c r="M392" s="63" t="str">
        <x:v>2026-06-30</x:v>
      </x:c>
      <x:c r="N392" s="63" t="str">
        <x:v>2026-06-30</x:v>
      </x:c>
      <x:c r="O392" s="63" t="str">
        <x:v>E0</x:v>
      </x:c>
      <x:c r="P392" s="63" t="str">
        <x:v>APPROVED</x:v>
      </x:c>
      <x:c r="Q392" s="64" t="b">
        <x:v>1</x:v>
      </x:c>
      <x:c r="R392" s="63" t="str">
        <x:v>WORKING_CAPITAL_CYCLE, OPERATING_MODEL</x:v>
      </x:c>
      <x:c r="S392" s="63" t="str">
        <x:v>Syn Bank transaction and relationship simulation</x:v>
      </x:c>
      <x:c r="T392" s="63"/>
      <x:c r="U392" s="63" t="str">
        <x:v>internal://syn-bank/simulation/ltm</x:v>
      </x:c>
      <x:c r="V392" s="63" t="str">
        <x:v>6dd697f40e8953b6fbe48680fdb34f1813d32a2b814fb1b382470f8976166ac3</x:v>
      </x:c>
    </x:row>
    <x:row r="393">
      <x:c r="A393" s="63" t="str">
        <x:v>bec:E09:obs:trend:trade-finance</x:v>
      </x:c>
      <x:c r="B393" s="63" t="str">
        <x:v>E09</x:v>
      </x:c>
      <x:c r="C393" s="63" t="str">
        <x:v>bank_observed_trade_finance_yoy_change</x:v>
      </x:c>
      <x:c r="D393" s="63" t="str">
        <x:v>RATIO</x:v>
      </x:c>
      <x:c r="E393" s="63" t="str">
        <x:v>OBSERVED</x:v>
      </x:c>
      <x:c r="F393" s="65"/>
      <x:c r="G393" s="66" t="n">
        <x:v>0.044845</x:v>
      </x:c>
      <x:c r="H393" s="67"/>
      <x:c r="I393" s="63"/>
      <x:c r="J393" s="63"/>
      <x:c r="K393" s="63" t="str">
        <x:v>ratio</x:v>
      </x:c>
      <x:c r="L393" s="63" t="str">
        <x:v>2025-06-01</x:v>
      </x:c>
      <x:c r="M393" s="63" t="str">
        <x:v>2026-06-30</x:v>
      </x:c>
      <x:c r="N393" s="63" t="str">
        <x:v>2026-06-30</x:v>
      </x:c>
      <x:c r="O393" s="63" t="str">
        <x:v>E0</x:v>
      </x:c>
      <x:c r="P393" s="63" t="str">
        <x:v>APPROVED</x:v>
      </x:c>
      <x:c r="Q393" s="64" t="b">
        <x:v>0</x:v>
      </x:c>
      <x:c r="R393" s="63" t="str">
        <x:v>WORKING_CAPITAL_CYCLE, OPERATING_MODEL</x:v>
      </x:c>
      <x:c r="S393" s="63" t="str">
        <x:v>Syn Bank transaction and relationship simulation</x:v>
      </x:c>
      <x:c r="T393" s="63"/>
      <x:c r="U393" s="63" t="str">
        <x:v>internal://syn-bank/simulation/ltm</x:v>
      </x:c>
      <x:c r="V393" s="63" t="str">
        <x:v>ea23cbc0d020f8b5ff38feee5e786af7988718c74b5355d54324cb456c4bb8e0</x:v>
      </x:c>
    </x:row>
    <x:row r="394">
      <x:c r="A394" s="63" t="str">
        <x:v>bec:E09:obs:corridor:0</x:v>
      </x:c>
      <x:c r="B394" s="63" t="str">
        <x:v>E09</x:v>
      </x:c>
      <x:c r="C394" s="63" t="str">
        <x:v>bank_observed_corridor_value</x:v>
      </x:c>
      <x:c r="D394" s="63" t="str">
        <x:v>MONEY</x:v>
      </x:c>
      <x:c r="E394" s="63" t="str">
        <x:v>OBSERVED</x:v>
      </x:c>
      <x:c r="F394" s="65" t="n">
        <x:v>901171291.8000016</x:v>
      </x:c>
      <x:c r="G394" s="66"/>
      <x:c r="H394" s="67"/>
      <x:c r="I394" s="63"/>
      <x:c r="J394" s="63" t="str">
        <x:v>ZAR</x:v>
      </x:c>
      <x:c r="K394" s="63" t="str">
        <x:v>ZAR</x:v>
      </x:c>
      <x:c r="L394" s="63" t="str">
        <x:v>2025-06-01</x:v>
      </x:c>
      <x:c r="M394" s="63" t="str">
        <x:v>2026-06-30</x:v>
      </x:c>
      <x:c r="N394" s="63" t="str">
        <x:v>2026-06-30</x:v>
      </x:c>
      <x:c r="O394" s="63" t="str">
        <x:v>E0</x:v>
      </x:c>
      <x:c r="P394" s="63" t="str">
        <x:v>APPROVED</x:v>
      </x:c>
      <x:c r="Q394" s="64" t="b">
        <x:v>1</x:v>
      </x:c>
      <x:c r="R394" s="63" t="str">
        <x:v>GEOGRAPHIC_EXPOSURE</x:v>
      </x:c>
      <x:c r="S394" s="63" t="str">
        <x:v>Syn Bank transaction and relationship simulation</x:v>
      </x:c>
      <x:c r="T394" s="63"/>
      <x:c r="U394" s="63" t="str">
        <x:v>internal://syn-bank/simulation/ltm</x:v>
      </x:c>
      <x:c r="V394" s="63" t="str">
        <x:v>329d17c671bc604d3918b343ae88b3513702f62d23088e87c6301d240b33a1f3</x:v>
      </x:c>
    </x:row>
    <x:row r="395">
      <x:c r="A395" s="63" t="str">
        <x:v>bec:E09:obs:corridor-name:0</x:v>
      </x:c>
      <x:c r="B395" s="63" t="str">
        <x:v>E09</x:v>
      </x:c>
      <x:c r="C395" s="63" t="str">
        <x:v>bank_observed_corridor_country</x:v>
      </x:c>
      <x:c r="D395" s="63" t="str">
        <x:v>CATEGORICAL</x:v>
      </x:c>
      <x:c r="E395" s="63" t="str">
        <x:v>OBSERVED</x:v>
      </x:c>
      <x:c r="F395" s="65"/>
      <x:c r="G395" s="66"/>
      <x:c r="H395" s="67"/>
      <x:c r="I395" s="63" t="str">
        <x:v>Ghana</x:v>
      </x:c>
      <x:c r="J395" s="63"/>
      <x:c r="K395" s="63" t="str">
        <x:v>country</x:v>
      </x:c>
      <x:c r="L395" s="63" t="str">
        <x:v>2025-06-01</x:v>
      </x:c>
      <x:c r="M395" s="63" t="str">
        <x:v>2026-06-30</x:v>
      </x:c>
      <x:c r="N395" s="63" t="str">
        <x:v>2026-06-30</x:v>
      </x:c>
      <x:c r="O395" s="63" t="str">
        <x:v>E0</x:v>
      </x:c>
      <x:c r="P395" s="63" t="str">
        <x:v>APPROVED</x:v>
      </x:c>
      <x:c r="Q395" s="64" t="b">
        <x:v>0</x:v>
      </x:c>
      <x:c r="R395" s="63" t="str">
        <x:v>GEOGRAPHIC_EXPOSURE</x:v>
      </x:c>
      <x:c r="S395" s="63" t="str">
        <x:v>Syn Bank transaction and relationship simulation</x:v>
      </x:c>
      <x:c r="T395" s="63"/>
      <x:c r="U395" s="63" t="str">
        <x:v>internal://syn-bank/simulation/ltm</x:v>
      </x:c>
      <x:c r="V395" s="63" t="str">
        <x:v>1c2b6030dd5a806fcb517ad0a96b2126d2a997e07197b99478be8b58c3fb8e33</x:v>
      </x:c>
    </x:row>
    <x:row r="396">
      <x:c r="A396" s="63" t="str">
        <x:v>bec:E09:obs:corridor:1</x:v>
      </x:c>
      <x:c r="B396" s="63" t="str">
        <x:v>E09</x:v>
      </x:c>
      <x:c r="C396" s="63" t="str">
        <x:v>bank_observed_corridor_value</x:v>
      </x:c>
      <x:c r="D396" s="63" t="str">
        <x:v>MONEY</x:v>
      </x:c>
      <x:c r="E396" s="63" t="str">
        <x:v>OBSERVED</x:v>
      </x:c>
      <x:c r="F396" s="65" t="n">
        <x:v>782329443.0500009</x:v>
      </x:c>
      <x:c r="G396" s="66"/>
      <x:c r="H396" s="67"/>
      <x:c r="I396" s="63"/>
      <x:c r="J396" s="63" t="str">
        <x:v>ZAR</x:v>
      </x:c>
      <x:c r="K396" s="63" t="str">
        <x:v>ZAR</x:v>
      </x:c>
      <x:c r="L396" s="63" t="str">
        <x:v>2025-06-01</x:v>
      </x:c>
      <x:c r="M396" s="63" t="str">
        <x:v>2026-06-30</x:v>
      </x:c>
      <x:c r="N396" s="63" t="str">
        <x:v>2026-06-30</x:v>
      </x:c>
      <x:c r="O396" s="63" t="str">
        <x:v>E0</x:v>
      </x:c>
      <x:c r="P396" s="63" t="str">
        <x:v>APPROVED</x:v>
      </x:c>
      <x:c r="Q396" s="64" t="b">
        <x:v>0</x:v>
      </x:c>
      <x:c r="R396" s="63" t="str">
        <x:v>GEOGRAPHIC_EXPOSURE</x:v>
      </x:c>
      <x:c r="S396" s="63" t="str">
        <x:v>Syn Bank transaction and relationship simulation</x:v>
      </x:c>
      <x:c r="T396" s="63"/>
      <x:c r="U396" s="63" t="str">
        <x:v>internal://syn-bank/simulation/ltm</x:v>
      </x:c>
      <x:c r="V396" s="63" t="str">
        <x:v>a8f4086a75a93d9c9776a1fc21e3af9bb11b74c514972bc12139272a9e814c06</x:v>
      </x:c>
    </x:row>
    <x:row r="397">
      <x:c r="A397" s="63" t="str">
        <x:v>bec:E09:obs:corridor-name:1</x:v>
      </x:c>
      <x:c r="B397" s="63" t="str">
        <x:v>E09</x:v>
      </x:c>
      <x:c r="C397" s="63" t="str">
        <x:v>bank_observed_corridor_country</x:v>
      </x:c>
      <x:c r="D397" s="63" t="str">
        <x:v>CATEGORICAL</x:v>
      </x:c>
      <x:c r="E397" s="63" t="str">
        <x:v>OBSERVED</x:v>
      </x:c>
      <x:c r="F397" s="65"/>
      <x:c r="G397" s="66"/>
      <x:c r="H397" s="67"/>
      <x:c r="I397" s="63" t="str">
        <x:v>Zambia</x:v>
      </x:c>
      <x:c r="J397" s="63"/>
      <x:c r="K397" s="63" t="str">
        <x:v>country</x:v>
      </x:c>
      <x:c r="L397" s="63" t="str">
        <x:v>2025-06-01</x:v>
      </x:c>
      <x:c r="M397" s="63" t="str">
        <x:v>2026-06-30</x:v>
      </x:c>
      <x:c r="N397" s="63" t="str">
        <x:v>2026-06-30</x:v>
      </x:c>
      <x:c r="O397" s="63" t="str">
        <x:v>E0</x:v>
      </x:c>
      <x:c r="P397" s="63" t="str">
        <x:v>APPROVED</x:v>
      </x:c>
      <x:c r="Q397" s="64" t="b">
        <x:v>0</x:v>
      </x:c>
      <x:c r="R397" s="63" t="str">
        <x:v>GEOGRAPHIC_EXPOSURE</x:v>
      </x:c>
      <x:c r="S397" s="63" t="str">
        <x:v>Syn Bank transaction and relationship simulation</x:v>
      </x:c>
      <x:c r="T397" s="63"/>
      <x:c r="U397" s="63" t="str">
        <x:v>internal://syn-bank/simulation/ltm</x:v>
      </x:c>
      <x:c r="V397" s="63" t="str">
        <x:v>d7b69c356a86f8eeb736b727c9bab2019d7d3b800b3dcaed2498c6db93379283</x:v>
      </x:c>
    </x:row>
    <x:row r="398">
      <x:c r="A398" s="63" t="str">
        <x:v>bec:E09:obs:corridor:2</x:v>
      </x:c>
      <x:c r="B398" s="63" t="str">
        <x:v>E09</x:v>
      </x:c>
      <x:c r="C398" s="63" t="str">
        <x:v>bank_observed_corridor_value</x:v>
      </x:c>
      <x:c r="D398" s="63" t="str">
        <x:v>MONEY</x:v>
      </x:c>
      <x:c r="E398" s="63" t="str">
        <x:v>OBSERVED</x:v>
      </x:c>
      <x:c r="F398" s="65" t="n">
        <x:v>781849059.7299997</x:v>
      </x:c>
      <x:c r="G398" s="66"/>
      <x:c r="H398" s="67"/>
      <x:c r="I398" s="63"/>
      <x:c r="J398" s="63" t="str">
        <x:v>ZAR</x:v>
      </x:c>
      <x:c r="K398" s="63" t="str">
        <x:v>ZAR</x:v>
      </x:c>
      <x:c r="L398" s="63" t="str">
        <x:v>2025-06-01</x:v>
      </x:c>
      <x:c r="M398" s="63" t="str">
        <x:v>2026-06-30</x:v>
      </x:c>
      <x:c r="N398" s="63" t="str">
        <x:v>2026-06-30</x:v>
      </x:c>
      <x:c r="O398" s="63" t="str">
        <x:v>E0</x:v>
      </x:c>
      <x:c r="P398" s="63" t="str">
        <x:v>APPROVED</x:v>
      </x:c>
      <x:c r="Q398" s="64" t="b">
        <x:v>0</x:v>
      </x:c>
      <x:c r="R398" s="63" t="str">
        <x:v>GEOGRAPHIC_EXPOSURE</x:v>
      </x:c>
      <x:c r="S398" s="63" t="str">
        <x:v>Syn Bank transaction and relationship simulation</x:v>
      </x:c>
      <x:c r="T398" s="63"/>
      <x:c r="U398" s="63" t="str">
        <x:v>internal://syn-bank/simulation/ltm</x:v>
      </x:c>
      <x:c r="V398" s="63" t="str">
        <x:v>3bc4d9fa49073a1325a4105883162bb5acb227e981cfdcbcd27ff73e8a15ec4f</x:v>
      </x:c>
    </x:row>
    <x:row r="399">
      <x:c r="A399" s="63" t="str">
        <x:v>bec:E09:obs:corridor-name:2</x:v>
      </x:c>
      <x:c r="B399" s="63" t="str">
        <x:v>E09</x:v>
      </x:c>
      <x:c r="C399" s="63" t="str">
        <x:v>bank_observed_corridor_country</x:v>
      </x:c>
      <x:c r="D399" s="63" t="str">
        <x:v>CATEGORICAL</x:v>
      </x:c>
      <x:c r="E399" s="63" t="str">
        <x:v>OBSERVED</x:v>
      </x:c>
      <x:c r="F399" s="65"/>
      <x:c r="G399" s="66"/>
      <x:c r="H399" s="67"/>
      <x:c r="I399" s="63" t="str">
        <x:v>Switzerland</x:v>
      </x:c>
      <x:c r="J399" s="63"/>
      <x:c r="K399" s="63" t="str">
        <x:v>country</x:v>
      </x:c>
      <x:c r="L399" s="63" t="str">
        <x:v>2025-06-01</x:v>
      </x:c>
      <x:c r="M399" s="63" t="str">
        <x:v>2026-06-30</x:v>
      </x:c>
      <x:c r="N399" s="63" t="str">
        <x:v>2026-06-30</x:v>
      </x:c>
      <x:c r="O399" s="63" t="str">
        <x:v>E0</x:v>
      </x:c>
      <x:c r="P399" s="63" t="str">
        <x:v>APPROVED</x:v>
      </x:c>
      <x:c r="Q399" s="64" t="b">
        <x:v>0</x:v>
      </x:c>
      <x:c r="R399" s="63" t="str">
        <x:v>GEOGRAPHIC_EXPOSURE</x:v>
      </x:c>
      <x:c r="S399" s="63" t="str">
        <x:v>Syn Bank transaction and relationship simulation</x:v>
      </x:c>
      <x:c r="T399" s="63"/>
      <x:c r="U399" s="63" t="str">
        <x:v>internal://syn-bank/simulation/ltm</x:v>
      </x:c>
      <x:c r="V399" s="63" t="str">
        <x:v>93f13b3e6237244001af5c0a2cd5829e631c9c41e7af04af7ac572a283468243</x:v>
      </x:c>
    </x:row>
    <x:row r="400">
      <x:c r="A400" s="63" t="str">
        <x:v>bec:E09:obs:currency:0</x:v>
      </x:c>
      <x:c r="B400" s="63" t="str">
        <x:v>E09</x:v>
      </x:c>
      <x:c r="C400" s="63" t="str">
        <x:v>bank_observed_currency_pair_value</x:v>
      </x:c>
      <x:c r="D400" s="63" t="str">
        <x:v>MONEY</x:v>
      </x:c>
      <x:c r="E400" s="63" t="str">
        <x:v>OBSERVED</x:v>
      </x:c>
      <x:c r="F400" s="65" t="n">
        <x:v>2118592931.7</x:v>
      </x:c>
      <x:c r="G400" s="66"/>
      <x:c r="H400" s="67"/>
      <x:c r="I400" s="63"/>
      <x:c r="J400" s="63" t="str">
        <x:v>ZAR</x:v>
      </x:c>
      <x:c r="K400" s="63" t="str">
        <x:v>ZAR</x:v>
      </x:c>
      <x:c r="L400" s="63" t="str">
        <x:v>2025-06-01</x:v>
      </x:c>
      <x:c r="M400" s="63" t="str">
        <x:v>2026-06-30</x:v>
      </x:c>
      <x:c r="N400" s="63" t="str">
        <x:v>2026-06-30</x:v>
      </x:c>
      <x:c r="O400" s="63" t="str">
        <x:v>E0</x:v>
      </x:c>
      <x:c r="P400" s="63" t="str">
        <x:v>APPROVED</x:v>
      </x:c>
      <x:c r="Q400" s="64" t="b">
        <x:v>1</x:v>
      </x:c>
      <x:c r="R400" s="63" t="str">
        <x:v>CURRENCY_AND_COMMODITY_EXPOSURE</x:v>
      </x:c>
      <x:c r="S400" s="63" t="str">
        <x:v>Syn Bank transaction and relationship simulation</x:v>
      </x:c>
      <x:c r="T400" s="63"/>
      <x:c r="U400" s="63" t="str">
        <x:v>internal://syn-bank/simulation/ltm</x:v>
      </x:c>
      <x:c r="V400" s="63" t="str">
        <x:v>c78215d1402555795fcc6533af19580f1ab6c0fe5de97a6a3be44d23a96b785c</x:v>
      </x:c>
    </x:row>
    <x:row r="401">
      <x:c r="A401" s="63" t="str">
        <x:v>bec:E09:obs:currency-pair:0</x:v>
      </x:c>
      <x:c r="B401" s="63" t="str">
        <x:v>E09</x:v>
      </x:c>
      <x:c r="C401" s="63" t="str">
        <x:v>bank_observed_currency_pair</x:v>
      </x:c>
      <x:c r="D401" s="63" t="str">
        <x:v>CATEGORICAL</x:v>
      </x:c>
      <x:c r="E401" s="63" t="str">
        <x:v>OBSERVED</x:v>
      </x:c>
      <x:c r="F401" s="65"/>
      <x:c r="G401" s="66"/>
      <x:c r="H401" s="67"/>
      <x:c r="I401" s="63" t="str">
        <x:v>USD/ZAR</x:v>
      </x:c>
      <x:c r="J401" s="63"/>
      <x:c r="K401" s="63" t="str">
        <x:v>currency_pair</x:v>
      </x:c>
      <x:c r="L401" s="63" t="str">
        <x:v>2025-06-01</x:v>
      </x:c>
      <x:c r="M401" s="63" t="str">
        <x:v>2026-06-30</x:v>
      </x:c>
      <x:c r="N401" s="63" t="str">
        <x:v>2026-06-30</x:v>
      </x:c>
      <x:c r="O401" s="63" t="str">
        <x:v>E0</x:v>
      </x:c>
      <x:c r="P401" s="63" t="str">
        <x:v>APPROVED</x:v>
      </x:c>
      <x:c r="Q401" s="64" t="b">
        <x:v>0</x:v>
      </x:c>
      <x:c r="R401" s="63" t="str">
        <x:v>CURRENCY_AND_COMMODITY_EXPOSURE</x:v>
      </x:c>
      <x:c r="S401" s="63" t="str">
        <x:v>Syn Bank transaction and relationship simulation</x:v>
      </x:c>
      <x:c r="T401" s="63"/>
      <x:c r="U401" s="63" t="str">
        <x:v>internal://syn-bank/simulation/ltm</x:v>
      </x:c>
      <x:c r="V401" s="63" t="str">
        <x:v>fe23c155abafde278d3cbaee4c62cec5c300df7b92daf57f6212d5c3d8a95659</x:v>
      </x:c>
    </x:row>
    <x:row r="402">
      <x:c r="A402" s="63" t="str">
        <x:v>bec:E09:obs:currency:1</x:v>
      </x:c>
      <x:c r="B402" s="63" t="str">
        <x:v>E09</x:v>
      </x:c>
      <x:c r="C402" s="63" t="str">
        <x:v>bank_observed_currency_pair_value</x:v>
      </x:c>
      <x:c r="D402" s="63" t="str">
        <x:v>MONEY</x:v>
      </x:c>
      <x:c r="E402" s="63" t="str">
        <x:v>OBSERVED</x:v>
      </x:c>
      <x:c r="F402" s="65" t="n">
        <x:v>2055583709.649997</x:v>
      </x:c>
      <x:c r="G402" s="66"/>
      <x:c r="H402" s="67"/>
      <x:c r="I402" s="63"/>
      <x:c r="J402" s="63" t="str">
        <x:v>ZAR</x:v>
      </x:c>
      <x:c r="K402" s="63" t="str">
        <x:v>ZAR</x:v>
      </x:c>
      <x:c r="L402" s="63" t="str">
        <x:v>2025-06-01</x:v>
      </x:c>
      <x:c r="M402" s="63" t="str">
        <x:v>2026-06-30</x:v>
      </x:c>
      <x:c r="N402" s="63" t="str">
        <x:v>2026-06-30</x:v>
      </x:c>
      <x:c r="O402" s="63" t="str">
        <x:v>E0</x:v>
      </x:c>
      <x:c r="P402" s="63" t="str">
        <x:v>APPROVED</x:v>
      </x:c>
      <x:c r="Q402" s="64" t="b">
        <x:v>0</x:v>
      </x:c>
      <x:c r="R402" s="63" t="str">
        <x:v>CURRENCY_AND_COMMODITY_EXPOSURE</x:v>
      </x:c>
      <x:c r="S402" s="63" t="str">
        <x:v>Syn Bank transaction and relationship simulation</x:v>
      </x:c>
      <x:c r="T402" s="63"/>
      <x:c r="U402" s="63" t="str">
        <x:v>internal://syn-bank/simulation/ltm</x:v>
      </x:c>
      <x:c r="V402" s="63" t="str">
        <x:v>7b9d7f1bd0ef0fa5bbad3903decade1c3c7e4e19dfa7c6bf74106fbccaf5857e</x:v>
      </x:c>
    </x:row>
    <x:row r="403">
      <x:c r="A403" s="63" t="str">
        <x:v>bec:E09:obs:currency-pair:1</x:v>
      </x:c>
      <x:c r="B403" s="63" t="str">
        <x:v>E09</x:v>
      </x:c>
      <x:c r="C403" s="63" t="str">
        <x:v>bank_observed_currency_pair</x:v>
      </x:c>
      <x:c r="D403" s="63" t="str">
        <x:v>CATEGORICAL</x:v>
      </x:c>
      <x:c r="E403" s="63" t="str">
        <x:v>OBSERVED</x:v>
      </x:c>
      <x:c r="F403" s="65"/>
      <x:c r="G403" s="66"/>
      <x:c r="H403" s="67"/>
      <x:c r="I403" s="63" t="str">
        <x:v>GBP/ZAR</x:v>
      </x:c>
      <x:c r="J403" s="63"/>
      <x:c r="K403" s="63" t="str">
        <x:v>currency_pair</x:v>
      </x:c>
      <x:c r="L403" s="63" t="str">
        <x:v>2025-06-01</x:v>
      </x:c>
      <x:c r="M403" s="63" t="str">
        <x:v>2026-06-30</x:v>
      </x:c>
      <x:c r="N403" s="63" t="str">
        <x:v>2026-06-30</x:v>
      </x:c>
      <x:c r="O403" s="63" t="str">
        <x:v>E0</x:v>
      </x:c>
      <x:c r="P403" s="63" t="str">
        <x:v>APPROVED</x:v>
      </x:c>
      <x:c r="Q403" s="64" t="b">
        <x:v>0</x:v>
      </x:c>
      <x:c r="R403" s="63" t="str">
        <x:v>CURRENCY_AND_COMMODITY_EXPOSURE</x:v>
      </x:c>
      <x:c r="S403" s="63" t="str">
        <x:v>Syn Bank transaction and relationship simulation</x:v>
      </x:c>
      <x:c r="T403" s="63"/>
      <x:c r="U403" s="63" t="str">
        <x:v>internal://syn-bank/simulation/ltm</x:v>
      </x:c>
      <x:c r="V403" s="63" t="str">
        <x:v>eb79ac2339dd7b1719b3f8fdc34d033cef4887b53a8a2eeca42638f9ec5e427a</x:v>
      </x:c>
    </x:row>
    <x:row r="404">
      <x:c r="A404" s="63" t="str">
        <x:v>bec:E09:obs:currency:2</x:v>
      </x:c>
      <x:c r="B404" s="63" t="str">
        <x:v>E09</x:v>
      </x:c>
      <x:c r="C404" s="63" t="str">
        <x:v>bank_observed_currency_pair_value</x:v>
      </x:c>
      <x:c r="D404" s="63" t="str">
        <x:v>MONEY</x:v>
      </x:c>
      <x:c r="E404" s="63" t="str">
        <x:v>OBSERVED</x:v>
      </x:c>
      <x:c r="F404" s="65" t="n">
        <x:v>2019572284.439999</x:v>
      </x:c>
      <x:c r="G404" s="66"/>
      <x:c r="H404" s="67"/>
      <x:c r="I404" s="63"/>
      <x:c r="J404" s="63" t="str">
        <x:v>ZAR</x:v>
      </x:c>
      <x:c r="K404" s="63" t="str">
        <x:v>ZAR</x:v>
      </x:c>
      <x:c r="L404" s="63" t="str">
        <x:v>2025-06-01</x:v>
      </x:c>
      <x:c r="M404" s="63" t="str">
        <x:v>2026-06-30</x:v>
      </x:c>
      <x:c r="N404" s="63" t="str">
        <x:v>2026-06-30</x:v>
      </x:c>
      <x:c r="O404" s="63" t="str">
        <x:v>E0</x:v>
      </x:c>
      <x:c r="P404" s="63" t="str">
        <x:v>APPROVED</x:v>
      </x:c>
      <x:c r="Q404" s="64" t="b">
        <x:v>0</x:v>
      </x:c>
      <x:c r="R404" s="63" t="str">
        <x:v>CURRENCY_AND_COMMODITY_EXPOSURE</x:v>
      </x:c>
      <x:c r="S404" s="63" t="str">
        <x:v>Syn Bank transaction and relationship simulation</x:v>
      </x:c>
      <x:c r="T404" s="63"/>
      <x:c r="U404" s="63" t="str">
        <x:v>internal://syn-bank/simulation/ltm</x:v>
      </x:c>
      <x:c r="V404" s="63" t="str">
        <x:v>d8b14540f414039e0f0909465232b99246d8c29ca1f75bf1550e82d8f6c8b974</x:v>
      </x:c>
    </x:row>
    <x:row r="405">
      <x:c r="A405" s="63" t="str">
        <x:v>bec:E09:obs:currency-pair:2</x:v>
      </x:c>
      <x:c r="B405" s="63" t="str">
        <x:v>E09</x:v>
      </x:c>
      <x:c r="C405" s="63" t="str">
        <x:v>bank_observed_currency_pair</x:v>
      </x:c>
      <x:c r="D405" s="63" t="str">
        <x:v>CATEGORICAL</x:v>
      </x:c>
      <x:c r="E405" s="63" t="str">
        <x:v>OBSERVED</x:v>
      </x:c>
      <x:c r="F405" s="65"/>
      <x:c r="G405" s="66"/>
      <x:c r="H405" s="67"/>
      <x:c r="I405" s="63" t="str">
        <x:v>EUR/ZAR</x:v>
      </x:c>
      <x:c r="J405" s="63"/>
      <x:c r="K405" s="63" t="str">
        <x:v>currency_pair</x:v>
      </x:c>
      <x:c r="L405" s="63" t="str">
        <x:v>2025-06-01</x:v>
      </x:c>
      <x:c r="M405" s="63" t="str">
        <x:v>2026-06-30</x:v>
      </x:c>
      <x:c r="N405" s="63" t="str">
        <x:v>2026-06-30</x:v>
      </x:c>
      <x:c r="O405" s="63" t="str">
        <x:v>E0</x:v>
      </x:c>
      <x:c r="P405" s="63" t="str">
        <x:v>APPROVED</x:v>
      </x:c>
      <x:c r="Q405" s="64" t="b">
        <x:v>0</x:v>
      </x:c>
      <x:c r="R405" s="63" t="str">
        <x:v>CURRENCY_AND_COMMODITY_EXPOSURE</x:v>
      </x:c>
      <x:c r="S405" s="63" t="str">
        <x:v>Syn Bank transaction and relationship simulation</x:v>
      </x:c>
      <x:c r="T405" s="63"/>
      <x:c r="U405" s="63" t="str">
        <x:v>internal://syn-bank/simulation/ltm</x:v>
      </x:c>
      <x:c r="V405" s="63" t="str">
        <x:v>52d53082718599f693091113a208dcfdf8b998fba3fd6f7b827a209eb8b81fa7</x:v>
      </x:c>
    </x:row>
    <x:row r="406">
      <x:c r="A406" s="63" t="str">
        <x:v>bec:E09:obs:country-count</x:v>
      </x:c>
      <x:c r="B406" s="63" t="str">
        <x:v>E09</x:v>
      </x:c>
      <x:c r="C406" s="63" t="str">
        <x:v>bank_observed_active_country_count</x:v>
      </x:c>
      <x:c r="D406" s="63" t="str">
        <x:v>COUNT</x:v>
      </x:c>
      <x:c r="E406" s="63" t="str">
        <x:v>OBSERVED</x:v>
      </x:c>
      <x:c r="F406" s="65"/>
      <x:c r="G406" s="66"/>
      <x:c r="H406" s="67" t="n">
        <x:v>21</x:v>
      </x:c>
      <x:c r="I406" s="63"/>
      <x:c r="J406" s="63"/>
      <x:c r="K406" s="63" t="str">
        <x:v>countries</x:v>
      </x:c>
      <x:c r="L406" s="63" t="str">
        <x:v>2025-06-01</x:v>
      </x:c>
      <x:c r="M406" s="63" t="str">
        <x:v>2026-06-30</x:v>
      </x:c>
      <x:c r="N406" s="63" t="str">
        <x:v>2026-06-30</x:v>
      </x:c>
      <x:c r="O406" s="63" t="str">
        <x:v>E0</x:v>
      </x:c>
      <x:c r="P406" s="63" t="str">
        <x:v>APPROVED</x:v>
      </x:c>
      <x:c r="Q406" s="64" t="b">
        <x:v>1</x:v>
      </x:c>
      <x:c r="R406" s="63" t="str">
        <x:v>GEOGRAPHIC_EXPOSURE</x:v>
      </x:c>
      <x:c r="S406" s="63" t="str">
        <x:v>Syn Bank transaction and relationship simulation</x:v>
      </x:c>
      <x:c r="T406" s="63"/>
      <x:c r="U406" s="63" t="str">
        <x:v>internal://syn-bank/simulation/ltm</x:v>
      </x:c>
      <x:c r="V406" s="63" t="str">
        <x:v>500748efc296744218df41d9fa55da328e37020eb97691cd0e5a84c6c49591ea</x:v>
      </x:c>
    </x:row>
    <x:row r="407">
      <x:c r="A407" s="63" t="str">
        <x:v>bec:E09:obs:relationship-breadth</x:v>
      </x:c>
      <x:c r="B407" s="63" t="str">
        <x:v>E09</x:v>
      </x:c>
      <x:c r="C407" s="63" t="str">
        <x:v>bank_observed_product_relationship_breadth</x:v>
      </x:c>
      <x:c r="D407" s="63" t="str">
        <x:v>COUNT</x:v>
      </x:c>
      <x:c r="E407" s="63" t="str">
        <x:v>OBSERVED</x:v>
      </x:c>
      <x:c r="F407" s="65"/>
      <x:c r="G407" s="66"/>
      <x:c r="H407" s="67" t="n">
        <x:v>5</x:v>
      </x:c>
      <x:c r="I407" s="63"/>
      <x:c r="J407" s="63"/>
      <x:c r="K407" s="63" t="str">
        <x:v>products</x:v>
      </x:c>
      <x:c r="L407" s="63" t="str">
        <x:v>2025-06-01</x:v>
      </x:c>
      <x:c r="M407" s="63" t="str">
        <x:v>2026-06-30</x:v>
      </x:c>
      <x:c r="N407" s="63" t="str">
        <x:v>2026-06-30</x:v>
      </x:c>
      <x:c r="O407" s="63" t="str">
        <x:v>E0</x:v>
      </x:c>
      <x:c r="P407" s="63" t="str">
        <x:v>APPROVED</x:v>
      </x:c>
      <x:c r="Q407" s="64" t="b">
        <x:v>1</x:v>
      </x:c>
      <x:c r="R407" s="63" t="str">
        <x:v>OPERATING_MODEL</x:v>
      </x:c>
      <x:c r="S407" s="63" t="str">
        <x:v>Syn Bank transaction and relationship simulation</x:v>
      </x:c>
      <x:c r="T407" s="63"/>
      <x:c r="U407" s="63" t="str">
        <x:v>internal://syn-bank/simulation/ltm</x:v>
      </x:c>
      <x:c r="V407" s="63" t="str">
        <x:v>ec176a5344f65ba2b42b6f2f6a23bd6951975f9efca2b9cb52523ede7a0e58ae</x:v>
      </x:c>
    </x:row>
    <x:row r="408">
      <x:c r="A408" s="63" t="str">
        <x:v>bec:E09:obs:latent:operating_scale</x:v>
      </x:c>
      <x:c r="B408" s="63" t="str">
        <x:v>E09</x:v>
      </x:c>
      <x:c r="C408" s="63" t="str">
        <x:v>bank_observed_operating_scale_index</x:v>
      </x:c>
      <x:c r="D408" s="63" t="str">
        <x:v>RATIO</x:v>
      </x:c>
      <x:c r="E408" s="63" t="str">
        <x:v>OBSERVED</x:v>
      </x:c>
      <x:c r="F408" s="65"/>
      <x:c r="G408" s="66" t="n">
        <x:v>0.75</x:v>
      </x:c>
      <x:c r="H408" s="67"/>
      <x:c r="I408" s="63"/>
      <x:c r="J408" s="63"/>
      <x:c r="K408" s="63" t="str">
        <x:v>index_0_1</x:v>
      </x:c>
      <x:c r="L408" s="63" t="str">
        <x:v>2025-06-01</x:v>
      </x:c>
      <x:c r="M408" s="63" t="str">
        <x:v>2026-06-30</x:v>
      </x:c>
      <x:c r="N408" s="63" t="str">
        <x:v>2026-06-30</x:v>
      </x:c>
      <x:c r="O408" s="63" t="str">
        <x:v>E0</x:v>
      </x:c>
      <x:c r="P408" s="63" t="str">
        <x:v>APPROVED</x:v>
      </x:c>
      <x:c r="Q408" s="64" t="b">
        <x:v>0</x:v>
      </x:c>
      <x:c r="R408" s="63" t="str">
        <x:v>OPERATING_MODEL</x:v>
      </x:c>
      <x:c r="S408" s="63" t="str">
        <x:v>Syn Bank transaction and relationship simulation</x:v>
      </x:c>
      <x:c r="T408" s="63"/>
      <x:c r="U408" s="63" t="str">
        <x:v>internal://syn-bank/simulation/ltm</x:v>
      </x:c>
      <x:c r="V408" s="63" t="str">
        <x:v>8d7a316d51bd75269a9596dd6bbb4952c360d462f4883dffe1848563eb7dee8a</x:v>
      </x:c>
    </x:row>
    <x:row r="409">
      <x:c r="A409" s="63" t="str">
        <x:v>bec:E09:obs:latent:working_capital_intensity</x:v>
      </x:c>
      <x:c r="B409" s="63" t="str">
        <x:v>E09</x:v>
      </x:c>
      <x:c r="C409" s="63" t="str">
        <x:v>bank_observed_working_capital_intensity_index</x:v>
      </x:c>
      <x:c r="D409" s="63" t="str">
        <x:v>RATIO</x:v>
      </x:c>
      <x:c r="E409" s="63" t="str">
        <x:v>OBSERVED</x:v>
      </x:c>
      <x:c r="F409" s="65"/>
      <x:c r="G409" s="66" t="n">
        <x:v>0.679</x:v>
      </x:c>
      <x:c r="H409" s="67"/>
      <x:c r="I409" s="63"/>
      <x:c r="J409" s="63"/>
      <x:c r="K409" s="63" t="str">
        <x:v>index_0_1</x:v>
      </x:c>
      <x:c r="L409" s="63" t="str">
        <x:v>2025-06-01</x:v>
      </x:c>
      <x:c r="M409" s="63" t="str">
        <x:v>2026-06-30</x:v>
      </x:c>
      <x:c r="N409" s="63" t="str">
        <x:v>2026-06-30</x:v>
      </x:c>
      <x:c r="O409" s="63" t="str">
        <x:v>E0</x:v>
      </x:c>
      <x:c r="P409" s="63" t="str">
        <x:v>APPROVED</x:v>
      </x:c>
      <x:c r="Q409" s="64" t="b">
        <x:v>0</x:v>
      </x:c>
      <x:c r="R409" s="63" t="str">
        <x:v>WORKING_CAPITAL_CYCLE</x:v>
      </x:c>
      <x:c r="S409" s="63" t="str">
        <x:v>Syn Bank transaction and relationship simulation</x:v>
      </x:c>
      <x:c r="T409" s="63"/>
      <x:c r="U409" s="63" t="str">
        <x:v>internal://syn-bank/simulation/ltm</x:v>
      </x:c>
      <x:c r="V409" s="63" t="str">
        <x:v>70bfc1e86259c4281eeb57cf950f8e56b97773307716fce9faf4afe79ff5d32b</x:v>
      </x:c>
    </x:row>
    <x:row r="410">
      <x:c r="A410" s="63" t="str">
        <x:v>bec:E09:obs:latent:liquidity_volatility</x:v>
      </x:c>
      <x:c r="B410" s="63" t="str">
        <x:v>E09</x:v>
      </x:c>
      <x:c r="C410" s="63" t="str">
        <x:v>bank_observed_liquidity_volatility_index</x:v>
      </x:c>
      <x:c r="D410" s="63" t="str">
        <x:v>RATIO</x:v>
      </x:c>
      <x:c r="E410" s="63" t="str">
        <x:v>OBSERVED</x:v>
      </x:c>
      <x:c r="F410" s="65"/>
      <x:c r="G410" s="66" t="n">
        <x:v>0.059</x:v>
      </x:c>
      <x:c r="H410" s="67"/>
      <x:c r="I410" s="63"/>
      <x:c r="J410" s="63"/>
      <x:c r="K410" s="63" t="str">
        <x:v>index_0_1</x:v>
      </x:c>
      <x:c r="L410" s="63" t="str">
        <x:v>2025-06-01</x:v>
      </x:c>
      <x:c r="M410" s="63" t="str">
        <x:v>2026-06-30</x:v>
      </x:c>
      <x:c r="N410" s="63" t="str">
        <x:v>2026-06-30</x:v>
      </x:c>
      <x:c r="O410" s="63" t="str">
        <x:v>E0</x:v>
      </x:c>
      <x:c r="P410" s="63" t="str">
        <x:v>APPROVED</x:v>
      </x:c>
      <x:c r="Q410" s="64" t="b">
        <x:v>0</x:v>
      </x:c>
      <x:c r="R410" s="63" t="str">
        <x:v>LIQUIDITY_AND_BUFFER</x:v>
      </x:c>
      <x:c r="S410" s="63" t="str">
        <x:v>Syn Bank transaction and relationship simulation</x:v>
      </x:c>
      <x:c r="T410" s="63"/>
      <x:c r="U410" s="63" t="str">
        <x:v>internal://syn-bank/simulation/ltm</x:v>
      </x:c>
      <x:c r="V410" s="63" t="str">
        <x:v>e15b0521d5eef994352a9b17f506ee714d9a9d109b3fff90ca8eb3865ae78d36</x:v>
      </x:c>
    </x:row>
    <x:row r="411">
      <x:c r="A411" s="63" t="str">
        <x:v>bec:E09:obs:latent:international_exposure</x:v>
      </x:c>
      <x:c r="B411" s="63" t="str">
        <x:v>E09</x:v>
      </x:c>
      <x:c r="C411" s="63" t="str">
        <x:v>bank_observed_international_exposure_index</x:v>
      </x:c>
      <x:c r="D411" s="63" t="str">
        <x:v>RATIO</x:v>
      </x:c>
      <x:c r="E411" s="63" t="str">
        <x:v>OBSERVED</x:v>
      </x:c>
      <x:c r="F411" s="65"/>
      <x:c r="G411" s="66" t="n">
        <x:v>0.321</x:v>
      </x:c>
      <x:c r="H411" s="67"/>
      <x:c r="I411" s="63"/>
      <x:c r="J411" s="63"/>
      <x:c r="K411" s="63" t="str">
        <x:v>index_0_1</x:v>
      </x:c>
      <x:c r="L411" s="63" t="str">
        <x:v>2025-06-01</x:v>
      </x:c>
      <x:c r="M411" s="63" t="str">
        <x:v>2026-06-30</x:v>
      </x:c>
      <x:c r="N411" s="63" t="str">
        <x:v>2026-06-30</x:v>
      </x:c>
      <x:c r="O411" s="63" t="str">
        <x:v>E0</x:v>
      </x:c>
      <x:c r="P411" s="63" t="str">
        <x:v>APPROVED</x:v>
      </x:c>
      <x:c r="Q411" s="64" t="b">
        <x:v>0</x:v>
      </x:c>
      <x:c r="R411" s="63" t="str">
        <x:v>GEOGRAPHIC_EXPOSURE</x:v>
      </x:c>
      <x:c r="S411" s="63" t="str">
        <x:v>Syn Bank transaction and relationship simulation</x:v>
      </x:c>
      <x:c r="T411" s="63"/>
      <x:c r="U411" s="63" t="str">
        <x:v>internal://syn-bank/simulation/ltm</x:v>
      </x:c>
      <x:c r="V411" s="63" t="str">
        <x:v>c9b0913b611b1b63b69a4c7c6576cbf1186ef31c03ea6a5606b28b6415c07f57</x:v>
      </x:c>
    </x:row>
    <x:row r="412">
      <x:c r="A412" s="63" t="str">
        <x:v>bec:E09:obs:latent:financing_need</x:v>
      </x:c>
      <x:c r="B412" s="63" t="str">
        <x:v>E09</x:v>
      </x:c>
      <x:c r="C412" s="63" t="str">
        <x:v>bank_observed_financing_need_index</x:v>
      </x:c>
      <x:c r="D412" s="63" t="str">
        <x:v>RATIO</x:v>
      </x:c>
      <x:c r="E412" s="63" t="str">
        <x:v>OBSERVED</x:v>
      </x:c>
      <x:c r="F412" s="65"/>
      <x:c r="G412" s="66" t="n">
        <x:v>0.104</x:v>
      </x:c>
      <x:c r="H412" s="67"/>
      <x:c r="I412" s="63"/>
      <x:c r="J412" s="63"/>
      <x:c r="K412" s="63" t="str">
        <x:v>index_0_1</x:v>
      </x:c>
      <x:c r="L412" s="63" t="str">
        <x:v>2025-06-01</x:v>
      </x:c>
      <x:c r="M412" s="63" t="str">
        <x:v>2026-06-30</x:v>
      </x:c>
      <x:c r="N412" s="63" t="str">
        <x:v>2026-06-30</x:v>
      </x:c>
      <x:c r="O412" s="63" t="str">
        <x:v>E0</x:v>
      </x:c>
      <x:c r="P412" s="63" t="str">
        <x:v>APPROVED</x:v>
      </x:c>
      <x:c r="Q412" s="64" t="b">
        <x:v>0</x:v>
      </x:c>
      <x:c r="R412" s="63" t="str">
        <x:v>FUNDING_STRUCTURE</x:v>
      </x:c>
      <x:c r="S412" s="63" t="str">
        <x:v>Syn Bank transaction and relationship simulation</x:v>
      </x:c>
      <x:c r="T412" s="63"/>
      <x:c r="U412" s="63" t="str">
        <x:v>internal://syn-bank/simulation/ltm</x:v>
      </x:c>
      <x:c r="V412" s="63" t="str">
        <x:v>baf8c00c13783d3b1cf056166b8db40d01328d87535819a79a3765ab83f4cbf3</x:v>
      </x:c>
    </x:row>
    <x:row r="413">
      <x:c r="A413" s="63" t="str">
        <x:v>bec:E09:obs:latent:event_intensity</x:v>
      </x:c>
      <x:c r="B413" s="63" t="str">
        <x:v>E09</x:v>
      </x:c>
      <x:c r="C413" s="63" t="str">
        <x:v>bank_observed_event_intensity_index</x:v>
      </x:c>
      <x:c r="D413" s="63" t="str">
        <x:v>RATIO</x:v>
      </x:c>
      <x:c r="E413" s="63" t="str">
        <x:v>OBSERVED</x:v>
      </x:c>
      <x:c r="F413" s="65"/>
      <x:c r="G413" s="66" t="n">
        <x:v>1</x:v>
      </x:c>
      <x:c r="H413" s="67"/>
      <x:c r="I413" s="63"/>
      <x:c r="J413" s="63"/>
      <x:c r="K413" s="63" t="str">
        <x:v>index_0_1</x:v>
      </x:c>
      <x:c r="L413" s="63" t="str">
        <x:v>2025-06-01</x:v>
      </x:c>
      <x:c r="M413" s="63" t="str">
        <x:v>2026-06-30</x:v>
      </x:c>
      <x:c r="N413" s="63" t="str">
        <x:v>2026-06-30</x:v>
      </x:c>
      <x:c r="O413" s="63" t="str">
        <x:v>E0</x:v>
      </x:c>
      <x:c r="P413" s="63" t="str">
        <x:v>APPROVED</x:v>
      </x:c>
      <x:c r="Q413" s="64" t="b">
        <x:v>0</x:v>
      </x:c>
      <x:c r="R413" s="63" t="str">
        <x:v>STRATEGY_ACTIONS_AND_ESG</x:v>
      </x:c>
      <x:c r="S413" s="63" t="str">
        <x:v>Syn Bank transaction and relationship simulation</x:v>
      </x:c>
      <x:c r="T413" s="63"/>
      <x:c r="U413" s="63" t="str">
        <x:v>internal://syn-bank/simulation/ltm</x:v>
      </x:c>
      <x:c r="V413" s="63" t="str">
        <x:v>13d7c83a382b3393ed5a53e7f66642f31bc9880e95aaaaf49d7ce08f181974b1</x:v>
      </x:c>
    </x:row>
    <x:row r="414">
      <x:c r="A414" s="63" t="str">
        <x:v>bec:E09:obs:latent:relationship_complexity</x:v>
      </x:c>
      <x:c r="B414" s="63" t="str">
        <x:v>E09</x:v>
      </x:c>
      <x:c r="C414" s="63" t="str">
        <x:v>bank_observed_relationship_complexity_index</x:v>
      </x:c>
      <x:c r="D414" s="63" t="str">
        <x:v>RATIO</x:v>
      </x:c>
      <x:c r="E414" s="63" t="str">
        <x:v>OBSERVED</x:v>
      </x:c>
      <x:c r="F414" s="65"/>
      <x:c r="G414" s="66" t="n">
        <x:v>1</x:v>
      </x:c>
      <x:c r="H414" s="67"/>
      <x:c r="I414" s="63"/>
      <x:c r="J414" s="63"/>
      <x:c r="K414" s="63" t="str">
        <x:v>index_0_1</x:v>
      </x:c>
      <x:c r="L414" s="63" t="str">
        <x:v>2025-06-01</x:v>
      </x:c>
      <x:c r="M414" s="63" t="str">
        <x:v>2026-06-30</x:v>
      </x:c>
      <x:c r="N414" s="63" t="str">
        <x:v>2026-06-30</x:v>
      </x:c>
      <x:c r="O414" s="63" t="str">
        <x:v>E0</x:v>
      </x:c>
      <x:c r="P414" s="63" t="str">
        <x:v>APPROVED</x:v>
      </x:c>
      <x:c r="Q414" s="64" t="b">
        <x:v>0</x:v>
      </x:c>
      <x:c r="R414" s="63" t="str">
        <x:v>OPERATING_MODEL</x:v>
      </x:c>
      <x:c r="S414" s="63" t="str">
        <x:v>Syn Bank transaction and relationship simulation</x:v>
      </x:c>
      <x:c r="T414" s="63"/>
      <x:c r="U414" s="63" t="str">
        <x:v>internal://syn-bank/simulation/ltm</x:v>
      </x:c>
      <x:c r="V414" s="63" t="str">
        <x:v>47064a9662fc8434e0063d8d671ee3a72480b5a3c9a955bc8c3c2dc319f0f721</x:v>
      </x:c>
    </x:row>
    <x:row r="415">
      <x:c r="A415" s="63" t="str">
        <x:v>bec:E09:obs:events:trade-90d</x:v>
      </x:c>
      <x:c r="B415" s="63" t="str">
        <x:v>E09</x:v>
      </x:c>
      <x:c r="C415" s="63" t="str">
        <x:v>bank_observed_trade_events_next_90d</x:v>
      </x:c>
      <x:c r="D415" s="63" t="str">
        <x:v>COUNT</x:v>
      </x:c>
      <x:c r="E415" s="63" t="str">
        <x:v>OBSERVED</x:v>
      </x:c>
      <x:c r="F415" s="65"/>
      <x:c r="G415" s="66"/>
      <x:c r="H415" s="67" t="n">
        <x:v>152</x:v>
      </x:c>
      <x:c r="I415" s="63"/>
      <x:c r="J415" s="63"/>
      <x:c r="K415" s="63" t="str">
        <x:v>events</x:v>
      </x:c>
      <x:c r="L415" s="63" t="str">
        <x:v>2025-06-01</x:v>
      </x:c>
      <x:c r="M415" s="63" t="str">
        <x:v>2026-06-30</x:v>
      </x:c>
      <x:c r="N415" s="63" t="str">
        <x:v>2026-06-30</x:v>
      </x:c>
      <x:c r="O415" s="63" t="str">
        <x:v>E0</x:v>
      </x:c>
      <x:c r="P415" s="63" t="str">
        <x:v>APPROVED</x:v>
      </x:c>
      <x:c r="Q415" s="64" t="b">
        <x:v>1</x:v>
      </x:c>
      <x:c r="R415" s="63" t="str">
        <x:v>OPERATING_MODEL, WORKING_CAPITAL_CYCLE</x:v>
      </x:c>
      <x:c r="S415" s="63" t="str">
        <x:v>Syn Bank transaction and relationship simulation</x:v>
      </x:c>
      <x:c r="T415" s="63"/>
      <x:c r="U415" s="63" t="str">
        <x:v>internal://syn-bank/simulation/ltm</x:v>
      </x:c>
      <x:c r="V415" s="63" t="str">
        <x:v>2fb3f5ba8917fd0f9c8ab1fee4c6dd798eb157c0114c5e1997839f0b2483cf1b</x:v>
      </x:c>
    </x:row>
    <x:row r="416">
      <x:c r="A416" s="63" t="str">
        <x:v>bec:E09:obs:events:trade-90d-value</x:v>
      </x:c>
      <x:c r="B416" s="63" t="str">
        <x:v>E09</x:v>
      </x:c>
      <x:c r="C416" s="63" t="str">
        <x:v>bank_observed_trade_events_value_next_90d</x:v>
      </x:c>
      <x:c r="D416" s="63" t="str">
        <x:v>MONEY</x:v>
      </x:c>
      <x:c r="E416" s="63" t="str">
        <x:v>OBSERVED</x:v>
      </x:c>
      <x:c r="F416" s="65" t="n">
        <x:v>342974456.46</x:v>
      </x:c>
      <x:c r="G416" s="66"/>
      <x:c r="H416" s="67"/>
      <x:c r="I416" s="63"/>
      <x:c r="J416" s="63" t="str">
        <x:v>ZAR</x:v>
      </x:c>
      <x:c r="K416" s="63" t="str">
        <x:v>ZAR</x:v>
      </x:c>
      <x:c r="L416" s="63" t="str">
        <x:v>2025-06-01</x:v>
      </x:c>
      <x:c r="M416" s="63" t="str">
        <x:v>2026-06-30</x:v>
      </x:c>
      <x:c r="N416" s="63" t="str">
        <x:v>2026-06-30</x:v>
      </x:c>
      <x:c r="O416" s="63" t="str">
        <x:v>E0</x:v>
      </x:c>
      <x:c r="P416" s="63" t="str">
        <x:v>APPROVED</x:v>
      </x:c>
      <x:c r="Q416" s="64" t="b">
        <x:v>0</x:v>
      </x:c>
      <x:c r="R416" s="63" t="str">
        <x:v>WORKING_CAPITAL_CYCLE</x:v>
      </x:c>
      <x:c r="S416" s="63" t="str">
        <x:v>Syn Bank transaction and relationship simulation</x:v>
      </x:c>
      <x:c r="T416" s="63"/>
      <x:c r="U416" s="63" t="str">
        <x:v>internal://syn-bank/simulation/ltm</x:v>
      </x:c>
      <x:c r="V416" s="63" t="str">
        <x:v>c541ebf403056b1c0bf675b72ba18570750ac0843880c9fc0da570500bd06545</x:v>
      </x:c>
    </x:row>
    <x:row r="417">
      <x:c r="A417" s="63" t="str">
        <x:v>bec:E09:maturity:current-debt</x:v>
      </x:c>
      <x:c r="B417" s="63" t="str">
        <x:v>E09</x:v>
      </x:c>
      <x:c r="C417" s="63" t="str">
        <x:v>current_debt_maturity_window</x:v>
      </x:c>
      <x:c r="D417" s="63" t="str">
        <x:v>DATE_OR_MATURITY</x:v>
      </x:c>
      <x:c r="E417" s="63" t="str">
        <x:v>IDENTIFIED_BOUND</x:v>
      </x:c>
      <x:c r="F417" s="65" t="n">
        <x:v>2352000000</x:v>
      </x:c>
      <x:c r="G417" s="66"/>
      <x:c r="H417" s="67"/>
      <x:c r="I417" s="63" t="str">
        <x:v>2025-06-29</x:v>
      </x:c>
      <x:c r="J417" s="63" t="str">
        <x:v>ZAR</x:v>
      </x:c>
      <x:c r="K417" s="63" t="str">
        <x:v>ZAR</x:v>
      </x:c>
      <x:c r="L417" s="63" t="str">
        <x:v>2024-06-01</x:v>
      </x:c>
      <x:c r="M417" s="63" t="str">
        <x:v>2025-06-29</x:v>
      </x:c>
      <x:c r="N417" s="63" t="str">
        <x:v>2025-10-13</x:v>
      </x:c>
      <x:c r="O417" s="63" t="str">
        <x:v>E1</x:v>
      </x:c>
      <x:c r="P417" s="63" t="str">
        <x:v>APPROVED</x:v>
      </x:c>
      <x:c r="Q417" s="64" t="b">
        <x:v>1</x:v>
      </x:c>
      <x:c r="R417" s="63" t="str">
        <x:v>FUNDING_STRUCTURE, LIQUIDITY_AND_BUFFER</x:v>
      </x:c>
      <x:c r="S417" s="63" t="str">
        <x:v>Audited current debt-maturity/refinancing anchor</x:v>
      </x:c>
      <x:c r="T417" s="63" t="n">
        <x:v>18</x:v>
      </x:c>
      <x:c r="U417" s="63" t="str">
        <x:v>https://www.shopriteholdings.co.za/docs/shp-afs-2025.pdf</x:v>
      </x:c>
      <x:c r="V417" s="63" t="str">
        <x:v>seed-register-hash:SHP-2025-DEBT</x:v>
      </x:c>
    </x:row>
    <x:row r="418">
      <x:c r="A418" s="63" t="str">
        <x:v>bec:E09:struct:operating-model</x:v>
      </x:c>
      <x:c r="B418" s="63" t="str">
        <x:v>E09</x:v>
      </x:c>
      <x:c r="C418" s="63" t="str">
        <x:v>sector_operating_model</x:v>
      </x:c>
      <x:c r="D418" s="63" t="str">
        <x:v>TEXTUAL</x:v>
      </x:c>
      <x:c r="E418" s="63" t="str">
        <x:v>SCENARIO</x:v>
      </x:c>
      <x:c r="F418" s="65"/>
      <x:c r="G418" s="66"/>
      <x:c r="H418" s="67"/>
      <x:c r="I418" s="63" t="str">
        <x:v>High-frequency retail/distribution operator with dense supplier payment cycles and inventory-led working capital.</x:v>
      </x:c>
      <x:c r="J418" s="63"/>
      <x:c r="K418" s="63" t="str">
        <x:v>statement</x:v>
      </x:c>
      <x:c r="L418" s="63" t="str">
        <x:v>2025-06-01</x:v>
      </x:c>
      <x:c r="M418" s="63" t="str">
        <x:v>2026-06-30</x:v>
      </x:c>
      <x:c r="N418" s="63" t="str">
        <x:v>2026-06-30</x:v>
      </x:c>
      <x:c r="O418" s="63" t="str">
        <x:v>E0</x:v>
      </x:c>
      <x:c r="P418" s="63" t="str">
        <x:v>APPROVED</x:v>
      </x:c>
      <x:c r="Q418" s="64" t="b">
        <x:v>0</x:v>
      </x:c>
      <x:c r="R418" s="63" t="str">
        <x:v>OPERATING_MODEL</x:v>
      </x:c>
      <x:c r="S418" s="63" t="str">
        <x:v>Governed sector operating-model and responsibility policy</x:v>
      </x:c>
      <x:c r="T418" s="63"/>
      <x:c r="U418" s="63" t="str">
        <x:v>internal://v31/governed-policy</x:v>
      </x:c>
      <x:c r="V418" s="63" t="str">
        <x:v>db8984702e708fe58f9f62896a44294c900a54e3ed4583d261edee64209cfb76</x:v>
      </x:c>
    </x:row>
    <x:row r="419">
      <x:c r="A419" s="63" t="str">
        <x:v>bec:E09:struct:risk:0</x:v>
      </x:c>
      <x:c r="B419" s="63" t="str">
        <x:v>E09</x:v>
      </x:c>
      <x:c r="C419" s="63" t="str">
        <x:v>sector_primary_risk</x:v>
      </x:c>
      <x:c r="D419" s="63" t="str">
        <x:v>CATEGORICAL</x:v>
      </x:c>
      <x:c r="E419" s="63" t="str">
        <x:v>SCENARIO</x:v>
      </x:c>
      <x:c r="F419" s="65"/>
      <x:c r="G419" s="66"/>
      <x:c r="H419" s="67"/>
      <x:c r="I419" s="63" t="str">
        <x:v>supplier concentration</x:v>
      </x:c>
      <x:c r="J419" s="63"/>
      <x:c r="K419" s="63" t="str">
        <x:v>statement</x:v>
      </x:c>
      <x:c r="L419" s="63" t="str">
        <x:v>2025-06-01</x:v>
      </x:c>
      <x:c r="M419" s="63" t="str">
        <x:v>2026-06-30</x:v>
      </x:c>
      <x:c r="N419" s="63" t="str">
        <x:v>2026-06-30</x:v>
      </x:c>
      <x:c r="O419" s="63" t="str">
        <x:v>E0</x:v>
      </x:c>
      <x:c r="P419" s="63" t="str">
        <x:v>APPROVED</x:v>
      </x:c>
      <x:c r="Q419" s="64" t="b">
        <x:v>0</x:v>
      </x:c>
      <x:c r="R419" s="63" t="str">
        <x:v>BUSINESS_AND_FINANCIAL_RISKS</x:v>
      </x:c>
      <x:c r="S419" s="63" t="str">
        <x:v>Governed sector operating-model and responsibility policy</x:v>
      </x:c>
      <x:c r="T419" s="63"/>
      <x:c r="U419" s="63" t="str">
        <x:v>internal://v31/governed-policy</x:v>
      </x:c>
      <x:c r="V419" s="63" t="str">
        <x:v>fd3e41a03110bc64896a4e528f363adb48248d0d2efaaacc21f30e57f70166dd</x:v>
      </x:c>
    </x:row>
    <x:row r="420">
      <x:c r="A420" s="63" t="str">
        <x:v>bec:E09:struct:risk:1</x:v>
      </x:c>
      <x:c r="B420" s="63" t="str">
        <x:v>E09</x:v>
      </x:c>
      <x:c r="C420" s="63" t="str">
        <x:v>sector_primary_risk</x:v>
      </x:c>
      <x:c r="D420" s="63" t="str">
        <x:v>CATEGORICAL</x:v>
      </x:c>
      <x:c r="E420" s="63" t="str">
        <x:v>SCENARIO</x:v>
      </x:c>
      <x:c r="F420" s="65"/>
      <x:c r="G420" s="66"/>
      <x:c r="H420" s="67"/>
      <x:c r="I420" s="63" t="str">
        <x:v>consumer demand cyclicality</x:v>
      </x:c>
      <x:c r="J420" s="63"/>
      <x:c r="K420" s="63" t="str">
        <x:v>statement</x:v>
      </x:c>
      <x:c r="L420" s="63" t="str">
        <x:v>2025-06-01</x:v>
      </x:c>
      <x:c r="M420" s="63" t="str">
        <x:v>2026-06-30</x:v>
      </x:c>
      <x:c r="N420" s="63" t="str">
        <x:v>2026-06-30</x:v>
      </x:c>
      <x:c r="O420" s="63" t="str">
        <x:v>E0</x:v>
      </x:c>
      <x:c r="P420" s="63" t="str">
        <x:v>APPROVED</x:v>
      </x:c>
      <x:c r="Q420" s="64" t="b">
        <x:v>0</x:v>
      </x:c>
      <x:c r="R420" s="63" t="str">
        <x:v>BUSINESS_AND_FINANCIAL_RISKS</x:v>
      </x:c>
      <x:c r="S420" s="63" t="str">
        <x:v>Governed sector operating-model and responsibility policy</x:v>
      </x:c>
      <x:c r="T420" s="63"/>
      <x:c r="U420" s="63" t="str">
        <x:v>internal://v31/governed-policy</x:v>
      </x:c>
      <x:c r="V420" s="63" t="str">
        <x:v>31f07455881d23f88f5bbf9f616b5a55fd5ee506a8cfc4c4e322f51282daf52a</x:v>
      </x:c>
    </x:row>
    <x:row r="421">
      <x:c r="A421" s="63" t="str">
        <x:v>bec:E09:struct:risk:2</x:v>
      </x:c>
      <x:c r="B421" s="63" t="str">
        <x:v>E09</x:v>
      </x:c>
      <x:c r="C421" s="63" t="str">
        <x:v>sector_primary_risk</x:v>
      </x:c>
      <x:c r="D421" s="63" t="str">
        <x:v>CATEGORICAL</x:v>
      </x:c>
      <x:c r="E421" s="63" t="str">
        <x:v>SCENARIO</x:v>
      </x:c>
      <x:c r="F421" s="65"/>
      <x:c r="G421" s="66"/>
      <x:c r="H421" s="67"/>
      <x:c r="I421" s="63" t="str">
        <x:v>cross-border sourcing cost</x:v>
      </x:c>
      <x:c r="J421" s="63"/>
      <x:c r="K421" s="63" t="str">
        <x:v>statement</x:v>
      </x:c>
      <x:c r="L421" s="63" t="str">
        <x:v>2025-06-01</x:v>
      </x:c>
      <x:c r="M421" s="63" t="str">
        <x:v>2026-06-30</x:v>
      </x:c>
      <x:c r="N421" s="63" t="str">
        <x:v>2026-06-30</x:v>
      </x:c>
      <x:c r="O421" s="63" t="str">
        <x:v>E0</x:v>
      </x:c>
      <x:c r="P421" s="63" t="str">
        <x:v>APPROVED</x:v>
      </x:c>
      <x:c r="Q421" s="64" t="b">
        <x:v>0</x:v>
      </x:c>
      <x:c r="R421" s="63" t="str">
        <x:v>BUSINESS_AND_FINANCIAL_RISKS</x:v>
      </x:c>
      <x:c r="S421" s="63" t="str">
        <x:v>Governed sector operating-model and responsibility policy</x:v>
      </x:c>
      <x:c r="T421" s="63"/>
      <x:c r="U421" s="63" t="str">
        <x:v>internal://v31/governed-policy</x:v>
      </x:c>
      <x:c r="V421" s="63" t="str">
        <x:v>628eb8ea8f43be42b96e965cdfce670108f29b3600470b89f17a47eb0f0be75b</x:v>
      </x:c>
    </x:row>
    <x:row r="422">
      <x:c r="A422" s="63" t="str">
        <x:v>bec:E09:struct:responsibility-model</x:v>
      </x:c>
      <x:c r="B422" s="63" t="str">
        <x:v>E09</x:v>
      </x:c>
      <x:c r="C422" s="63" t="str">
        <x:v>stakeholder_responsibility_model</x:v>
      </x:c>
      <x:c r="D422" s="63" t="str">
        <x:v>TEXTUAL</x:v>
      </x:c>
      <x:c r="E422" s="63" t="str">
        <x:v>SCENARIO</x:v>
      </x:c>
      <x:c r="F422" s="65"/>
      <x:c r="G422" s="66"/>
      <x:c r="H422" s="67"/>
      <x:c r="I422" s="63" t="str">
        <x:v>Responsibility is assigned by role persona using governed matrix v31-stakeholder-responsibility-3.1.0. Named individuals are not resolved in the demonstration and require CRM entitlement checks in production.</x:v>
      </x:c>
      <x:c r="J422" s="63"/>
      <x:c r="K422" s="63" t="str">
        <x:v>statement</x:v>
      </x:c>
      <x:c r="L422" s="63" t="str">
        <x:v>2025-06-01</x:v>
      </x:c>
      <x:c r="M422" s="63" t="str">
        <x:v>2026-06-30</x:v>
      </x:c>
      <x:c r="N422" s="63" t="str">
        <x:v>2026-06-30</x:v>
      </x:c>
      <x:c r="O422" s="63" t="str">
        <x:v>E0</x:v>
      </x:c>
      <x:c r="P422" s="63" t="str">
        <x:v>APPROVED</x:v>
      </x:c>
      <x:c r="Q422" s="64" t="b">
        <x:v>0</x:v>
      </x:c>
      <x:c r="R422" s="63" t="str">
        <x:v>STAKEHOLDER_RESPONSIBILITY</x:v>
      </x:c>
      <x:c r="S422" s="63" t="str">
        <x:v>Governed sector operating-model and responsibility policy</x:v>
      </x:c>
      <x:c r="T422" s="63"/>
      <x:c r="U422" s="63" t="str">
        <x:v>internal://v31/governed-policy</x:v>
      </x:c>
      <x:c r="V422" s="63" t="str">
        <x:v>a4091d9bbaf3bd4d13dc0db8a182afeda75c634a901ce6f8cc16fa99c396eb94</x:v>
      </x:c>
    </x:row>
    <x:row r="423">
      <x:c r="A423" s="63" t="str">
        <x:v>bec:E09:struct:responsibility:fx_exposure</x:v>
      </x:c>
      <x:c r="B423" s="63" t="str">
        <x:v>E09</x:v>
      </x:c>
      <x:c r="C423" s="63" t="str">
        <x:v>problem_role_ownership</x:v>
      </x:c>
      <x:c r="D423" s="63" t="str">
        <x:v>STRUCTURE_RELATIONSHIP</x:v>
      </x:c>
      <x:c r="E423" s="63" t="str">
        <x:v>SCENARIO</x:v>
      </x:c>
      <x:c r="F423" s="65"/>
      <x:c r="G423" s="66"/>
      <x:c r="H423" s="67"/>
      <x:c r="I423" s="63"/>
      <x:c r="J423" s="63"/>
      <x:c r="K423" s="63" t="str">
        <x:v>statement</x:v>
      </x:c>
      <x:c r="L423" s="63" t="str">
        <x:v>2025-06-01</x:v>
      </x:c>
      <x:c r="M423" s="63" t="str">
        <x:v>2026-06-30</x:v>
      </x:c>
      <x:c r="N423" s="63" t="str">
        <x:v>2026-06-30</x:v>
      </x:c>
      <x:c r="O423" s="63" t="str">
        <x:v>E0</x:v>
      </x:c>
      <x:c r="P423" s="63" t="str">
        <x:v>APPROVED</x:v>
      </x:c>
      <x:c r="Q423" s="64" t="b">
        <x:v>0</x:v>
      </x:c>
      <x:c r="R423" s="63" t="str">
        <x:v>STAKEHOLDER_RESPONSIBILITY</x:v>
      </x:c>
      <x:c r="S423" s="63" t="str">
        <x:v>Governed sector operating-model and responsibility policy</x:v>
      </x:c>
      <x:c r="T423" s="63"/>
      <x:c r="U423" s="63" t="str">
        <x:v>internal://v31/governed-policy</x:v>
      </x:c>
      <x:c r="V423" s="63" t="str">
        <x:v>c520a976dfdd25390b61f0cc56af0d17276a9edd184cc0594e29210623f2fe33</x:v>
      </x:c>
    </x:row>
    <x:row r="424">
      <x:c r="A424" s="63" t="str">
        <x:v>bec:E09:struct:responsibility:refinancing_cliff</x:v>
      </x:c>
      <x:c r="B424" s="63" t="str">
        <x:v>E09</x:v>
      </x:c>
      <x:c r="C424" s="63" t="str">
        <x:v>problem_role_ownership</x:v>
      </x:c>
      <x:c r="D424" s="63" t="str">
        <x:v>STRUCTURE_RELATIONSHIP</x:v>
      </x:c>
      <x:c r="E424" s="63" t="str">
        <x:v>SCENARIO</x:v>
      </x:c>
      <x:c r="F424" s="65"/>
      <x:c r="G424" s="66"/>
      <x:c r="H424" s="67"/>
      <x:c r="I424" s="63"/>
      <x:c r="J424" s="63"/>
      <x:c r="K424" s="63" t="str">
        <x:v>statement</x:v>
      </x:c>
      <x:c r="L424" s="63" t="str">
        <x:v>2025-06-01</x:v>
      </x:c>
      <x:c r="M424" s="63" t="str">
        <x:v>2026-06-30</x:v>
      </x:c>
      <x:c r="N424" s="63" t="str">
        <x:v>2026-06-30</x:v>
      </x:c>
      <x:c r="O424" s="63" t="str">
        <x:v>E0</x:v>
      </x:c>
      <x:c r="P424" s="63" t="str">
        <x:v>APPROVED</x:v>
      </x:c>
      <x:c r="Q424" s="64" t="b">
        <x:v>0</x:v>
      </x:c>
      <x:c r="R424" s="63" t="str">
        <x:v>STAKEHOLDER_RESPONSIBILITY</x:v>
      </x:c>
      <x:c r="S424" s="63" t="str">
        <x:v>Governed sector operating-model and responsibility policy</x:v>
      </x:c>
      <x:c r="T424" s="63"/>
      <x:c r="U424" s="63" t="str">
        <x:v>internal://v31/governed-policy</x:v>
      </x:c>
      <x:c r="V424" s="63" t="str">
        <x:v>4ac4de2c93eef01a125406e9344232199fd3b9ad057f3feac56cfbc98ffbca52</x:v>
      </x:c>
    </x:row>
    <x:row r="425">
      <x:c r="A425" s="63" t="str">
        <x:v>bec:E09:struct:responsibility:working_capital_pressure</x:v>
      </x:c>
      <x:c r="B425" s="63" t="str">
        <x:v>E09</x:v>
      </x:c>
      <x:c r="C425" s="63" t="str">
        <x:v>problem_role_ownership</x:v>
      </x:c>
      <x:c r="D425" s="63" t="str">
        <x:v>STRUCTURE_RELATIONSHIP</x:v>
      </x:c>
      <x:c r="E425" s="63" t="str">
        <x:v>SCENARIO</x:v>
      </x:c>
      <x:c r="F425" s="65"/>
      <x:c r="G425" s="66"/>
      <x:c r="H425" s="67"/>
      <x:c r="I425" s="63"/>
      <x:c r="J425" s="63"/>
      <x:c r="K425" s="63" t="str">
        <x:v>statement</x:v>
      </x:c>
      <x:c r="L425" s="63" t="str">
        <x:v>2025-06-01</x:v>
      </x:c>
      <x:c r="M425" s="63" t="str">
        <x:v>2026-06-30</x:v>
      </x:c>
      <x:c r="N425" s="63" t="str">
        <x:v>2026-06-30</x:v>
      </x:c>
      <x:c r="O425" s="63" t="str">
        <x:v>E0</x:v>
      </x:c>
      <x:c r="P425" s="63" t="str">
        <x:v>APPROVED</x:v>
      </x:c>
      <x:c r="Q425" s="64" t="b">
        <x:v>0</x:v>
      </x:c>
      <x:c r="R425" s="63" t="str">
        <x:v>STAKEHOLDER_RESPONSIBILITY</x:v>
      </x:c>
      <x:c r="S425" s="63" t="str">
        <x:v>Governed sector operating-model and responsibility policy</x:v>
      </x:c>
      <x:c r="T425" s="63"/>
      <x:c r="U425" s="63" t="str">
        <x:v>internal://v31/governed-policy</x:v>
      </x:c>
      <x:c r="V425" s="63" t="str">
        <x:v>1a4b04fd7cb88cadf6b8036e1201599912b5ccd92a05bb80822fb632ba63ec60</x:v>
      </x:c>
    </x:row>
    <x:row r="426">
      <x:c r="A426" s="63" t="str">
        <x:v>bec:BIDCORP-2025-REV</x:v>
      </x:c>
      <x:c r="B426" s="63" t="str">
        <x:v>E10</x:v>
      </x:c>
      <x:c r="C426" s="63" t="str">
        <x:v>revenue</x:v>
      </x:c>
      <x:c r="D426" s="63" t="str">
        <x:v>MONEY</x:v>
      </x:c>
      <x:c r="E426" s="63" t="str">
        <x:v>OBSERVED</x:v>
      </x:c>
      <x:c r="F426" s="65" t="n">
        <x:v>235591.182</x:v>
      </x:c>
      <x:c r="G426" s="66"/>
      <x:c r="H426" s="67"/>
      <x:c r="I426" s="63"/>
      <x:c r="J426" s="63" t="str">
        <x:v>ZAR</x:v>
      </x:c>
      <x:c r="K426" s="63" t="str">
        <x:v>million</x:v>
      </x:c>
      <x:c r="L426" s="63" t="str">
        <x:v>2024-07-01</x:v>
      </x:c>
      <x:c r="M426" s="63" t="str">
        <x:v>2025-06-30</x:v>
      </x:c>
      <x:c r="N426" s="63" t="str">
        <x:v>2025-10-30</x:v>
      </x:c>
      <x:c r="O426" s="63" t="str">
        <x:v>E1</x:v>
      </x:c>
      <x:c r="P426" s="63" t="str">
        <x:v>PENDING_REVIEW</x:v>
      </x:c>
      <x:c r="Q426" s="64" t="b">
        <x:v>1</x:v>
      </x:c>
      <x:c r="R426" s="63" t="str">
        <x:v>REVENUE_ENGINE</x:v>
      </x:c>
      <x:c r="S426" s="63" t="str">
        <x:v>Bidcorp Annual Integrated Report 2025</x:v>
      </x:c>
      <x:c r="T426" s="63" t="n">
        <x:v>18</x:v>
      </x:c>
      <x:c r="U426" s="63" t="str">
        <x:v>https://www.bidcorpgroup.com/pdf/reports/2025/Bidcorp-2025-AIR.pdf</x:v>
      </x:c>
      <x:c r="V426" s="63" t="str">
        <x:v>f2516d780aff52d4a5de8be9a2f02e753e948e13450e77f2b1603784b5215c9f</x:v>
      </x:c>
    </x:row>
    <x:row r="427">
      <x:c r="A427" s="63" t="str">
        <x:v>bec:BIDCORP-2025-CASH</x:v>
      </x:c>
      <x:c r="B427" s="63" t="str">
        <x:v>E10</x:v>
      </x:c>
      <x:c r="C427" s="63" t="str">
        <x:v>cash_and_cash_equivalents</x:v>
      </x:c>
      <x:c r="D427" s="63" t="str">
        <x:v>MONEY</x:v>
      </x:c>
      <x:c r="E427" s="63" t="str">
        <x:v>OBSERVED</x:v>
      </x:c>
      <x:c r="F427" s="65" t="n">
        <x:v>11767.619</x:v>
      </x:c>
      <x:c r="G427" s="66"/>
      <x:c r="H427" s="67"/>
      <x:c r="I427" s="63"/>
      <x:c r="J427" s="63" t="str">
        <x:v>ZAR</x:v>
      </x:c>
      <x:c r="K427" s="63" t="str">
        <x:v>million</x:v>
      </x:c>
      <x:c r="L427" s="63" t="str">
        <x:v>2025-06-30</x:v>
      </x:c>
      <x:c r="M427" s="63" t="str">
        <x:v>2025-06-30</x:v>
      </x:c>
      <x:c r="N427" s="63" t="str">
        <x:v>2025-10-30</x:v>
      </x:c>
      <x:c r="O427" s="63" t="str">
        <x:v>E1</x:v>
      </x:c>
      <x:c r="P427" s="63" t="str">
        <x:v>PENDING_REVIEW</x:v>
      </x:c>
      <x:c r="Q427" s="64" t="b">
        <x:v>1</x:v>
      </x:c>
      <x:c r="R427" s="63" t="str">
        <x:v>LIQUIDITY_AND_BUFFER</x:v>
      </x:c>
      <x:c r="S427" s="63" t="str">
        <x:v>Bidcorp Annual Integrated Report 2025</x:v>
      </x:c>
      <x:c r="T427" s="63" t="n">
        <x:v>19</x:v>
      </x:c>
      <x:c r="U427" s="63" t="str">
        <x:v>https://www.bidcorpgroup.com/pdf/reports/2025/Bidcorp-2025-AIR.pdf</x:v>
      </x:c>
      <x:c r="V427" s="63" t="str">
        <x:v>f2516d780aff52d4a5de8be9a2f02e753e948e13450e77f2b1603784b5215c9f</x:v>
      </x:c>
    </x:row>
    <x:row r="428">
      <x:c r="A428" s="63" t="str">
        <x:v>bec:BIDCORP-2025-CL</x:v>
      </x:c>
      <x:c r="B428" s="63" t="str">
        <x:v>E10</x:v>
      </x:c>
      <x:c r="C428" s="63" t="str">
        <x:v>current_liabilities</x:v>
      </x:c>
      <x:c r="D428" s="63" t="str">
        <x:v>MONEY</x:v>
      </x:c>
      <x:c r="E428" s="63" t="str">
        <x:v>OBSERVED</x:v>
      </x:c>
      <x:c r="F428" s="65" t="n">
        <x:v>42998.668</x:v>
      </x:c>
      <x:c r="G428" s="66"/>
      <x:c r="H428" s="67"/>
      <x:c r="I428" s="63"/>
      <x:c r="J428" s="63" t="str">
        <x:v>ZAR</x:v>
      </x:c>
      <x:c r="K428" s="63" t="str">
        <x:v>million</x:v>
      </x:c>
      <x:c r="L428" s="63" t="str">
        <x:v>2025-06-30</x:v>
      </x:c>
      <x:c r="M428" s="63" t="str">
        <x:v>2025-06-30</x:v>
      </x:c>
      <x:c r="N428" s="63" t="str">
        <x:v>2025-10-30</x:v>
      </x:c>
      <x:c r="O428" s="63" t="str">
        <x:v>E1</x:v>
      </x:c>
      <x:c r="P428" s="63" t="str">
        <x:v>PENDING_REVIEW</x:v>
      </x:c>
      <x:c r="Q428" s="64" t="b">
        <x:v>0</x:v>
      </x:c>
      <x:c r="R428" s="63" t="str">
        <x:v>FUNDING_STRUCTURE</x:v>
      </x:c>
      <x:c r="S428" s="63" t="str">
        <x:v>Bidcorp Annual Integrated Report 2025</x:v>
      </x:c>
      <x:c r="T428" s="63" t="n">
        <x:v>19</x:v>
      </x:c>
      <x:c r="U428" s="63" t="str">
        <x:v>https://www.bidcorpgroup.com/pdf/reports/2025/Bidcorp-2025-AIR.pdf</x:v>
      </x:c>
      <x:c r="V428" s="63" t="str">
        <x:v>f2516d780aff52d4a5de8be9a2f02e753e948e13450e77f2b1603784b5215c9f</x:v>
      </x:c>
    </x:row>
    <x:row r="429">
      <x:c r="A429" s="63" t="str">
        <x:v>bec:E10:obs:flow:collections</x:v>
      </x:c>
      <x:c r="B429" s="63" t="str">
        <x:v>E10</x:v>
      </x:c>
      <x:c r="C429" s="63" t="str">
        <x:v>bank_observed_collections_ltm</x:v>
      </x:c>
      <x:c r="D429" s="63" t="str">
        <x:v>MONEY</x:v>
      </x:c>
      <x:c r="E429" s="63" t="str">
        <x:v>OBSERVED</x:v>
      </x:c>
      <x:c r="F429" s="65" t="n">
        <x:v>3299371889.189999</x:v>
      </x:c>
      <x:c r="G429" s="66"/>
      <x:c r="H429" s="67"/>
      <x:c r="I429" s="63"/>
      <x:c r="J429" s="63" t="str">
        <x:v>ZAR</x:v>
      </x:c>
      <x:c r="K429" s="63" t="str">
        <x:v>ZAR</x:v>
      </x:c>
      <x:c r="L429" s="63" t="str">
        <x:v>2025-06-01</x:v>
      </x:c>
      <x:c r="M429" s="63" t="str">
        <x:v>2026-06-30</x:v>
      </x:c>
      <x:c r="N429" s="63" t="str">
        <x:v>2026-06-30</x:v>
      </x:c>
      <x:c r="O429" s="63" t="str">
        <x:v>E0</x:v>
      </x:c>
      <x:c r="P429" s="63" t="str">
        <x:v>APPROVED</x:v>
      </x:c>
      <x:c r="Q429" s="64" t="b">
        <x:v>1</x:v>
      </x:c>
      <x:c r="R429" s="63" t="str">
        <x:v>REVENUE_ENGINE, WORKING_CAPITAL_CYCLE</x:v>
      </x:c>
      <x:c r="S429" s="63" t="str">
        <x:v>Syn Bank transaction and relationship simulation</x:v>
      </x:c>
      <x:c r="T429" s="63"/>
      <x:c r="U429" s="63" t="str">
        <x:v>internal://syn-bank/simulation/ltm</x:v>
      </x:c>
      <x:c r="V429" s="63" t="str">
        <x:v>562560bcb11f987def45e285abd792519130cc89f455c8afb307920d65770a86</x:v>
      </x:c>
    </x:row>
    <x:row r="430">
      <x:c r="A430" s="63" t="str">
        <x:v>bec:E10:obs:trend:collections</x:v>
      </x:c>
      <x:c r="B430" s="63" t="str">
        <x:v>E10</x:v>
      </x:c>
      <x:c r="C430" s="63" t="str">
        <x:v>bank_observed_collections_yoy_change</x:v>
      </x:c>
      <x:c r="D430" s="63" t="str">
        <x:v>RATIO</x:v>
      </x:c>
      <x:c r="E430" s="63" t="str">
        <x:v>OBSERVED</x:v>
      </x:c>
      <x:c r="F430" s="65"/>
      <x:c r="G430" s="66" t="n">
        <x:v>0.176646</x:v>
      </x:c>
      <x:c r="H430" s="67"/>
      <x:c r="I430" s="63"/>
      <x:c r="J430" s="63"/>
      <x:c r="K430" s="63" t="str">
        <x:v>ratio</x:v>
      </x:c>
      <x:c r="L430" s="63" t="str">
        <x:v>2025-06-01</x:v>
      </x:c>
      <x:c r="M430" s="63" t="str">
        <x:v>2026-06-30</x:v>
      </x:c>
      <x:c r="N430" s="63" t="str">
        <x:v>2026-06-30</x:v>
      </x:c>
      <x:c r="O430" s="63" t="str">
        <x:v>E0</x:v>
      </x:c>
      <x:c r="P430" s="63" t="str">
        <x:v>APPROVED</x:v>
      </x:c>
      <x:c r="Q430" s="64" t="b">
        <x:v>0</x:v>
      </x:c>
      <x:c r="R430" s="63" t="str">
        <x:v>REVENUE_ENGINE, WORKING_CAPITAL_CYCLE</x:v>
      </x:c>
      <x:c r="S430" s="63" t="str">
        <x:v>Syn Bank transaction and relationship simulation</x:v>
      </x:c>
      <x:c r="T430" s="63"/>
      <x:c r="U430" s="63" t="str">
        <x:v>internal://syn-bank/simulation/ltm</x:v>
      </x:c>
      <x:c r="V430" s="63" t="str">
        <x:v>7ed286c93b8f301bafbed5d6e99fc02225172c8f06ca0f1890977570ece622f3</x:v>
      </x:c>
    </x:row>
    <x:row r="431">
      <x:c r="A431" s="63" t="str">
        <x:v>bec:E10:obs:flow:payments</x:v>
      </x:c>
      <x:c r="B431" s="63" t="str">
        <x:v>E10</x:v>
      </x:c>
      <x:c r="C431" s="63" t="str">
        <x:v>bank_observed_payments_ltm</x:v>
      </x:c>
      <x:c r="D431" s="63" t="str">
        <x:v>MONEY</x:v>
      </x:c>
      <x:c r="E431" s="63" t="str">
        <x:v>OBSERVED</x:v>
      </x:c>
      <x:c r="F431" s="65" t="n">
        <x:v>9281806459.159998</x:v>
      </x:c>
      <x:c r="G431" s="66"/>
      <x:c r="H431" s="67"/>
      <x:c r="I431" s="63"/>
      <x:c r="J431" s="63" t="str">
        <x:v>ZAR</x:v>
      </x:c>
      <x:c r="K431" s="63" t="str">
        <x:v>ZAR</x:v>
      </x:c>
      <x:c r="L431" s="63" t="str">
        <x:v>2025-06-01</x:v>
      </x:c>
      <x:c r="M431" s="63" t="str">
        <x:v>2026-06-30</x:v>
      </x:c>
      <x:c r="N431" s="63" t="str">
        <x:v>2026-06-30</x:v>
      </x:c>
      <x:c r="O431" s="63" t="str">
        <x:v>E0</x:v>
      </x:c>
      <x:c r="P431" s="63" t="str">
        <x:v>APPROVED</x:v>
      </x:c>
      <x:c r="Q431" s="64" t="b">
        <x:v>1</x:v>
      </x:c>
      <x:c r="R431" s="63" t="str">
        <x:v>COST_ENGINE, WORKING_CAPITAL_CYCLE</x:v>
      </x:c>
      <x:c r="S431" s="63" t="str">
        <x:v>Syn Bank transaction and relationship simulation</x:v>
      </x:c>
      <x:c r="T431" s="63"/>
      <x:c r="U431" s="63" t="str">
        <x:v>internal://syn-bank/simulation/ltm</x:v>
      </x:c>
      <x:c r="V431" s="63" t="str">
        <x:v>56bd7f275f151a4ae64c14221c428caba68e4caf0970b91b22fe45f42aa229ff</x:v>
      </x:c>
    </x:row>
    <x:row r="432">
      <x:c r="A432" s="63" t="str">
        <x:v>bec:E10:obs:trend:payments</x:v>
      </x:c>
      <x:c r="B432" s="63" t="str">
        <x:v>E10</x:v>
      </x:c>
      <x:c r="C432" s="63" t="str">
        <x:v>bank_observed_payments_yoy_change</x:v>
      </x:c>
      <x:c r="D432" s="63" t="str">
        <x:v>RATIO</x:v>
      </x:c>
      <x:c r="E432" s="63" t="str">
        <x:v>OBSERVED</x:v>
      </x:c>
      <x:c r="F432" s="65"/>
      <x:c r="G432" s="66" t="n">
        <x:v>0.128883</x:v>
      </x:c>
      <x:c r="H432" s="67"/>
      <x:c r="I432" s="63"/>
      <x:c r="J432" s="63"/>
      <x:c r="K432" s="63" t="str">
        <x:v>ratio</x:v>
      </x:c>
      <x:c r="L432" s="63" t="str">
        <x:v>2025-06-01</x:v>
      </x:c>
      <x:c r="M432" s="63" t="str">
        <x:v>2026-06-30</x:v>
      </x:c>
      <x:c r="N432" s="63" t="str">
        <x:v>2026-06-30</x:v>
      </x:c>
      <x:c r="O432" s="63" t="str">
        <x:v>E0</x:v>
      </x:c>
      <x:c r="P432" s="63" t="str">
        <x:v>APPROVED</x:v>
      </x:c>
      <x:c r="Q432" s="64" t="b">
        <x:v>0</x:v>
      </x:c>
      <x:c r="R432" s="63" t="str">
        <x:v>COST_ENGINE, WORKING_CAPITAL_CYCLE</x:v>
      </x:c>
      <x:c r="S432" s="63" t="str">
        <x:v>Syn Bank transaction and relationship simulation</x:v>
      </x:c>
      <x:c r="T432" s="63"/>
      <x:c r="U432" s="63" t="str">
        <x:v>internal://syn-bank/simulation/ltm</x:v>
      </x:c>
      <x:c r="V432" s="63" t="str">
        <x:v>f3f21787243822a5e3d31db1ee12aeb5b391d25861811168326742a38bffa140</x:v>
      </x:c>
    </x:row>
    <x:row r="433">
      <x:c r="A433" s="63" t="str">
        <x:v>bec:E10:obs:flow:liquidity</x:v>
      </x:c>
      <x:c r="B433" s="63" t="str">
        <x:v>E10</x:v>
      </x:c>
      <x:c r="C433" s="63" t="str">
        <x:v>bank_observed_liquidity_ltm</x:v>
      </x:c>
      <x:c r="D433" s="63" t="str">
        <x:v>MONEY</x:v>
      </x:c>
      <x:c r="E433" s="63" t="str">
        <x:v>OBSERVED</x:v>
      </x:c>
      <x:c r="F433" s="65" t="n">
        <x:v>6290589174.174996</x:v>
      </x:c>
      <x:c r="G433" s="66"/>
      <x:c r="H433" s="67"/>
      <x:c r="I433" s="63"/>
      <x:c r="J433" s="63" t="str">
        <x:v>ZAR</x:v>
      </x:c>
      <x:c r="K433" s="63" t="str">
        <x:v>ZAR</x:v>
      </x:c>
      <x:c r="L433" s="63" t="str">
        <x:v>2025-06-01</x:v>
      </x:c>
      <x:c r="M433" s="63" t="str">
        <x:v>2026-06-30</x:v>
      </x:c>
      <x:c r="N433" s="63" t="str">
        <x:v>2026-06-30</x:v>
      </x:c>
      <x:c r="O433" s="63" t="str">
        <x:v>E0</x:v>
      </x:c>
      <x:c r="P433" s="63" t="str">
        <x:v>APPROVED</x:v>
      </x:c>
      <x:c r="Q433" s="64" t="b">
        <x:v>1</x:v>
      </x:c>
      <x:c r="R433" s="63" t="str">
        <x:v>LIQUIDITY_AND_BUFFER</x:v>
      </x:c>
      <x:c r="S433" s="63" t="str">
        <x:v>Syn Bank transaction and relationship simulation</x:v>
      </x:c>
      <x:c r="T433" s="63"/>
      <x:c r="U433" s="63" t="str">
        <x:v>internal://syn-bank/simulation/ltm</x:v>
      </x:c>
      <x:c r="V433" s="63" t="str">
        <x:v>bbc43543827bb63933c1440d0cd88125917ffa463f1b498b1f9c846ffc008789</x:v>
      </x:c>
    </x:row>
    <x:row r="434">
      <x:c r="A434" s="63" t="str">
        <x:v>bec:E10:obs:trend:liquidity</x:v>
      </x:c>
      <x:c r="B434" s="63" t="str">
        <x:v>E10</x:v>
      </x:c>
      <x:c r="C434" s="63" t="str">
        <x:v>bank_observed_liquidity_yoy_change</x:v>
      </x:c>
      <x:c r="D434" s="63" t="str">
        <x:v>RATIO</x:v>
      </x:c>
      <x:c r="E434" s="63" t="str">
        <x:v>OBSERVED</x:v>
      </x:c>
      <x:c r="F434" s="65"/>
      <x:c r="G434" s="66" t="n">
        <x:v>0.141029</x:v>
      </x:c>
      <x:c r="H434" s="67"/>
      <x:c r="I434" s="63"/>
      <x:c r="J434" s="63"/>
      <x:c r="K434" s="63" t="str">
        <x:v>ratio</x:v>
      </x:c>
      <x:c r="L434" s="63" t="str">
        <x:v>2025-06-01</x:v>
      </x:c>
      <x:c r="M434" s="63" t="str">
        <x:v>2026-06-30</x:v>
      </x:c>
      <x:c r="N434" s="63" t="str">
        <x:v>2026-06-30</x:v>
      </x:c>
      <x:c r="O434" s="63" t="str">
        <x:v>E0</x:v>
      </x:c>
      <x:c r="P434" s="63" t="str">
        <x:v>APPROVED</x:v>
      </x:c>
      <x:c r="Q434" s="64" t="b">
        <x:v>0</x:v>
      </x:c>
      <x:c r="R434" s="63" t="str">
        <x:v>LIQUIDITY_AND_BUFFER</x:v>
      </x:c>
      <x:c r="S434" s="63" t="str">
        <x:v>Syn Bank transaction and relationship simulation</x:v>
      </x:c>
      <x:c r="T434" s="63"/>
      <x:c r="U434" s="63" t="str">
        <x:v>internal://syn-bank/simulation/ltm</x:v>
      </x:c>
      <x:c r="V434" s="63" t="str">
        <x:v>b6bb4e5f736227b39f4acbdb6b64ef6d9664cc09e9498bc7e1d1e5c5592f2398</x:v>
      </x:c>
    </x:row>
    <x:row r="435">
      <x:c r="A435" s="63" t="str">
        <x:v>bec:E10:obs:flow:cross-border-fx</x:v>
      </x:c>
      <x:c r="B435" s="63" t="str">
        <x:v>E10</x:v>
      </x:c>
      <x:c r="C435" s="63" t="str">
        <x:v>bank_observed_cross_border_fx_ltm</x:v>
      </x:c>
      <x:c r="D435" s="63" t="str">
        <x:v>MONEY</x:v>
      </x:c>
      <x:c r="E435" s="63" t="str">
        <x:v>OBSERVED</x:v>
      </x:c>
      <x:c r="F435" s="65" t="n">
        <x:v>6147453597.410001</x:v>
      </x:c>
      <x:c r="G435" s="66"/>
      <x:c r="H435" s="67"/>
      <x:c r="I435" s="63"/>
      <x:c r="J435" s="63" t="str">
        <x:v>ZAR</x:v>
      </x:c>
      <x:c r="K435" s="63" t="str">
        <x:v>ZAR</x:v>
      </x:c>
      <x:c r="L435" s="63" t="str">
        <x:v>2025-06-01</x:v>
      </x:c>
      <x:c r="M435" s="63" t="str">
        <x:v>2026-06-30</x:v>
      </x:c>
      <x:c r="N435" s="63" t="str">
        <x:v>2026-06-30</x:v>
      </x:c>
      <x:c r="O435" s="63" t="str">
        <x:v>E0</x:v>
      </x:c>
      <x:c r="P435" s="63" t="str">
        <x:v>APPROVED</x:v>
      </x:c>
      <x:c r="Q435" s="64" t="b">
        <x:v>1</x:v>
      </x:c>
      <x:c r="R435" s="63" t="str">
        <x:v>CURRENCY_AND_COMMODITY_EXPOSURE, GEOGRAPHIC_EXPOSURE</x:v>
      </x:c>
      <x:c r="S435" s="63" t="str">
        <x:v>Syn Bank transaction and relationship simulation</x:v>
      </x:c>
      <x:c r="T435" s="63"/>
      <x:c r="U435" s="63" t="str">
        <x:v>internal://syn-bank/simulation/ltm</x:v>
      </x:c>
      <x:c r="V435" s="63" t="str">
        <x:v>3dda34e08078bcf0f7c98e51a7489250100a6094c0010ab0af1bfd98d9d91dca</x:v>
      </x:c>
    </x:row>
    <x:row r="436">
      <x:c r="A436" s="63" t="str">
        <x:v>bec:E10:obs:trend:cross-border-fx</x:v>
      </x:c>
      <x:c r="B436" s="63" t="str">
        <x:v>E10</x:v>
      </x:c>
      <x:c r="C436" s="63" t="str">
        <x:v>bank_observed_cross_border_fx_yoy_change</x:v>
      </x:c>
      <x:c r="D436" s="63" t="str">
        <x:v>RATIO</x:v>
      </x:c>
      <x:c r="E436" s="63" t="str">
        <x:v>OBSERVED</x:v>
      </x:c>
      <x:c r="F436" s="65"/>
      <x:c r="G436" s="66" t="n">
        <x:v>0.187465</x:v>
      </x:c>
      <x:c r="H436" s="67"/>
      <x:c r="I436" s="63"/>
      <x:c r="J436" s="63"/>
      <x:c r="K436" s="63" t="str">
        <x:v>ratio</x:v>
      </x:c>
      <x:c r="L436" s="63" t="str">
        <x:v>2025-06-01</x:v>
      </x:c>
      <x:c r="M436" s="63" t="str">
        <x:v>2026-06-30</x:v>
      </x:c>
      <x:c r="N436" s="63" t="str">
        <x:v>2026-06-30</x:v>
      </x:c>
      <x:c r="O436" s="63" t="str">
        <x:v>E0</x:v>
      </x:c>
      <x:c r="P436" s="63" t="str">
        <x:v>APPROVED</x:v>
      </x:c>
      <x:c r="Q436" s="64" t="b">
        <x:v>0</x:v>
      </x:c>
      <x:c r="R436" s="63" t="str">
        <x:v>CURRENCY_AND_COMMODITY_EXPOSURE, GEOGRAPHIC_EXPOSURE</x:v>
      </x:c>
      <x:c r="S436" s="63" t="str">
        <x:v>Syn Bank transaction and relationship simulation</x:v>
      </x:c>
      <x:c r="T436" s="63"/>
      <x:c r="U436" s="63" t="str">
        <x:v>internal://syn-bank/simulation/ltm</x:v>
      </x:c>
      <x:c r="V436" s="63" t="str">
        <x:v>e9a7babca9fad495387dbabe6f1c46e57714b2a0967d41d8ad75a8735ef3b23e</x:v>
      </x:c>
    </x:row>
    <x:row r="437">
      <x:c r="A437" s="63" t="str">
        <x:v>bec:E10:obs:flow:trade-finance</x:v>
      </x:c>
      <x:c r="B437" s="63" t="str">
        <x:v>E10</x:v>
      </x:c>
      <x:c r="C437" s="63" t="str">
        <x:v>bank_observed_trade_finance_ltm</x:v>
      </x:c>
      <x:c r="D437" s="63" t="str">
        <x:v>MONEY</x:v>
      </x:c>
      <x:c r="E437" s="63" t="str">
        <x:v>OBSERVED</x:v>
      </x:c>
      <x:c r="F437" s="65" t="n">
        <x:v>1878698744.5</x:v>
      </x:c>
      <x:c r="G437" s="66"/>
      <x:c r="H437" s="67"/>
      <x:c r="I437" s="63"/>
      <x:c r="J437" s="63" t="str">
        <x:v>ZAR</x:v>
      </x:c>
      <x:c r="K437" s="63" t="str">
        <x:v>ZAR</x:v>
      </x:c>
      <x:c r="L437" s="63" t="str">
        <x:v>2025-06-01</x:v>
      </x:c>
      <x:c r="M437" s="63" t="str">
        <x:v>2026-06-30</x:v>
      </x:c>
      <x:c r="N437" s="63" t="str">
        <x:v>2026-06-30</x:v>
      </x:c>
      <x:c r="O437" s="63" t="str">
        <x:v>E0</x:v>
      </x:c>
      <x:c r="P437" s="63" t="str">
        <x:v>APPROVED</x:v>
      </x:c>
      <x:c r="Q437" s="64" t="b">
        <x:v>1</x:v>
      </x:c>
      <x:c r="R437" s="63" t="str">
        <x:v>WORKING_CAPITAL_CYCLE, OPERATING_MODEL</x:v>
      </x:c>
      <x:c r="S437" s="63" t="str">
        <x:v>Syn Bank transaction and relationship simulation</x:v>
      </x:c>
      <x:c r="T437" s="63"/>
      <x:c r="U437" s="63" t="str">
        <x:v>internal://syn-bank/simulation/ltm</x:v>
      </x:c>
      <x:c r="V437" s="63" t="str">
        <x:v>926b361b7e3cd20767210ed65c44c807624bc6033b8b95cbe2703d25e9e0ee84</x:v>
      </x:c>
    </x:row>
    <x:row r="438">
      <x:c r="A438" s="63" t="str">
        <x:v>bec:E10:obs:trend:trade-finance</x:v>
      </x:c>
      <x:c r="B438" s="63" t="str">
        <x:v>E10</x:v>
      </x:c>
      <x:c r="C438" s="63" t="str">
        <x:v>bank_observed_trade_finance_yoy_change</x:v>
      </x:c>
      <x:c r="D438" s="63" t="str">
        <x:v>RATIO</x:v>
      </x:c>
      <x:c r="E438" s="63" t="str">
        <x:v>OBSERVED</x:v>
      </x:c>
      <x:c r="F438" s="65"/>
      <x:c r="G438" s="66" t="n">
        <x:v>-0.04353</x:v>
      </x:c>
      <x:c r="H438" s="67"/>
      <x:c r="I438" s="63"/>
      <x:c r="J438" s="63"/>
      <x:c r="K438" s="63" t="str">
        <x:v>ratio</x:v>
      </x:c>
      <x:c r="L438" s="63" t="str">
        <x:v>2025-06-01</x:v>
      </x:c>
      <x:c r="M438" s="63" t="str">
        <x:v>2026-06-30</x:v>
      </x:c>
      <x:c r="N438" s="63" t="str">
        <x:v>2026-06-30</x:v>
      </x:c>
      <x:c r="O438" s="63" t="str">
        <x:v>E0</x:v>
      </x:c>
      <x:c r="P438" s="63" t="str">
        <x:v>APPROVED</x:v>
      </x:c>
      <x:c r="Q438" s="64" t="b">
        <x:v>0</x:v>
      </x:c>
      <x:c r="R438" s="63" t="str">
        <x:v>WORKING_CAPITAL_CYCLE, OPERATING_MODEL</x:v>
      </x:c>
      <x:c r="S438" s="63" t="str">
        <x:v>Syn Bank transaction and relationship simulation</x:v>
      </x:c>
      <x:c r="T438" s="63"/>
      <x:c r="U438" s="63" t="str">
        <x:v>internal://syn-bank/simulation/ltm</x:v>
      </x:c>
      <x:c r="V438" s="63" t="str">
        <x:v>19bccf03f8cb5227b443ba78aed8d86f9ac79d2cb37cd7d00cd19c33e32bdd89</x:v>
      </x:c>
    </x:row>
    <x:row r="439">
      <x:c r="A439" s="63" t="str">
        <x:v>bec:E10:obs:corridor:0</x:v>
      </x:c>
      <x:c r="B439" s="63" t="str">
        <x:v>E10</x:v>
      </x:c>
      <x:c r="C439" s="63" t="str">
        <x:v>bank_observed_corridor_value</x:v>
      </x:c>
      <x:c r="D439" s="63" t="str">
        <x:v>MONEY</x:v>
      </x:c>
      <x:c r="E439" s="63" t="str">
        <x:v>OBSERVED</x:v>
      </x:c>
      <x:c r="F439" s="65" t="n">
        <x:v>4345773942.950012</x:v>
      </x:c>
      <x:c r="G439" s="66"/>
      <x:c r="H439" s="67"/>
      <x:c r="I439" s="63"/>
      <x:c r="J439" s="63" t="str">
        <x:v>ZAR</x:v>
      </x:c>
      <x:c r="K439" s="63" t="str">
        <x:v>ZAR</x:v>
      </x:c>
      <x:c r="L439" s="63" t="str">
        <x:v>2025-06-01</x:v>
      </x:c>
      <x:c r="M439" s="63" t="str">
        <x:v>2026-06-30</x:v>
      </x:c>
      <x:c r="N439" s="63" t="str">
        <x:v>2026-06-30</x:v>
      </x:c>
      <x:c r="O439" s="63" t="str">
        <x:v>E0</x:v>
      </x:c>
      <x:c r="P439" s="63" t="str">
        <x:v>APPROVED</x:v>
      </x:c>
      <x:c r="Q439" s="64" t="b">
        <x:v>1</x:v>
      </x:c>
      <x:c r="R439" s="63" t="str">
        <x:v>GEOGRAPHIC_EXPOSURE</x:v>
      </x:c>
      <x:c r="S439" s="63" t="str">
        <x:v>Syn Bank transaction and relationship simulation</x:v>
      </x:c>
      <x:c r="T439" s="63"/>
      <x:c r="U439" s="63" t="str">
        <x:v>internal://syn-bank/simulation/ltm</x:v>
      </x:c>
      <x:c r="V439" s="63" t="str">
        <x:v>8c60509e9cf572587d40f22ab5730adb87f88746348c338c930d299f2a98fc63</x:v>
      </x:c>
    </x:row>
    <x:row r="440">
      <x:c r="A440" s="63" t="str">
        <x:v>bec:E10:obs:corridor-name:0</x:v>
      </x:c>
      <x:c r="B440" s="63" t="str">
        <x:v>E10</x:v>
      </x:c>
      <x:c r="C440" s="63" t="str">
        <x:v>bank_observed_corridor_country</x:v>
      </x:c>
      <x:c r="D440" s="63" t="str">
        <x:v>CATEGORICAL</x:v>
      </x:c>
      <x:c r="E440" s="63" t="str">
        <x:v>OBSERVED</x:v>
      </x:c>
      <x:c r="F440" s="65"/>
      <x:c r="G440" s="66"/>
      <x:c r="H440" s="67"/>
      <x:c r="I440" s="63" t="str">
        <x:v>Zambia</x:v>
      </x:c>
      <x:c r="J440" s="63"/>
      <x:c r="K440" s="63" t="str">
        <x:v>country</x:v>
      </x:c>
      <x:c r="L440" s="63" t="str">
        <x:v>2025-06-01</x:v>
      </x:c>
      <x:c r="M440" s="63" t="str">
        <x:v>2026-06-30</x:v>
      </x:c>
      <x:c r="N440" s="63" t="str">
        <x:v>2026-06-30</x:v>
      </x:c>
      <x:c r="O440" s="63" t="str">
        <x:v>E0</x:v>
      </x:c>
      <x:c r="P440" s="63" t="str">
        <x:v>APPROVED</x:v>
      </x:c>
      <x:c r="Q440" s="64" t="b">
        <x:v>0</x:v>
      </x:c>
      <x:c r="R440" s="63" t="str">
        <x:v>GEOGRAPHIC_EXPOSURE</x:v>
      </x:c>
      <x:c r="S440" s="63" t="str">
        <x:v>Syn Bank transaction and relationship simulation</x:v>
      </x:c>
      <x:c r="T440" s="63"/>
      <x:c r="U440" s="63" t="str">
        <x:v>internal://syn-bank/simulation/ltm</x:v>
      </x:c>
      <x:c r="V440" s="63" t="str">
        <x:v>ca61ed2c664b74466a681234fd4d31ab377aec4beda213b05536d0b7912c4f73</x:v>
      </x:c>
    </x:row>
    <x:row r="441">
      <x:c r="A441" s="63" t="str">
        <x:v>bec:E10:obs:corridor:1</x:v>
      </x:c>
      <x:c r="B441" s="63" t="str">
        <x:v>E10</x:v>
      </x:c>
      <x:c r="C441" s="63" t="str">
        <x:v>bank_observed_corridor_value</x:v>
      </x:c>
      <x:c r="D441" s="63" t="str">
        <x:v>MONEY</x:v>
      </x:c>
      <x:c r="E441" s="63" t="str">
        <x:v>OBSERVED</x:v>
      </x:c>
      <x:c r="F441" s="65" t="n">
        <x:v>4147208059.960006</x:v>
      </x:c>
      <x:c r="G441" s="66"/>
      <x:c r="H441" s="67"/>
      <x:c r="I441" s="63"/>
      <x:c r="J441" s="63" t="str">
        <x:v>ZAR</x:v>
      </x:c>
      <x:c r="K441" s="63" t="str">
        <x:v>ZAR</x:v>
      </x:c>
      <x:c r="L441" s="63" t="str">
        <x:v>2025-06-01</x:v>
      </x:c>
      <x:c r="M441" s="63" t="str">
        <x:v>2026-06-30</x:v>
      </x:c>
      <x:c r="N441" s="63" t="str">
        <x:v>2026-06-30</x:v>
      </x:c>
      <x:c r="O441" s="63" t="str">
        <x:v>E0</x:v>
      </x:c>
      <x:c r="P441" s="63" t="str">
        <x:v>APPROVED</x:v>
      </x:c>
      <x:c r="Q441" s="64" t="b">
        <x:v>0</x:v>
      </x:c>
      <x:c r="R441" s="63" t="str">
        <x:v>GEOGRAPHIC_EXPOSURE</x:v>
      </x:c>
      <x:c r="S441" s="63" t="str">
        <x:v>Syn Bank transaction and relationship simulation</x:v>
      </x:c>
      <x:c r="T441" s="63"/>
      <x:c r="U441" s="63" t="str">
        <x:v>internal://syn-bank/simulation/ltm</x:v>
      </x:c>
      <x:c r="V441" s="63" t="str">
        <x:v>9a061635ec966dcb7cb33df92377b9440feedf292abe6ed3cd6d15ecb37e20fc</x:v>
      </x:c>
    </x:row>
    <x:row r="442">
      <x:c r="A442" s="63" t="str">
        <x:v>bec:E10:obs:corridor-name:1</x:v>
      </x:c>
      <x:c r="B442" s="63" t="str">
        <x:v>E10</x:v>
      </x:c>
      <x:c r="C442" s="63" t="str">
        <x:v>bank_observed_corridor_country</x:v>
      </x:c>
      <x:c r="D442" s="63" t="str">
        <x:v>CATEGORICAL</x:v>
      </x:c>
      <x:c r="E442" s="63" t="str">
        <x:v>OBSERVED</x:v>
      </x:c>
      <x:c r="F442" s="65"/>
      <x:c r="G442" s="66"/>
      <x:c r="H442" s="67"/>
      <x:c r="I442" s="63" t="str">
        <x:v>Botswana</x:v>
      </x:c>
      <x:c r="J442" s="63"/>
      <x:c r="K442" s="63" t="str">
        <x:v>country</x:v>
      </x:c>
      <x:c r="L442" s="63" t="str">
        <x:v>2025-06-01</x:v>
      </x:c>
      <x:c r="M442" s="63" t="str">
        <x:v>2026-06-30</x:v>
      </x:c>
      <x:c r="N442" s="63" t="str">
        <x:v>2026-06-30</x:v>
      </x:c>
      <x:c r="O442" s="63" t="str">
        <x:v>E0</x:v>
      </x:c>
      <x:c r="P442" s="63" t="str">
        <x:v>APPROVED</x:v>
      </x:c>
      <x:c r="Q442" s="64" t="b">
        <x:v>0</x:v>
      </x:c>
      <x:c r="R442" s="63" t="str">
        <x:v>GEOGRAPHIC_EXPOSURE</x:v>
      </x:c>
      <x:c r="S442" s="63" t="str">
        <x:v>Syn Bank transaction and relationship simulation</x:v>
      </x:c>
      <x:c r="T442" s="63"/>
      <x:c r="U442" s="63" t="str">
        <x:v>internal://syn-bank/simulation/ltm</x:v>
      </x:c>
      <x:c r="V442" s="63" t="str">
        <x:v>6817c93134b14c301006b0a7c944f5c58fe283c2d80b82ab9978dfde4ef150e4</x:v>
      </x:c>
    </x:row>
    <x:row r="443">
      <x:c r="A443" s="63" t="str">
        <x:v>bec:E10:obs:corridor:2</x:v>
      </x:c>
      <x:c r="B443" s="63" t="str">
        <x:v>E10</x:v>
      </x:c>
      <x:c r="C443" s="63" t="str">
        <x:v>bank_observed_corridor_value</x:v>
      </x:c>
      <x:c r="D443" s="63" t="str">
        <x:v>MONEY</x:v>
      </x:c>
      <x:c r="E443" s="63" t="str">
        <x:v>OBSERVED</x:v>
      </x:c>
      <x:c r="F443" s="65" t="n">
        <x:v>1105723703.8999996</x:v>
      </x:c>
      <x:c r="G443" s="66"/>
      <x:c r="H443" s="67"/>
      <x:c r="I443" s="63"/>
      <x:c r="J443" s="63" t="str">
        <x:v>ZAR</x:v>
      </x:c>
      <x:c r="K443" s="63" t="str">
        <x:v>ZAR</x:v>
      </x:c>
      <x:c r="L443" s="63" t="str">
        <x:v>2025-06-01</x:v>
      </x:c>
      <x:c r="M443" s="63" t="str">
        <x:v>2026-06-30</x:v>
      </x:c>
      <x:c r="N443" s="63" t="str">
        <x:v>2026-06-30</x:v>
      </x:c>
      <x:c r="O443" s="63" t="str">
        <x:v>E0</x:v>
      </x:c>
      <x:c r="P443" s="63" t="str">
        <x:v>APPROVED</x:v>
      </x:c>
      <x:c r="Q443" s="64" t="b">
        <x:v>0</x:v>
      </x:c>
      <x:c r="R443" s="63" t="str">
        <x:v>GEOGRAPHIC_EXPOSURE</x:v>
      </x:c>
      <x:c r="S443" s="63" t="str">
        <x:v>Syn Bank transaction and relationship simulation</x:v>
      </x:c>
      <x:c r="T443" s="63"/>
      <x:c r="U443" s="63" t="str">
        <x:v>internal://syn-bank/simulation/ltm</x:v>
      </x:c>
      <x:c r="V443" s="63" t="str">
        <x:v>a7140bc287228925cf3270d50ffabd32cbd9b9b2fddc36ed89daaf354a7c2a5f</x:v>
      </x:c>
    </x:row>
    <x:row r="444">
      <x:c r="A444" s="63" t="str">
        <x:v>bec:E10:obs:corridor-name:2</x:v>
      </x:c>
      <x:c r="B444" s="63" t="str">
        <x:v>E10</x:v>
      </x:c>
      <x:c r="C444" s="63" t="str">
        <x:v>bank_observed_corridor_country</x:v>
      </x:c>
      <x:c r="D444" s="63" t="str">
        <x:v>CATEGORICAL</x:v>
      </x:c>
      <x:c r="E444" s="63" t="str">
        <x:v>OBSERVED</x:v>
      </x:c>
      <x:c r="F444" s="65"/>
      <x:c r="G444" s="66"/>
      <x:c r="H444" s="67"/>
      <x:c r="I444" s="63" t="str">
        <x:v>Brazil</x:v>
      </x:c>
      <x:c r="J444" s="63"/>
      <x:c r="K444" s="63" t="str">
        <x:v>country</x:v>
      </x:c>
      <x:c r="L444" s="63" t="str">
        <x:v>2025-06-01</x:v>
      </x:c>
      <x:c r="M444" s="63" t="str">
        <x:v>2026-06-30</x:v>
      </x:c>
      <x:c r="N444" s="63" t="str">
        <x:v>2026-06-30</x:v>
      </x:c>
      <x:c r="O444" s="63" t="str">
        <x:v>E0</x:v>
      </x:c>
      <x:c r="P444" s="63" t="str">
        <x:v>APPROVED</x:v>
      </x:c>
      <x:c r="Q444" s="64" t="b">
        <x:v>0</x:v>
      </x:c>
      <x:c r="R444" s="63" t="str">
        <x:v>GEOGRAPHIC_EXPOSURE</x:v>
      </x:c>
      <x:c r="S444" s="63" t="str">
        <x:v>Syn Bank transaction and relationship simulation</x:v>
      </x:c>
      <x:c r="T444" s="63"/>
      <x:c r="U444" s="63" t="str">
        <x:v>internal://syn-bank/simulation/ltm</x:v>
      </x:c>
      <x:c r="V444" s="63" t="str">
        <x:v>e7aef366aaecfa705bec07c6719ede7073fa3795d8372789faa7f7c967fd48fc</x:v>
      </x:c>
    </x:row>
    <x:row r="445">
      <x:c r="A445" s="63" t="str">
        <x:v>bec:E10:obs:currency:0</x:v>
      </x:c>
      <x:c r="B445" s="63" t="str">
        <x:v>E10</x:v>
      </x:c>
      <x:c r="C445" s="63" t="str">
        <x:v>bank_observed_currency_pair_value</x:v>
      </x:c>
      <x:c r="D445" s="63" t="str">
        <x:v>MONEY</x:v>
      </x:c>
      <x:c r="E445" s="63" t="str">
        <x:v>OBSERVED</x:v>
      </x:c>
      <x:c r="F445" s="65" t="n">
        <x:v>3183780195.440014</x:v>
      </x:c>
      <x:c r="G445" s="66"/>
      <x:c r="H445" s="67"/>
      <x:c r="I445" s="63"/>
      <x:c r="J445" s="63" t="str">
        <x:v>ZAR</x:v>
      </x:c>
      <x:c r="K445" s="63" t="str">
        <x:v>ZAR</x:v>
      </x:c>
      <x:c r="L445" s="63" t="str">
        <x:v>2025-06-01</x:v>
      </x:c>
      <x:c r="M445" s="63" t="str">
        <x:v>2026-06-30</x:v>
      </x:c>
      <x:c r="N445" s="63" t="str">
        <x:v>2026-06-30</x:v>
      </x:c>
      <x:c r="O445" s="63" t="str">
        <x:v>E0</x:v>
      </x:c>
      <x:c r="P445" s="63" t="str">
        <x:v>APPROVED</x:v>
      </x:c>
      <x:c r="Q445" s="64" t="b">
        <x:v>1</x:v>
      </x:c>
      <x:c r="R445" s="63" t="str">
        <x:v>CURRENCY_AND_COMMODITY_EXPOSURE</x:v>
      </x:c>
      <x:c r="S445" s="63" t="str">
        <x:v>Syn Bank transaction and relationship simulation</x:v>
      </x:c>
      <x:c r="T445" s="63"/>
      <x:c r="U445" s="63" t="str">
        <x:v>internal://syn-bank/simulation/ltm</x:v>
      </x:c>
      <x:c r="V445" s="63" t="str">
        <x:v>e4435fcea270dc30a043e43494a102e2ff5ab2f0ff030e453027df60adc3fa19</x:v>
      </x:c>
    </x:row>
    <x:row r="446">
      <x:c r="A446" s="63" t="str">
        <x:v>bec:E10:obs:currency-pair:0</x:v>
      </x:c>
      <x:c r="B446" s="63" t="str">
        <x:v>E10</x:v>
      </x:c>
      <x:c r="C446" s="63" t="str">
        <x:v>bank_observed_currency_pair</x:v>
      </x:c>
      <x:c r="D446" s="63" t="str">
        <x:v>CATEGORICAL</x:v>
      </x:c>
      <x:c r="E446" s="63" t="str">
        <x:v>OBSERVED</x:v>
      </x:c>
      <x:c r="F446" s="65"/>
      <x:c r="G446" s="66"/>
      <x:c r="H446" s="67"/>
      <x:c r="I446" s="63" t="str">
        <x:v>CNY/ZAR</x:v>
      </x:c>
      <x:c r="J446" s="63"/>
      <x:c r="K446" s="63" t="str">
        <x:v>currency_pair</x:v>
      </x:c>
      <x:c r="L446" s="63" t="str">
        <x:v>2025-06-01</x:v>
      </x:c>
      <x:c r="M446" s="63" t="str">
        <x:v>2026-06-30</x:v>
      </x:c>
      <x:c r="N446" s="63" t="str">
        <x:v>2026-06-30</x:v>
      </x:c>
      <x:c r="O446" s="63" t="str">
        <x:v>E0</x:v>
      </x:c>
      <x:c r="P446" s="63" t="str">
        <x:v>APPROVED</x:v>
      </x:c>
      <x:c r="Q446" s="64" t="b">
        <x:v>0</x:v>
      </x:c>
      <x:c r="R446" s="63" t="str">
        <x:v>CURRENCY_AND_COMMODITY_EXPOSURE</x:v>
      </x:c>
      <x:c r="S446" s="63" t="str">
        <x:v>Syn Bank transaction and relationship simulation</x:v>
      </x:c>
      <x:c r="T446" s="63"/>
      <x:c r="U446" s="63" t="str">
        <x:v>internal://syn-bank/simulation/ltm</x:v>
      </x:c>
      <x:c r="V446" s="63" t="str">
        <x:v>6f97584fde252feb2546f3e1f218125f4b6858b82c6dd34dfa3f818086593506</x:v>
      </x:c>
    </x:row>
    <x:row r="447">
      <x:c r="A447" s="63" t="str">
        <x:v>bec:E10:obs:currency:1</x:v>
      </x:c>
      <x:c r="B447" s="63" t="str">
        <x:v>E10</x:v>
      </x:c>
      <x:c r="C447" s="63" t="str">
        <x:v>bank_observed_currency_pair_value</x:v>
      </x:c>
      <x:c r="D447" s="63" t="str">
        <x:v>MONEY</x:v>
      </x:c>
      <x:c r="E447" s="63" t="str">
        <x:v>OBSERVED</x:v>
      </x:c>
      <x:c r="F447" s="65" t="n">
        <x:v>3082062715.3700023</x:v>
      </x:c>
      <x:c r="G447" s="66"/>
      <x:c r="H447" s="67"/>
      <x:c r="I447" s="63"/>
      <x:c r="J447" s="63" t="str">
        <x:v>ZAR</x:v>
      </x:c>
      <x:c r="K447" s="63" t="str">
        <x:v>ZAR</x:v>
      </x:c>
      <x:c r="L447" s="63" t="str">
        <x:v>2025-06-01</x:v>
      </x:c>
      <x:c r="M447" s="63" t="str">
        <x:v>2026-06-30</x:v>
      </x:c>
      <x:c r="N447" s="63" t="str">
        <x:v>2026-06-30</x:v>
      </x:c>
      <x:c r="O447" s="63" t="str">
        <x:v>E0</x:v>
      </x:c>
      <x:c r="P447" s="63" t="str">
        <x:v>APPROVED</x:v>
      </x:c>
      <x:c r="Q447" s="64" t="b">
        <x:v>0</x:v>
      </x:c>
      <x:c r="R447" s="63" t="str">
        <x:v>CURRENCY_AND_COMMODITY_EXPOSURE</x:v>
      </x:c>
      <x:c r="S447" s="63" t="str">
        <x:v>Syn Bank transaction and relationship simulation</x:v>
      </x:c>
      <x:c r="T447" s="63"/>
      <x:c r="U447" s="63" t="str">
        <x:v>internal://syn-bank/simulation/ltm</x:v>
      </x:c>
      <x:c r="V447" s="63" t="str">
        <x:v>449bc445406559ee5921b1ffbfbee6cf68d564af6995ff2f5b1a94ba76981675</x:v>
      </x:c>
    </x:row>
    <x:row r="448">
      <x:c r="A448" s="63" t="str">
        <x:v>bec:E10:obs:currency-pair:1</x:v>
      </x:c>
      <x:c r="B448" s="63" t="str">
        <x:v>E10</x:v>
      </x:c>
      <x:c r="C448" s="63" t="str">
        <x:v>bank_observed_currency_pair</x:v>
      </x:c>
      <x:c r="D448" s="63" t="str">
        <x:v>CATEGORICAL</x:v>
      </x:c>
      <x:c r="E448" s="63" t="str">
        <x:v>OBSERVED</x:v>
      </x:c>
      <x:c r="F448" s="65"/>
      <x:c r="G448" s="66"/>
      <x:c r="H448" s="67"/>
      <x:c r="I448" s="63" t="str">
        <x:v>GBP/ZAR</x:v>
      </x:c>
      <x:c r="J448" s="63"/>
      <x:c r="K448" s="63" t="str">
        <x:v>currency_pair</x:v>
      </x:c>
      <x:c r="L448" s="63" t="str">
        <x:v>2025-06-01</x:v>
      </x:c>
      <x:c r="M448" s="63" t="str">
        <x:v>2026-06-30</x:v>
      </x:c>
      <x:c r="N448" s="63" t="str">
        <x:v>2026-06-30</x:v>
      </x:c>
      <x:c r="O448" s="63" t="str">
        <x:v>E0</x:v>
      </x:c>
      <x:c r="P448" s="63" t="str">
        <x:v>APPROVED</x:v>
      </x:c>
      <x:c r="Q448" s="64" t="b">
        <x:v>0</x:v>
      </x:c>
      <x:c r="R448" s="63" t="str">
        <x:v>CURRENCY_AND_COMMODITY_EXPOSURE</x:v>
      </x:c>
      <x:c r="S448" s="63" t="str">
        <x:v>Syn Bank transaction and relationship simulation</x:v>
      </x:c>
      <x:c r="T448" s="63"/>
      <x:c r="U448" s="63" t="str">
        <x:v>internal://syn-bank/simulation/ltm</x:v>
      </x:c>
      <x:c r="V448" s="63" t="str">
        <x:v>e7bba52420c252e26d9ac1fe019251a22729041079a797c674d3f842c0e49732</x:v>
      </x:c>
    </x:row>
    <x:row r="449">
      <x:c r="A449" s="63" t="str">
        <x:v>bec:E10:obs:currency:2</x:v>
      </x:c>
      <x:c r="B449" s="63" t="str">
        <x:v>E10</x:v>
      </x:c>
      <x:c r="C449" s="63" t="str">
        <x:v>bank_observed_currency_pair_value</x:v>
      </x:c>
      <x:c r="D449" s="63" t="str">
        <x:v>MONEY</x:v>
      </x:c>
      <x:c r="E449" s="63" t="str">
        <x:v>OBSERVED</x:v>
      </x:c>
      <x:c r="F449" s="65" t="n">
        <x:v>3030431025.570016</x:v>
      </x:c>
      <x:c r="G449" s="66"/>
      <x:c r="H449" s="67"/>
      <x:c r="I449" s="63"/>
      <x:c r="J449" s="63" t="str">
        <x:v>ZAR</x:v>
      </x:c>
      <x:c r="K449" s="63" t="str">
        <x:v>ZAR</x:v>
      </x:c>
      <x:c r="L449" s="63" t="str">
        <x:v>2025-06-01</x:v>
      </x:c>
      <x:c r="M449" s="63" t="str">
        <x:v>2026-06-30</x:v>
      </x:c>
      <x:c r="N449" s="63" t="str">
        <x:v>2026-06-30</x:v>
      </x:c>
      <x:c r="O449" s="63" t="str">
        <x:v>E0</x:v>
      </x:c>
      <x:c r="P449" s="63" t="str">
        <x:v>APPROVED</x:v>
      </x:c>
      <x:c r="Q449" s="64" t="b">
        <x:v>0</x:v>
      </x:c>
      <x:c r="R449" s="63" t="str">
        <x:v>CURRENCY_AND_COMMODITY_EXPOSURE</x:v>
      </x:c>
      <x:c r="S449" s="63" t="str">
        <x:v>Syn Bank transaction and relationship simulation</x:v>
      </x:c>
      <x:c r="T449" s="63"/>
      <x:c r="U449" s="63" t="str">
        <x:v>internal://syn-bank/simulation/ltm</x:v>
      </x:c>
      <x:c r="V449" s="63" t="str">
        <x:v>581b17812ad2a807995b15294af4cada8c1db72f7ffa06e75ee970e22e76239c</x:v>
      </x:c>
    </x:row>
    <x:row r="450">
      <x:c r="A450" s="63" t="str">
        <x:v>bec:E10:obs:currency-pair:2</x:v>
      </x:c>
      <x:c r="B450" s="63" t="str">
        <x:v>E10</x:v>
      </x:c>
      <x:c r="C450" s="63" t="str">
        <x:v>bank_observed_currency_pair</x:v>
      </x:c>
      <x:c r="D450" s="63" t="str">
        <x:v>CATEGORICAL</x:v>
      </x:c>
      <x:c r="E450" s="63" t="str">
        <x:v>OBSERVED</x:v>
      </x:c>
      <x:c r="F450" s="65"/>
      <x:c r="G450" s="66"/>
      <x:c r="H450" s="67"/>
      <x:c r="I450" s="63" t="str">
        <x:v>EUR/ZAR</x:v>
      </x:c>
      <x:c r="J450" s="63"/>
      <x:c r="K450" s="63" t="str">
        <x:v>currency_pair</x:v>
      </x:c>
      <x:c r="L450" s="63" t="str">
        <x:v>2025-06-01</x:v>
      </x:c>
      <x:c r="M450" s="63" t="str">
        <x:v>2026-06-30</x:v>
      </x:c>
      <x:c r="N450" s="63" t="str">
        <x:v>2026-06-30</x:v>
      </x:c>
      <x:c r="O450" s="63" t="str">
        <x:v>E0</x:v>
      </x:c>
      <x:c r="P450" s="63" t="str">
        <x:v>APPROVED</x:v>
      </x:c>
      <x:c r="Q450" s="64" t="b">
        <x:v>0</x:v>
      </x:c>
      <x:c r="R450" s="63" t="str">
        <x:v>CURRENCY_AND_COMMODITY_EXPOSURE</x:v>
      </x:c>
      <x:c r="S450" s="63" t="str">
        <x:v>Syn Bank transaction and relationship simulation</x:v>
      </x:c>
      <x:c r="T450" s="63"/>
      <x:c r="U450" s="63" t="str">
        <x:v>internal://syn-bank/simulation/ltm</x:v>
      </x:c>
      <x:c r="V450" s="63" t="str">
        <x:v>26e69656adb2bc6fcdf807f0784894ccbdee6cb84fee55e6e2493eb2ea4fb141</x:v>
      </x:c>
    </x:row>
    <x:row r="451">
      <x:c r="A451" s="63" t="str">
        <x:v>bec:E10:obs:country-count</x:v>
      </x:c>
      <x:c r="B451" s="63" t="str">
        <x:v>E10</x:v>
      </x:c>
      <x:c r="C451" s="63" t="str">
        <x:v>bank_observed_active_country_count</x:v>
      </x:c>
      <x:c r="D451" s="63" t="str">
        <x:v>COUNT</x:v>
      </x:c>
      <x:c r="E451" s="63" t="str">
        <x:v>OBSERVED</x:v>
      </x:c>
      <x:c r="F451" s="65"/>
      <x:c r="G451" s="66"/>
      <x:c r="H451" s="67" t="n">
        <x:v>15</x:v>
      </x:c>
      <x:c r="I451" s="63"/>
      <x:c r="J451" s="63"/>
      <x:c r="K451" s="63" t="str">
        <x:v>countries</x:v>
      </x:c>
      <x:c r="L451" s="63" t="str">
        <x:v>2025-06-01</x:v>
      </x:c>
      <x:c r="M451" s="63" t="str">
        <x:v>2026-06-30</x:v>
      </x:c>
      <x:c r="N451" s="63" t="str">
        <x:v>2026-06-30</x:v>
      </x:c>
      <x:c r="O451" s="63" t="str">
        <x:v>E0</x:v>
      </x:c>
      <x:c r="P451" s="63" t="str">
        <x:v>APPROVED</x:v>
      </x:c>
      <x:c r="Q451" s="64" t="b">
        <x:v>1</x:v>
      </x:c>
      <x:c r="R451" s="63" t="str">
        <x:v>GEOGRAPHIC_EXPOSURE</x:v>
      </x:c>
      <x:c r="S451" s="63" t="str">
        <x:v>Syn Bank transaction and relationship simulation</x:v>
      </x:c>
      <x:c r="T451" s="63"/>
      <x:c r="U451" s="63" t="str">
        <x:v>internal://syn-bank/simulation/ltm</x:v>
      </x:c>
      <x:c r="V451" s="63" t="str">
        <x:v>f4f39232befa22ecd6944a583607b12cd42331406475d97b4156149dc679d63d</x:v>
      </x:c>
    </x:row>
    <x:row r="452">
      <x:c r="A452" s="63" t="str">
        <x:v>bec:E10:obs:relationship-breadth</x:v>
      </x:c>
      <x:c r="B452" s="63" t="str">
        <x:v>E10</x:v>
      </x:c>
      <x:c r="C452" s="63" t="str">
        <x:v>bank_observed_product_relationship_breadth</x:v>
      </x:c>
      <x:c r="D452" s="63" t="str">
        <x:v>COUNT</x:v>
      </x:c>
      <x:c r="E452" s="63" t="str">
        <x:v>OBSERVED</x:v>
      </x:c>
      <x:c r="F452" s="65"/>
      <x:c r="G452" s="66"/>
      <x:c r="H452" s="67" t="n">
        <x:v>5</x:v>
      </x:c>
      <x:c r="I452" s="63"/>
      <x:c r="J452" s="63"/>
      <x:c r="K452" s="63" t="str">
        <x:v>products</x:v>
      </x:c>
      <x:c r="L452" s="63" t="str">
        <x:v>2025-06-01</x:v>
      </x:c>
      <x:c r="M452" s="63" t="str">
        <x:v>2026-06-30</x:v>
      </x:c>
      <x:c r="N452" s="63" t="str">
        <x:v>2026-06-30</x:v>
      </x:c>
      <x:c r="O452" s="63" t="str">
        <x:v>E0</x:v>
      </x:c>
      <x:c r="P452" s="63" t="str">
        <x:v>APPROVED</x:v>
      </x:c>
      <x:c r="Q452" s="64" t="b">
        <x:v>1</x:v>
      </x:c>
      <x:c r="R452" s="63" t="str">
        <x:v>OPERATING_MODEL</x:v>
      </x:c>
      <x:c r="S452" s="63" t="str">
        <x:v>Syn Bank transaction and relationship simulation</x:v>
      </x:c>
      <x:c r="T452" s="63"/>
      <x:c r="U452" s="63" t="str">
        <x:v>internal://syn-bank/simulation/ltm</x:v>
      </x:c>
      <x:c r="V452" s="63" t="str">
        <x:v>075ed2463e26290a8050983bb69abf2ac3d6a262ed4fc0b6f4c1ede5995e0a02</x:v>
      </x:c>
    </x:row>
    <x:row r="453">
      <x:c r="A453" s="63" t="str">
        <x:v>bec:E10:obs:latent:operating_scale</x:v>
      </x:c>
      <x:c r="B453" s="63" t="str">
        <x:v>E10</x:v>
      </x:c>
      <x:c r="C453" s="63" t="str">
        <x:v>bank_observed_operating_scale_index</x:v>
      </x:c>
      <x:c r="D453" s="63" t="str">
        <x:v>RATIO</x:v>
      </x:c>
      <x:c r="E453" s="63" t="str">
        <x:v>OBSERVED</x:v>
      </x:c>
      <x:c r="F453" s="65"/>
      <x:c r="G453" s="66" t="n">
        <x:v>0.9</x:v>
      </x:c>
      <x:c r="H453" s="67"/>
      <x:c r="I453" s="63"/>
      <x:c r="J453" s="63"/>
      <x:c r="K453" s="63" t="str">
        <x:v>index_0_1</x:v>
      </x:c>
      <x:c r="L453" s="63" t="str">
        <x:v>2025-06-01</x:v>
      </x:c>
      <x:c r="M453" s="63" t="str">
        <x:v>2026-06-30</x:v>
      </x:c>
      <x:c r="N453" s="63" t="str">
        <x:v>2026-06-30</x:v>
      </x:c>
      <x:c r="O453" s="63" t="str">
        <x:v>E0</x:v>
      </x:c>
      <x:c r="P453" s="63" t="str">
        <x:v>APPROVED</x:v>
      </x:c>
      <x:c r="Q453" s="64" t="b">
        <x:v>0</x:v>
      </x:c>
      <x:c r="R453" s="63" t="str">
        <x:v>OPERATING_MODEL</x:v>
      </x:c>
      <x:c r="S453" s="63" t="str">
        <x:v>Syn Bank transaction and relationship simulation</x:v>
      </x:c>
      <x:c r="T453" s="63"/>
      <x:c r="U453" s="63" t="str">
        <x:v>internal://syn-bank/simulation/ltm</x:v>
      </x:c>
      <x:c r="V453" s="63" t="str">
        <x:v>6c19ad04f170d29e1e281dcedbdcc3de083b0e4f2c5b02b7cf541df184743105</x:v>
      </x:c>
    </x:row>
    <x:row r="454">
      <x:c r="A454" s="63" t="str">
        <x:v>bec:E10:obs:latent:working_capital_intensity</x:v>
      </x:c>
      <x:c r="B454" s="63" t="str">
        <x:v>E10</x:v>
      </x:c>
      <x:c r="C454" s="63" t="str">
        <x:v>bank_observed_working_capital_intensity_index</x:v>
      </x:c>
      <x:c r="D454" s="63" t="str">
        <x:v>RATIO</x:v>
      </x:c>
      <x:c r="E454" s="63" t="str">
        <x:v>OBSERVED</x:v>
      </x:c>
      <x:c r="F454" s="65"/>
      <x:c r="G454" s="66" t="n">
        <x:v>0.611</x:v>
      </x:c>
      <x:c r="H454" s="67"/>
      <x:c r="I454" s="63"/>
      <x:c r="J454" s="63"/>
      <x:c r="K454" s="63" t="str">
        <x:v>index_0_1</x:v>
      </x:c>
      <x:c r="L454" s="63" t="str">
        <x:v>2025-06-01</x:v>
      </x:c>
      <x:c r="M454" s="63" t="str">
        <x:v>2026-06-30</x:v>
      </x:c>
      <x:c r="N454" s="63" t="str">
        <x:v>2026-06-30</x:v>
      </x:c>
      <x:c r="O454" s="63" t="str">
        <x:v>E0</x:v>
      </x:c>
      <x:c r="P454" s="63" t="str">
        <x:v>APPROVED</x:v>
      </x:c>
      <x:c r="Q454" s="64" t="b">
        <x:v>0</x:v>
      </x:c>
      <x:c r="R454" s="63" t="str">
        <x:v>WORKING_CAPITAL_CYCLE</x:v>
      </x:c>
      <x:c r="S454" s="63" t="str">
        <x:v>Syn Bank transaction and relationship simulation</x:v>
      </x:c>
      <x:c r="T454" s="63"/>
      <x:c r="U454" s="63" t="str">
        <x:v>internal://syn-bank/simulation/ltm</x:v>
      </x:c>
      <x:c r="V454" s="63" t="str">
        <x:v>33b89ac18f68a987c3585a0fb4013426b304097cfd554358ddd72d7652fa8cc2</x:v>
      </x:c>
    </x:row>
    <x:row r="455">
      <x:c r="A455" s="63" t="str">
        <x:v>bec:E10:obs:latent:liquidity_volatility</x:v>
      </x:c>
      <x:c r="B455" s="63" t="str">
        <x:v>E10</x:v>
      </x:c>
      <x:c r="C455" s="63" t="str">
        <x:v>bank_observed_liquidity_volatility_index</x:v>
      </x:c>
      <x:c r="D455" s="63" t="str">
        <x:v>RATIO</x:v>
      </x:c>
      <x:c r="E455" s="63" t="str">
        <x:v>OBSERVED</x:v>
      </x:c>
      <x:c r="F455" s="65"/>
      <x:c r="G455" s="66" t="n">
        <x:v>0.04</x:v>
      </x:c>
      <x:c r="H455" s="67"/>
      <x:c r="I455" s="63"/>
      <x:c r="J455" s="63"/>
      <x:c r="K455" s="63" t="str">
        <x:v>index_0_1</x:v>
      </x:c>
      <x:c r="L455" s="63" t="str">
        <x:v>2025-06-01</x:v>
      </x:c>
      <x:c r="M455" s="63" t="str">
        <x:v>2026-06-30</x:v>
      </x:c>
      <x:c r="N455" s="63" t="str">
        <x:v>2026-06-30</x:v>
      </x:c>
      <x:c r="O455" s="63" t="str">
        <x:v>E0</x:v>
      </x:c>
      <x:c r="P455" s="63" t="str">
        <x:v>APPROVED</x:v>
      </x:c>
      <x:c r="Q455" s="64" t="b">
        <x:v>0</x:v>
      </x:c>
      <x:c r="R455" s="63" t="str">
        <x:v>LIQUIDITY_AND_BUFFER</x:v>
      </x:c>
      <x:c r="S455" s="63" t="str">
        <x:v>Syn Bank transaction and relationship simulation</x:v>
      </x:c>
      <x:c r="T455" s="63"/>
      <x:c r="U455" s="63" t="str">
        <x:v>internal://syn-bank/simulation/ltm</x:v>
      </x:c>
      <x:c r="V455" s="63" t="str">
        <x:v>03dafca8ce3a4463af8a8220ad061555fa8b960dd3b7edbdb9f444a2883bd2eb</x:v>
      </x:c>
    </x:row>
    <x:row r="456">
      <x:c r="A456" s="63" t="str">
        <x:v>bec:E10:obs:latent:international_exposure</x:v>
      </x:c>
      <x:c r="B456" s="63" t="str">
        <x:v>E10</x:v>
      </x:c>
      <x:c r="C456" s="63" t="str">
        <x:v>bank_observed_international_exposure_index</x:v>
      </x:c>
      <x:c r="D456" s="63" t="str">
        <x:v>RATIO</x:v>
      </x:c>
      <x:c r="E456" s="63" t="str">
        <x:v>OBSERVED</x:v>
      </x:c>
      <x:c r="F456" s="65"/>
      <x:c r="G456" s="66" t="n">
        <x:v>0.389</x:v>
      </x:c>
      <x:c r="H456" s="67"/>
      <x:c r="I456" s="63"/>
      <x:c r="J456" s="63"/>
      <x:c r="K456" s="63" t="str">
        <x:v>index_0_1</x:v>
      </x:c>
      <x:c r="L456" s="63" t="str">
        <x:v>2025-06-01</x:v>
      </x:c>
      <x:c r="M456" s="63" t="str">
        <x:v>2026-06-30</x:v>
      </x:c>
      <x:c r="N456" s="63" t="str">
        <x:v>2026-06-30</x:v>
      </x:c>
      <x:c r="O456" s="63" t="str">
        <x:v>E0</x:v>
      </x:c>
      <x:c r="P456" s="63" t="str">
        <x:v>APPROVED</x:v>
      </x:c>
      <x:c r="Q456" s="64" t="b">
        <x:v>0</x:v>
      </x:c>
      <x:c r="R456" s="63" t="str">
        <x:v>GEOGRAPHIC_EXPOSURE</x:v>
      </x:c>
      <x:c r="S456" s="63" t="str">
        <x:v>Syn Bank transaction and relationship simulation</x:v>
      </x:c>
      <x:c r="T456" s="63"/>
      <x:c r="U456" s="63" t="str">
        <x:v>internal://syn-bank/simulation/ltm</x:v>
      </x:c>
      <x:c r="V456" s="63" t="str">
        <x:v>16cf66375b71115b7b9a7e417f39793cad676be23d3b7ccb0324db99d6526298</x:v>
      </x:c>
    </x:row>
    <x:row r="457">
      <x:c r="A457" s="63" t="str">
        <x:v>bec:E10:obs:latent:financing_need</x:v>
      </x:c>
      <x:c r="B457" s="63" t="str">
        <x:v>E10</x:v>
      </x:c>
      <x:c r="C457" s="63" t="str">
        <x:v>bank_observed_financing_need_index</x:v>
      </x:c>
      <x:c r="D457" s="63" t="str">
        <x:v>RATIO</x:v>
      </x:c>
      <x:c r="E457" s="63" t="str">
        <x:v>OBSERVED</x:v>
      </x:c>
      <x:c r="F457" s="65"/>
      <x:c r="G457" s="66" t="n">
        <x:v>0.049</x:v>
      </x:c>
      <x:c r="H457" s="67"/>
      <x:c r="I457" s="63"/>
      <x:c r="J457" s="63"/>
      <x:c r="K457" s="63" t="str">
        <x:v>index_0_1</x:v>
      </x:c>
      <x:c r="L457" s="63" t="str">
        <x:v>2025-06-01</x:v>
      </x:c>
      <x:c r="M457" s="63" t="str">
        <x:v>2026-06-30</x:v>
      </x:c>
      <x:c r="N457" s="63" t="str">
        <x:v>2026-06-30</x:v>
      </x:c>
      <x:c r="O457" s="63" t="str">
        <x:v>E0</x:v>
      </x:c>
      <x:c r="P457" s="63" t="str">
        <x:v>APPROVED</x:v>
      </x:c>
      <x:c r="Q457" s="64" t="b">
        <x:v>0</x:v>
      </x:c>
      <x:c r="R457" s="63" t="str">
        <x:v>FUNDING_STRUCTURE</x:v>
      </x:c>
      <x:c r="S457" s="63" t="str">
        <x:v>Syn Bank transaction and relationship simulation</x:v>
      </x:c>
      <x:c r="T457" s="63"/>
      <x:c r="U457" s="63" t="str">
        <x:v>internal://syn-bank/simulation/ltm</x:v>
      </x:c>
      <x:c r="V457" s="63" t="str">
        <x:v>09d9f4a92b4f6638ee430cae0157dcb033b2cdb75efe0ac35b78e0caab33c05a</x:v>
      </x:c>
    </x:row>
    <x:row r="458">
      <x:c r="A458" s="63" t="str">
        <x:v>bec:E10:obs:latent:event_intensity</x:v>
      </x:c>
      <x:c r="B458" s="63" t="str">
        <x:v>E10</x:v>
      </x:c>
      <x:c r="C458" s="63" t="str">
        <x:v>bank_observed_event_intensity_index</x:v>
      </x:c>
      <x:c r="D458" s="63" t="str">
        <x:v>RATIO</x:v>
      </x:c>
      <x:c r="E458" s="63" t="str">
        <x:v>OBSERVED</x:v>
      </x:c>
      <x:c r="F458" s="65"/>
      <x:c r="G458" s="66" t="n">
        <x:v>1</x:v>
      </x:c>
      <x:c r="H458" s="67"/>
      <x:c r="I458" s="63"/>
      <x:c r="J458" s="63"/>
      <x:c r="K458" s="63" t="str">
        <x:v>index_0_1</x:v>
      </x:c>
      <x:c r="L458" s="63" t="str">
        <x:v>2025-06-01</x:v>
      </x:c>
      <x:c r="M458" s="63" t="str">
        <x:v>2026-06-30</x:v>
      </x:c>
      <x:c r="N458" s="63" t="str">
        <x:v>2026-06-30</x:v>
      </x:c>
      <x:c r="O458" s="63" t="str">
        <x:v>E0</x:v>
      </x:c>
      <x:c r="P458" s="63" t="str">
        <x:v>APPROVED</x:v>
      </x:c>
      <x:c r="Q458" s="64" t="b">
        <x:v>0</x:v>
      </x:c>
      <x:c r="R458" s="63" t="str">
        <x:v>STRATEGY_ACTIONS_AND_ESG</x:v>
      </x:c>
      <x:c r="S458" s="63" t="str">
        <x:v>Syn Bank transaction and relationship simulation</x:v>
      </x:c>
      <x:c r="T458" s="63"/>
      <x:c r="U458" s="63" t="str">
        <x:v>internal://syn-bank/simulation/ltm</x:v>
      </x:c>
      <x:c r="V458" s="63" t="str">
        <x:v>ea606faa5ece18d637bfd014866a6a9a9148d620bd12ec41cfb236e678c1e445</x:v>
      </x:c>
    </x:row>
    <x:row r="459">
      <x:c r="A459" s="63" t="str">
        <x:v>bec:E10:obs:latent:relationship_complexity</x:v>
      </x:c>
      <x:c r="B459" s="63" t="str">
        <x:v>E10</x:v>
      </x:c>
      <x:c r="C459" s="63" t="str">
        <x:v>bank_observed_relationship_complexity_index</x:v>
      </x:c>
      <x:c r="D459" s="63" t="str">
        <x:v>RATIO</x:v>
      </x:c>
      <x:c r="E459" s="63" t="str">
        <x:v>OBSERVED</x:v>
      </x:c>
      <x:c r="F459" s="65"/>
      <x:c r="G459" s="66" t="n">
        <x:v>1</x:v>
      </x:c>
      <x:c r="H459" s="67"/>
      <x:c r="I459" s="63"/>
      <x:c r="J459" s="63"/>
      <x:c r="K459" s="63" t="str">
        <x:v>index_0_1</x:v>
      </x:c>
      <x:c r="L459" s="63" t="str">
        <x:v>2025-06-01</x:v>
      </x:c>
      <x:c r="M459" s="63" t="str">
        <x:v>2026-06-30</x:v>
      </x:c>
      <x:c r="N459" s="63" t="str">
        <x:v>2026-06-30</x:v>
      </x:c>
      <x:c r="O459" s="63" t="str">
        <x:v>E0</x:v>
      </x:c>
      <x:c r="P459" s="63" t="str">
        <x:v>APPROVED</x:v>
      </x:c>
      <x:c r="Q459" s="64" t="b">
        <x:v>0</x:v>
      </x:c>
      <x:c r="R459" s="63" t="str">
        <x:v>OPERATING_MODEL</x:v>
      </x:c>
      <x:c r="S459" s="63" t="str">
        <x:v>Syn Bank transaction and relationship simulation</x:v>
      </x:c>
      <x:c r="T459" s="63"/>
      <x:c r="U459" s="63" t="str">
        <x:v>internal://syn-bank/simulation/ltm</x:v>
      </x:c>
      <x:c r="V459" s="63" t="str">
        <x:v>3d1115011568d35e2c8e542803e2f7320395af1b41c23efe6f6438bd1a4d0d56</x:v>
      </x:c>
    </x:row>
    <x:row r="460">
      <x:c r="A460" s="63" t="str">
        <x:v>bec:E10:obs:events:trade-90d</x:v>
      </x:c>
      <x:c r="B460" s="63" t="str">
        <x:v>E10</x:v>
      </x:c>
      <x:c r="C460" s="63" t="str">
        <x:v>bank_observed_trade_events_next_90d</x:v>
      </x:c>
      <x:c r="D460" s="63" t="str">
        <x:v>COUNT</x:v>
      </x:c>
      <x:c r="E460" s="63" t="str">
        <x:v>OBSERVED</x:v>
      </x:c>
      <x:c r="F460" s="65"/>
      <x:c r="G460" s="66"/>
      <x:c r="H460" s="67" t="n">
        <x:v>179</x:v>
      </x:c>
      <x:c r="I460" s="63"/>
      <x:c r="J460" s="63"/>
      <x:c r="K460" s="63" t="str">
        <x:v>events</x:v>
      </x:c>
      <x:c r="L460" s="63" t="str">
        <x:v>2025-06-01</x:v>
      </x:c>
      <x:c r="M460" s="63" t="str">
        <x:v>2026-06-30</x:v>
      </x:c>
      <x:c r="N460" s="63" t="str">
        <x:v>2026-06-30</x:v>
      </x:c>
      <x:c r="O460" s="63" t="str">
        <x:v>E0</x:v>
      </x:c>
      <x:c r="P460" s="63" t="str">
        <x:v>APPROVED</x:v>
      </x:c>
      <x:c r="Q460" s="64" t="b">
        <x:v>1</x:v>
      </x:c>
      <x:c r="R460" s="63" t="str">
        <x:v>OPERATING_MODEL, WORKING_CAPITAL_CYCLE</x:v>
      </x:c>
      <x:c r="S460" s="63" t="str">
        <x:v>Syn Bank transaction and relationship simulation</x:v>
      </x:c>
      <x:c r="T460" s="63"/>
      <x:c r="U460" s="63" t="str">
        <x:v>internal://syn-bank/simulation/ltm</x:v>
      </x:c>
      <x:c r="V460" s="63" t="str">
        <x:v>a398e7615652427abd6c660050a3f7d7e221223fcef704130dc965fe3bdf93db</x:v>
      </x:c>
    </x:row>
    <x:row r="461">
      <x:c r="A461" s="63" t="str">
        <x:v>bec:E10:obs:events:trade-90d-value</x:v>
      </x:c>
      <x:c r="B461" s="63" t="str">
        <x:v>E10</x:v>
      </x:c>
      <x:c r="C461" s="63" t="str">
        <x:v>bank_observed_trade_events_value_next_90d</x:v>
      </x:c>
      <x:c r="D461" s="63" t="str">
        <x:v>MONEY</x:v>
      </x:c>
      <x:c r="E461" s="63" t="str">
        <x:v>OBSERVED</x:v>
      </x:c>
      <x:c r="F461" s="65" t="n">
        <x:v>318118106.7400001</x:v>
      </x:c>
      <x:c r="G461" s="66"/>
      <x:c r="H461" s="67"/>
      <x:c r="I461" s="63"/>
      <x:c r="J461" s="63" t="str">
        <x:v>ZAR</x:v>
      </x:c>
      <x:c r="K461" s="63" t="str">
        <x:v>ZAR</x:v>
      </x:c>
      <x:c r="L461" s="63" t="str">
        <x:v>2025-06-01</x:v>
      </x:c>
      <x:c r="M461" s="63" t="str">
        <x:v>2026-06-30</x:v>
      </x:c>
      <x:c r="N461" s="63" t="str">
        <x:v>2026-06-30</x:v>
      </x:c>
      <x:c r="O461" s="63" t="str">
        <x:v>E0</x:v>
      </x:c>
      <x:c r="P461" s="63" t="str">
        <x:v>APPROVED</x:v>
      </x:c>
      <x:c r="Q461" s="64" t="b">
        <x:v>0</x:v>
      </x:c>
      <x:c r="R461" s="63" t="str">
        <x:v>WORKING_CAPITAL_CYCLE</x:v>
      </x:c>
      <x:c r="S461" s="63" t="str">
        <x:v>Syn Bank transaction and relationship simulation</x:v>
      </x:c>
      <x:c r="T461" s="63"/>
      <x:c r="U461" s="63" t="str">
        <x:v>internal://syn-bank/simulation/ltm</x:v>
      </x:c>
      <x:c r="V461" s="63" t="str">
        <x:v>d64707c2c24e8b8becc3e323430fa4ff8cfc2b9efc7cdb63441da6ae97d34001</x:v>
      </x:c>
    </x:row>
    <x:row r="462">
      <x:c r="A462" s="63" t="str">
        <x:v>bec:E10:struct:operating-model</x:v>
      </x:c>
      <x:c r="B462" s="63" t="str">
        <x:v>E10</x:v>
      </x:c>
      <x:c r="C462" s="63" t="str">
        <x:v>sector_operating_model</x:v>
      </x:c>
      <x:c r="D462" s="63" t="str">
        <x:v>TEXTUAL</x:v>
      </x:c>
      <x:c r="E462" s="63" t="str">
        <x:v>SCENARIO</x:v>
      </x:c>
      <x:c r="F462" s="65"/>
      <x:c r="G462" s="66"/>
      <x:c r="H462" s="67"/>
      <x:c r="I462" s="63" t="str">
        <x:v>High-frequency retail/distribution operator with dense supplier payment cycles and inventory-led working capital.</x:v>
      </x:c>
      <x:c r="J462" s="63"/>
      <x:c r="K462" s="63" t="str">
        <x:v>statement</x:v>
      </x:c>
      <x:c r="L462" s="63" t="str">
        <x:v>2025-06-01</x:v>
      </x:c>
      <x:c r="M462" s="63" t="str">
        <x:v>2026-06-30</x:v>
      </x:c>
      <x:c r="N462" s="63" t="str">
        <x:v>2026-06-30</x:v>
      </x:c>
      <x:c r="O462" s="63" t="str">
        <x:v>E0</x:v>
      </x:c>
      <x:c r="P462" s="63" t="str">
        <x:v>APPROVED</x:v>
      </x:c>
      <x:c r="Q462" s="64" t="b">
        <x:v>0</x:v>
      </x:c>
      <x:c r="R462" s="63" t="str">
        <x:v>OPERATING_MODEL</x:v>
      </x:c>
      <x:c r="S462" s="63" t="str">
        <x:v>Governed sector operating-model and responsibility policy</x:v>
      </x:c>
      <x:c r="T462" s="63"/>
      <x:c r="U462" s="63" t="str">
        <x:v>internal://v31/governed-policy</x:v>
      </x:c>
      <x:c r="V462" s="63" t="str">
        <x:v>6b476eefd9dd42cc0b48a39f4e03bddc357a4b950c3eec9577d31a27e49cc087</x:v>
      </x:c>
    </x:row>
    <x:row r="463">
      <x:c r="A463" s="63" t="str">
        <x:v>bec:E10:struct:risk:0</x:v>
      </x:c>
      <x:c r="B463" s="63" t="str">
        <x:v>E10</x:v>
      </x:c>
      <x:c r="C463" s="63" t="str">
        <x:v>sector_primary_risk</x:v>
      </x:c>
      <x:c r="D463" s="63" t="str">
        <x:v>CATEGORICAL</x:v>
      </x:c>
      <x:c r="E463" s="63" t="str">
        <x:v>SCENARIO</x:v>
      </x:c>
      <x:c r="F463" s="65"/>
      <x:c r="G463" s="66"/>
      <x:c r="H463" s="67"/>
      <x:c r="I463" s="63" t="str">
        <x:v>supplier concentration</x:v>
      </x:c>
      <x:c r="J463" s="63"/>
      <x:c r="K463" s="63" t="str">
        <x:v>statement</x:v>
      </x:c>
      <x:c r="L463" s="63" t="str">
        <x:v>2025-06-01</x:v>
      </x:c>
      <x:c r="M463" s="63" t="str">
        <x:v>2026-06-30</x:v>
      </x:c>
      <x:c r="N463" s="63" t="str">
        <x:v>2026-06-30</x:v>
      </x:c>
      <x:c r="O463" s="63" t="str">
        <x:v>E0</x:v>
      </x:c>
      <x:c r="P463" s="63" t="str">
        <x:v>APPROVED</x:v>
      </x:c>
      <x:c r="Q463" s="64" t="b">
        <x:v>0</x:v>
      </x:c>
      <x:c r="R463" s="63" t="str">
        <x:v>BUSINESS_AND_FINANCIAL_RISKS</x:v>
      </x:c>
      <x:c r="S463" s="63" t="str">
        <x:v>Governed sector operating-model and responsibility policy</x:v>
      </x:c>
      <x:c r="T463" s="63"/>
      <x:c r="U463" s="63" t="str">
        <x:v>internal://v31/governed-policy</x:v>
      </x:c>
      <x:c r="V463" s="63" t="str">
        <x:v>aac40884e6d844e6e63984a541918c3560e7e28ca908a64c989584d6b3cb9c87</x:v>
      </x:c>
    </x:row>
    <x:row r="464">
      <x:c r="A464" s="63" t="str">
        <x:v>bec:E10:struct:risk:1</x:v>
      </x:c>
      <x:c r="B464" s="63" t="str">
        <x:v>E10</x:v>
      </x:c>
      <x:c r="C464" s="63" t="str">
        <x:v>sector_primary_risk</x:v>
      </x:c>
      <x:c r="D464" s="63" t="str">
        <x:v>CATEGORICAL</x:v>
      </x:c>
      <x:c r="E464" s="63" t="str">
        <x:v>SCENARIO</x:v>
      </x:c>
      <x:c r="F464" s="65"/>
      <x:c r="G464" s="66"/>
      <x:c r="H464" s="67"/>
      <x:c r="I464" s="63" t="str">
        <x:v>consumer demand cyclicality</x:v>
      </x:c>
      <x:c r="J464" s="63"/>
      <x:c r="K464" s="63" t="str">
        <x:v>statement</x:v>
      </x:c>
      <x:c r="L464" s="63" t="str">
        <x:v>2025-06-01</x:v>
      </x:c>
      <x:c r="M464" s="63" t="str">
        <x:v>2026-06-30</x:v>
      </x:c>
      <x:c r="N464" s="63" t="str">
        <x:v>2026-06-30</x:v>
      </x:c>
      <x:c r="O464" s="63" t="str">
        <x:v>E0</x:v>
      </x:c>
      <x:c r="P464" s="63" t="str">
        <x:v>APPROVED</x:v>
      </x:c>
      <x:c r="Q464" s="64" t="b">
        <x:v>0</x:v>
      </x:c>
      <x:c r="R464" s="63" t="str">
        <x:v>BUSINESS_AND_FINANCIAL_RISKS</x:v>
      </x:c>
      <x:c r="S464" s="63" t="str">
        <x:v>Governed sector operating-model and responsibility policy</x:v>
      </x:c>
      <x:c r="T464" s="63"/>
      <x:c r="U464" s="63" t="str">
        <x:v>internal://v31/governed-policy</x:v>
      </x:c>
      <x:c r="V464" s="63" t="str">
        <x:v>3264d5ec1807d8669d2db93cdc02c9f04a0e3a56cb44b256735b8eea09996be5</x:v>
      </x:c>
    </x:row>
    <x:row r="465">
      <x:c r="A465" s="63" t="str">
        <x:v>bec:E10:struct:risk:2</x:v>
      </x:c>
      <x:c r="B465" s="63" t="str">
        <x:v>E10</x:v>
      </x:c>
      <x:c r="C465" s="63" t="str">
        <x:v>sector_primary_risk</x:v>
      </x:c>
      <x:c r="D465" s="63" t="str">
        <x:v>CATEGORICAL</x:v>
      </x:c>
      <x:c r="E465" s="63" t="str">
        <x:v>SCENARIO</x:v>
      </x:c>
      <x:c r="F465" s="65"/>
      <x:c r="G465" s="66"/>
      <x:c r="H465" s="67"/>
      <x:c r="I465" s="63" t="str">
        <x:v>cross-border sourcing cost</x:v>
      </x:c>
      <x:c r="J465" s="63"/>
      <x:c r="K465" s="63" t="str">
        <x:v>statement</x:v>
      </x:c>
      <x:c r="L465" s="63" t="str">
        <x:v>2025-06-01</x:v>
      </x:c>
      <x:c r="M465" s="63" t="str">
        <x:v>2026-06-30</x:v>
      </x:c>
      <x:c r="N465" s="63" t="str">
        <x:v>2026-06-30</x:v>
      </x:c>
      <x:c r="O465" s="63" t="str">
        <x:v>E0</x:v>
      </x:c>
      <x:c r="P465" s="63" t="str">
        <x:v>APPROVED</x:v>
      </x:c>
      <x:c r="Q465" s="64" t="b">
        <x:v>0</x:v>
      </x:c>
      <x:c r="R465" s="63" t="str">
        <x:v>BUSINESS_AND_FINANCIAL_RISKS</x:v>
      </x:c>
      <x:c r="S465" s="63" t="str">
        <x:v>Governed sector operating-model and responsibility policy</x:v>
      </x:c>
      <x:c r="T465" s="63"/>
      <x:c r="U465" s="63" t="str">
        <x:v>internal://v31/governed-policy</x:v>
      </x:c>
      <x:c r="V465" s="63" t="str">
        <x:v>e4083f0dcabee9b03256b58fe5a6371c4142c05b7da7b6912588f494431ae427</x:v>
      </x:c>
    </x:row>
    <x:row r="466">
      <x:c r="A466" s="63" t="str">
        <x:v>bec:E10:struct:responsibility-model</x:v>
      </x:c>
      <x:c r="B466" s="63" t="str">
        <x:v>E10</x:v>
      </x:c>
      <x:c r="C466" s="63" t="str">
        <x:v>stakeholder_responsibility_model</x:v>
      </x:c>
      <x:c r="D466" s="63" t="str">
        <x:v>TEXTUAL</x:v>
      </x:c>
      <x:c r="E466" s="63" t="str">
        <x:v>SCENARIO</x:v>
      </x:c>
      <x:c r="F466" s="65"/>
      <x:c r="G466" s="66"/>
      <x:c r="H466" s="67"/>
      <x:c r="I466" s="63" t="str">
        <x:v>Responsibility is assigned by role persona using governed matrix v31-stakeholder-responsibility-3.1.0. Named individuals are not resolved in the demonstration and require CRM entitlement checks in production.</x:v>
      </x:c>
      <x:c r="J466" s="63"/>
      <x:c r="K466" s="63" t="str">
        <x:v>statement</x:v>
      </x:c>
      <x:c r="L466" s="63" t="str">
        <x:v>2025-06-01</x:v>
      </x:c>
      <x:c r="M466" s="63" t="str">
        <x:v>2026-06-30</x:v>
      </x:c>
      <x:c r="N466" s="63" t="str">
        <x:v>2026-06-30</x:v>
      </x:c>
      <x:c r="O466" s="63" t="str">
        <x:v>E0</x:v>
      </x:c>
      <x:c r="P466" s="63" t="str">
        <x:v>APPROVED</x:v>
      </x:c>
      <x:c r="Q466" s="64" t="b">
        <x:v>0</x:v>
      </x:c>
      <x:c r="R466" s="63" t="str">
        <x:v>STAKEHOLDER_RESPONSIBILITY</x:v>
      </x:c>
      <x:c r="S466" s="63" t="str">
        <x:v>Governed sector operating-model and responsibility policy</x:v>
      </x:c>
      <x:c r="T466" s="63"/>
      <x:c r="U466" s="63" t="str">
        <x:v>internal://v31/governed-policy</x:v>
      </x:c>
      <x:c r="V466" s="63" t="str">
        <x:v>791bc322855293cb2078f4d4858bbf37f76443a2f0b9a0400089183a3277b4c1</x:v>
      </x:c>
    </x:row>
    <x:row r="467">
      <x:c r="A467" s="63" t="str">
        <x:v>bec:E10:struct:responsibility:fx_exposure</x:v>
      </x:c>
      <x:c r="B467" s="63" t="str">
        <x:v>E10</x:v>
      </x:c>
      <x:c r="C467" s="63" t="str">
        <x:v>problem_role_ownership</x:v>
      </x:c>
      <x:c r="D467" s="63" t="str">
        <x:v>STRUCTURE_RELATIONSHIP</x:v>
      </x:c>
      <x:c r="E467" s="63" t="str">
        <x:v>SCENARIO</x:v>
      </x:c>
      <x:c r="F467" s="65"/>
      <x:c r="G467" s="66"/>
      <x:c r="H467" s="67"/>
      <x:c r="I467" s="63"/>
      <x:c r="J467" s="63"/>
      <x:c r="K467" s="63" t="str">
        <x:v>statement</x:v>
      </x:c>
      <x:c r="L467" s="63" t="str">
        <x:v>2025-06-01</x:v>
      </x:c>
      <x:c r="M467" s="63" t="str">
        <x:v>2026-06-30</x:v>
      </x:c>
      <x:c r="N467" s="63" t="str">
        <x:v>2026-06-30</x:v>
      </x:c>
      <x:c r="O467" s="63" t="str">
        <x:v>E0</x:v>
      </x:c>
      <x:c r="P467" s="63" t="str">
        <x:v>APPROVED</x:v>
      </x:c>
      <x:c r="Q467" s="64" t="b">
        <x:v>0</x:v>
      </x:c>
      <x:c r="R467" s="63" t="str">
        <x:v>STAKEHOLDER_RESPONSIBILITY</x:v>
      </x:c>
      <x:c r="S467" s="63" t="str">
        <x:v>Governed sector operating-model and responsibility policy</x:v>
      </x:c>
      <x:c r="T467" s="63"/>
      <x:c r="U467" s="63" t="str">
        <x:v>internal://v31/governed-policy</x:v>
      </x:c>
      <x:c r="V467" s="63" t="str">
        <x:v>894f89087694c072c3f95af132889b19a1d04ce87380f1431fe9f76668e6d7aa</x:v>
      </x:c>
    </x:row>
    <x:row r="468">
      <x:c r="A468" s="63" t="str">
        <x:v>bec:E10:struct:responsibility:refinancing_cliff</x:v>
      </x:c>
      <x:c r="B468" s="63" t="str">
        <x:v>E10</x:v>
      </x:c>
      <x:c r="C468" s="63" t="str">
        <x:v>problem_role_ownership</x:v>
      </x:c>
      <x:c r="D468" s="63" t="str">
        <x:v>STRUCTURE_RELATIONSHIP</x:v>
      </x:c>
      <x:c r="E468" s="63" t="str">
        <x:v>SCENARIO</x:v>
      </x:c>
      <x:c r="F468" s="65"/>
      <x:c r="G468" s="66"/>
      <x:c r="H468" s="67"/>
      <x:c r="I468" s="63"/>
      <x:c r="J468" s="63"/>
      <x:c r="K468" s="63" t="str">
        <x:v>statement</x:v>
      </x:c>
      <x:c r="L468" s="63" t="str">
        <x:v>2025-06-01</x:v>
      </x:c>
      <x:c r="M468" s="63" t="str">
        <x:v>2026-06-30</x:v>
      </x:c>
      <x:c r="N468" s="63" t="str">
        <x:v>2026-06-30</x:v>
      </x:c>
      <x:c r="O468" s="63" t="str">
        <x:v>E0</x:v>
      </x:c>
      <x:c r="P468" s="63" t="str">
        <x:v>APPROVED</x:v>
      </x:c>
      <x:c r="Q468" s="64" t="b">
        <x:v>0</x:v>
      </x:c>
      <x:c r="R468" s="63" t="str">
        <x:v>STAKEHOLDER_RESPONSIBILITY</x:v>
      </x:c>
      <x:c r="S468" s="63" t="str">
        <x:v>Governed sector operating-model and responsibility policy</x:v>
      </x:c>
      <x:c r="T468" s="63"/>
      <x:c r="U468" s="63" t="str">
        <x:v>internal://v31/governed-policy</x:v>
      </x:c>
      <x:c r="V468" s="63" t="str">
        <x:v>14a2cb311563a8227593c5f9b23ed498719d85bffc00c19d9db0757577351f66</x:v>
      </x:c>
    </x:row>
    <x:row r="469">
      <x:c r="A469" s="63" t="str">
        <x:v>bec:E10:struct:responsibility:working_capital_pressure</x:v>
      </x:c>
      <x:c r="B469" s="63" t="str">
        <x:v>E10</x:v>
      </x:c>
      <x:c r="C469" s="63" t="str">
        <x:v>problem_role_ownership</x:v>
      </x:c>
      <x:c r="D469" s="63" t="str">
        <x:v>STRUCTURE_RELATIONSHIP</x:v>
      </x:c>
      <x:c r="E469" s="63" t="str">
        <x:v>SCENARIO</x:v>
      </x:c>
      <x:c r="F469" s="65"/>
      <x:c r="G469" s="66"/>
      <x:c r="H469" s="67"/>
      <x:c r="I469" s="63"/>
      <x:c r="J469" s="63"/>
      <x:c r="K469" s="63" t="str">
        <x:v>statement</x:v>
      </x:c>
      <x:c r="L469" s="63" t="str">
        <x:v>2025-06-01</x:v>
      </x:c>
      <x:c r="M469" s="63" t="str">
        <x:v>2026-06-30</x:v>
      </x:c>
      <x:c r="N469" s="63" t="str">
        <x:v>2026-06-30</x:v>
      </x:c>
      <x:c r="O469" s="63" t="str">
        <x:v>E0</x:v>
      </x:c>
      <x:c r="P469" s="63" t="str">
        <x:v>APPROVED</x:v>
      </x:c>
      <x:c r="Q469" s="64" t="b">
        <x:v>0</x:v>
      </x:c>
      <x:c r="R469" s="63" t="str">
        <x:v>STAKEHOLDER_RESPONSIBILITY</x:v>
      </x:c>
      <x:c r="S469" s="63" t="str">
        <x:v>Governed sector operating-model and responsibility policy</x:v>
      </x:c>
      <x:c r="T469" s="63"/>
      <x:c r="U469" s="63" t="str">
        <x:v>internal://v31/governed-policy</x:v>
      </x:c>
      <x:c r="V469" s="63" t="str">
        <x:v>456a20b8339fdc902ba3f870c7617dd8ad9394e2fcb196acee4a32e893095b9b</x:v>
      </x:c>
    </x:row>
    <x:row r="470">
      <x:c r="A470" s="63" t="str">
        <x:v>bec:PEPKOR-2025-REV</x:v>
      </x:c>
      <x:c r="B470" s="63" t="str">
        <x:v>E11</x:v>
      </x:c>
      <x:c r="C470" s="63" t="str">
        <x:v>revenue</x:v>
      </x:c>
      <x:c r="D470" s="63" t="str">
        <x:v>MONEY</x:v>
      </x:c>
      <x:c r="E470" s="63" t="str">
        <x:v>OBSERVED</x:v>
      </x:c>
      <x:c r="F470" s="65" t="n">
        <x:v>95340</x:v>
      </x:c>
      <x:c r="G470" s="66"/>
      <x:c r="H470" s="67"/>
      <x:c r="I470" s="63"/>
      <x:c r="J470" s="63" t="str">
        <x:v>ZAR</x:v>
      </x:c>
      <x:c r="K470" s="63" t="str">
        <x:v>million</x:v>
      </x:c>
      <x:c r="L470" s="63" t="str">
        <x:v>2024-10-01</x:v>
      </x:c>
      <x:c r="M470" s="63" t="str">
        <x:v>2025-09-30</x:v>
      </x:c>
      <x:c r="N470" s="63" t="str">
        <x:v>2025-12-15</x:v>
      </x:c>
      <x:c r="O470" s="63" t="str">
        <x:v>E1</x:v>
      </x:c>
      <x:c r="P470" s="63" t="str">
        <x:v>PENDING_REVIEW</x:v>
      </x:c>
      <x:c r="Q470" s="64" t="b">
        <x:v>1</x:v>
      </x:c>
      <x:c r="R470" s="63" t="str">
        <x:v>REVENUE_ENGINE</x:v>
      </x:c>
      <x:c r="S470" s="63" t="str">
        <x:v>Pepkor Annual Financial Statements 2025</x:v>
      </x:c>
      <x:c r="T470" s="63" t="n">
        <x:v>21</x:v>
      </x:c>
      <x:c r="U470" s="63" t="str">
        <x:v>https://pepkor.co.za/wp-content/uploads/Pepkor-annual-financial-statements-2025.pdf</x:v>
      </x:c>
      <x:c r="V470" s="63" t="str">
        <x:v>7715894a86e0e6b06b26b90b6e5bad3ffb85b8cd6166701bf52ddf8e053193d3</x:v>
      </x:c>
    </x:row>
    <x:row r="471">
      <x:c r="A471" s="63" t="str">
        <x:v>bec:PEPKOR-2025-CASH</x:v>
      </x:c>
      <x:c r="B471" s="63" t="str">
        <x:v>E11</x:v>
      </x:c>
      <x:c r="C471" s="63" t="str">
        <x:v>cash_and_cash_equivalents</x:v>
      </x:c>
      <x:c r="D471" s="63" t="str">
        <x:v>MONEY</x:v>
      </x:c>
      <x:c r="E471" s="63" t="str">
        <x:v>OBSERVED</x:v>
      </x:c>
      <x:c r="F471" s="65" t="n">
        <x:v>5066</x:v>
      </x:c>
      <x:c r="G471" s="66"/>
      <x:c r="H471" s="67"/>
      <x:c r="I471" s="63"/>
      <x:c r="J471" s="63" t="str">
        <x:v>ZAR</x:v>
      </x:c>
      <x:c r="K471" s="63" t="str">
        <x:v>million</x:v>
      </x:c>
      <x:c r="L471" s="63" t="str">
        <x:v>2025-09-30</x:v>
      </x:c>
      <x:c r="M471" s="63" t="str">
        <x:v>2025-09-30</x:v>
      </x:c>
      <x:c r="N471" s="63" t="str">
        <x:v>2025-12-15</x:v>
      </x:c>
      <x:c r="O471" s="63" t="str">
        <x:v>E1</x:v>
      </x:c>
      <x:c r="P471" s="63" t="str">
        <x:v>PENDING_REVIEW</x:v>
      </x:c>
      <x:c r="Q471" s="64" t="b">
        <x:v>1</x:v>
      </x:c>
      <x:c r="R471" s="63" t="str">
        <x:v>LIQUIDITY_AND_BUFFER</x:v>
      </x:c>
      <x:c r="S471" s="63" t="str">
        <x:v>Pepkor Annual Financial Statements 2025</x:v>
      </x:c>
      <x:c r="T471" s="63" t="n">
        <x:v>23</x:v>
      </x:c>
      <x:c r="U471" s="63" t="str">
        <x:v>https://pepkor.co.za/wp-content/uploads/Pepkor-annual-financial-statements-2025.pdf</x:v>
      </x:c>
      <x:c r="V471" s="63" t="str">
        <x:v>7715894a86e0e6b06b26b90b6e5bad3ffb85b8cd6166701bf52ddf8e053193d3</x:v>
      </x:c>
    </x:row>
    <x:row r="472">
      <x:c r="A472" s="63" t="str">
        <x:v>bec:PEPKOR-2025-DEBT</x:v>
      </x:c>
      <x:c r="B472" s="63" t="str">
        <x:v>E11</x:v>
      </x:c>
      <x:c r="C472" s="63" t="str">
        <x:v>current_debt</x:v>
      </x:c>
      <x:c r="D472" s="63" t="str">
        <x:v>MONEY</x:v>
      </x:c>
      <x:c r="E472" s="63" t="str">
        <x:v>OBSERVED</x:v>
      </x:c>
      <x:c r="F472" s="65" t="n">
        <x:v>1200</x:v>
      </x:c>
      <x:c r="G472" s="66"/>
      <x:c r="H472" s="67"/>
      <x:c r="I472" s="63"/>
      <x:c r="J472" s="63" t="str">
        <x:v>ZAR</x:v>
      </x:c>
      <x:c r="K472" s="63" t="str">
        <x:v>million</x:v>
      </x:c>
      <x:c r="L472" s="63" t="str">
        <x:v>2025-09-30</x:v>
      </x:c>
      <x:c r="M472" s="63" t="str">
        <x:v>2025-09-30</x:v>
      </x:c>
      <x:c r="N472" s="63" t="str">
        <x:v>2025-12-15</x:v>
      </x:c>
      <x:c r="O472" s="63" t="str">
        <x:v>E1</x:v>
      </x:c>
      <x:c r="P472" s="63" t="str">
        <x:v>PENDING_REVIEW</x:v>
      </x:c>
      <x:c r="Q472" s="64" t="b">
        <x:v>1</x:v>
      </x:c>
      <x:c r="R472" s="63" t="str">
        <x:v>FUNDING_STRUCTURE</x:v>
      </x:c>
      <x:c r="S472" s="63" t="str">
        <x:v>Pepkor Annual Financial Statements 2025</x:v>
      </x:c>
      <x:c r="T472" s="63" t="n">
        <x:v>23</x:v>
      </x:c>
      <x:c r="U472" s="63" t="str">
        <x:v>https://pepkor.co.za/wp-content/uploads/Pepkor-annual-financial-statements-2025.pdf</x:v>
      </x:c>
      <x:c r="V472" s="63" t="str">
        <x:v>7715894a86e0e6b06b26b90b6e5bad3ffb85b8cd6166701bf52ddf8e053193d3</x:v>
      </x:c>
    </x:row>
    <x:row r="473">
      <x:c r="A473" s="63" t="str">
        <x:v>bec:E11:obs:flow:collections</x:v>
      </x:c>
      <x:c r="B473" s="63" t="str">
        <x:v>E11</x:v>
      </x:c>
      <x:c r="C473" s="63" t="str">
        <x:v>bank_observed_collections_ltm</x:v>
      </x:c>
      <x:c r="D473" s="63" t="str">
        <x:v>MONEY</x:v>
      </x:c>
      <x:c r="E473" s="63" t="str">
        <x:v>OBSERVED</x:v>
      </x:c>
      <x:c r="F473" s="65" t="n">
        <x:v>9333614298.64</x:v>
      </x:c>
      <x:c r="G473" s="66"/>
      <x:c r="H473" s="67"/>
      <x:c r="I473" s="63"/>
      <x:c r="J473" s="63" t="str">
        <x:v>ZAR</x:v>
      </x:c>
      <x:c r="K473" s="63" t="str">
        <x:v>ZAR</x:v>
      </x:c>
      <x:c r="L473" s="63" t="str">
        <x:v>2025-06-01</x:v>
      </x:c>
      <x:c r="M473" s="63" t="str">
        <x:v>2026-06-30</x:v>
      </x:c>
      <x:c r="N473" s="63" t="str">
        <x:v>2026-06-30</x:v>
      </x:c>
      <x:c r="O473" s="63" t="str">
        <x:v>E0</x:v>
      </x:c>
      <x:c r="P473" s="63" t="str">
        <x:v>APPROVED</x:v>
      </x:c>
      <x:c r="Q473" s="64" t="b">
        <x:v>1</x:v>
      </x:c>
      <x:c r="R473" s="63" t="str">
        <x:v>REVENUE_ENGINE, WORKING_CAPITAL_CYCLE</x:v>
      </x:c>
      <x:c r="S473" s="63" t="str">
        <x:v>Syn Bank transaction and relationship simulation</x:v>
      </x:c>
      <x:c r="T473" s="63"/>
      <x:c r="U473" s="63" t="str">
        <x:v>internal://syn-bank/simulation/ltm</x:v>
      </x:c>
      <x:c r="V473" s="63" t="str">
        <x:v>ffa91c6f4f2428755cee8e8c44004609d892068c63f253c444af85c9b1bbbe09</x:v>
      </x:c>
    </x:row>
    <x:row r="474">
      <x:c r="A474" s="63" t="str">
        <x:v>bec:E11:obs:trend:collections</x:v>
      </x:c>
      <x:c r="B474" s="63" t="str">
        <x:v>E11</x:v>
      </x:c>
      <x:c r="C474" s="63" t="str">
        <x:v>bank_observed_collections_yoy_change</x:v>
      </x:c>
      <x:c r="D474" s="63" t="str">
        <x:v>RATIO</x:v>
      </x:c>
      <x:c r="E474" s="63" t="str">
        <x:v>OBSERVED</x:v>
      </x:c>
      <x:c r="F474" s="65"/>
      <x:c r="G474" s="66" t="n">
        <x:v>-0.010959</x:v>
      </x:c>
      <x:c r="H474" s="67"/>
      <x:c r="I474" s="63"/>
      <x:c r="J474" s="63"/>
      <x:c r="K474" s="63" t="str">
        <x:v>ratio</x:v>
      </x:c>
      <x:c r="L474" s="63" t="str">
        <x:v>2025-06-01</x:v>
      </x:c>
      <x:c r="M474" s="63" t="str">
        <x:v>2026-06-30</x:v>
      </x:c>
      <x:c r="N474" s="63" t="str">
        <x:v>2026-06-30</x:v>
      </x:c>
      <x:c r="O474" s="63" t="str">
        <x:v>E0</x:v>
      </x:c>
      <x:c r="P474" s="63" t="str">
        <x:v>APPROVED</x:v>
      </x:c>
      <x:c r="Q474" s="64" t="b">
        <x:v>0</x:v>
      </x:c>
      <x:c r="R474" s="63" t="str">
        <x:v>REVENUE_ENGINE, WORKING_CAPITAL_CYCLE</x:v>
      </x:c>
      <x:c r="S474" s="63" t="str">
        <x:v>Syn Bank transaction and relationship simulation</x:v>
      </x:c>
      <x:c r="T474" s="63"/>
      <x:c r="U474" s="63" t="str">
        <x:v>internal://syn-bank/simulation/ltm</x:v>
      </x:c>
      <x:c r="V474" s="63" t="str">
        <x:v>55438a4b2986e168adab39f4c85260f0041e3800033e6fd91e5c1212f0935977</x:v>
      </x:c>
    </x:row>
    <x:row r="475">
      <x:c r="A475" s="63" t="str">
        <x:v>bec:E11:obs:flow:payments</x:v>
      </x:c>
      <x:c r="B475" s="63" t="str">
        <x:v>E11</x:v>
      </x:c>
      <x:c r="C475" s="63" t="str">
        <x:v>bank_observed_payments_ltm</x:v>
      </x:c>
      <x:c r="D475" s="63" t="str">
        <x:v>MONEY</x:v>
      </x:c>
      <x:c r="E475" s="63" t="str">
        <x:v>OBSERVED</x:v>
      </x:c>
      <x:c r="F475" s="65" t="n">
        <x:v>23988481713.60997</x:v>
      </x:c>
      <x:c r="G475" s="66"/>
      <x:c r="H475" s="67"/>
      <x:c r="I475" s="63"/>
      <x:c r="J475" s="63" t="str">
        <x:v>ZAR</x:v>
      </x:c>
      <x:c r="K475" s="63" t="str">
        <x:v>ZAR</x:v>
      </x:c>
      <x:c r="L475" s="63" t="str">
        <x:v>2025-06-01</x:v>
      </x:c>
      <x:c r="M475" s="63" t="str">
        <x:v>2026-06-30</x:v>
      </x:c>
      <x:c r="N475" s="63" t="str">
        <x:v>2026-06-30</x:v>
      </x:c>
      <x:c r="O475" s="63" t="str">
        <x:v>E0</x:v>
      </x:c>
      <x:c r="P475" s="63" t="str">
        <x:v>APPROVED</x:v>
      </x:c>
      <x:c r="Q475" s="64" t="b">
        <x:v>1</x:v>
      </x:c>
      <x:c r="R475" s="63" t="str">
        <x:v>COST_ENGINE, WORKING_CAPITAL_CYCLE</x:v>
      </x:c>
      <x:c r="S475" s="63" t="str">
        <x:v>Syn Bank transaction and relationship simulation</x:v>
      </x:c>
      <x:c r="T475" s="63"/>
      <x:c r="U475" s="63" t="str">
        <x:v>internal://syn-bank/simulation/ltm</x:v>
      </x:c>
      <x:c r="V475" s="63" t="str">
        <x:v>3eae6bcb78a8205b2e395bb15b15e3a362c804ea4392d4ac32bb81f9dbb972d6</x:v>
      </x:c>
    </x:row>
    <x:row r="476">
      <x:c r="A476" s="63" t="str">
        <x:v>bec:E11:obs:trend:payments</x:v>
      </x:c>
      <x:c r="B476" s="63" t="str">
        <x:v>E11</x:v>
      </x:c>
      <x:c r="C476" s="63" t="str">
        <x:v>bank_observed_payments_yoy_change</x:v>
      </x:c>
      <x:c r="D476" s="63" t="str">
        <x:v>RATIO</x:v>
      </x:c>
      <x:c r="E476" s="63" t="str">
        <x:v>OBSERVED</x:v>
      </x:c>
      <x:c r="F476" s="65"/>
      <x:c r="G476" s="66" t="n">
        <x:v>-0.010466</x:v>
      </x:c>
      <x:c r="H476" s="67"/>
      <x:c r="I476" s="63"/>
      <x:c r="J476" s="63"/>
      <x:c r="K476" s="63" t="str">
        <x:v>ratio</x:v>
      </x:c>
      <x:c r="L476" s="63" t="str">
        <x:v>2025-06-01</x:v>
      </x:c>
      <x:c r="M476" s="63" t="str">
        <x:v>2026-06-30</x:v>
      </x:c>
      <x:c r="N476" s="63" t="str">
        <x:v>2026-06-30</x:v>
      </x:c>
      <x:c r="O476" s="63" t="str">
        <x:v>E0</x:v>
      </x:c>
      <x:c r="P476" s="63" t="str">
        <x:v>APPROVED</x:v>
      </x:c>
      <x:c r="Q476" s="64" t="b">
        <x:v>0</x:v>
      </x:c>
      <x:c r="R476" s="63" t="str">
        <x:v>COST_ENGINE, WORKING_CAPITAL_CYCLE</x:v>
      </x:c>
      <x:c r="S476" s="63" t="str">
        <x:v>Syn Bank transaction and relationship simulation</x:v>
      </x:c>
      <x:c r="T476" s="63"/>
      <x:c r="U476" s="63" t="str">
        <x:v>internal://syn-bank/simulation/ltm</x:v>
      </x:c>
      <x:c r="V476" s="63" t="str">
        <x:v>57172a111b648396ae4d4c7370757dc8ae79ed2b57b4a3cd12de15fc6ab6f9aa</x:v>
      </x:c>
    </x:row>
    <x:row r="477">
      <x:c r="A477" s="63" t="str">
        <x:v>bec:E11:obs:flow:liquidity</x:v>
      </x:c>
      <x:c r="B477" s="63" t="str">
        <x:v>E11</x:v>
      </x:c>
      <x:c r="C477" s="63" t="str">
        <x:v>bank_observed_liquidity_ltm</x:v>
      </x:c>
      <x:c r="D477" s="63" t="str">
        <x:v>MONEY</x:v>
      </x:c>
      <x:c r="E477" s="63" t="str">
        <x:v>OBSERVED</x:v>
      </x:c>
      <x:c r="F477" s="65" t="n">
        <x:v>16661048006.124994</x:v>
      </x:c>
      <x:c r="G477" s="66"/>
      <x:c r="H477" s="67"/>
      <x:c r="I477" s="63"/>
      <x:c r="J477" s="63" t="str">
        <x:v>ZAR</x:v>
      </x:c>
      <x:c r="K477" s="63" t="str">
        <x:v>ZAR</x:v>
      </x:c>
      <x:c r="L477" s="63" t="str">
        <x:v>2025-06-01</x:v>
      </x:c>
      <x:c r="M477" s="63" t="str">
        <x:v>2026-06-30</x:v>
      </x:c>
      <x:c r="N477" s="63" t="str">
        <x:v>2026-06-30</x:v>
      </x:c>
      <x:c r="O477" s="63" t="str">
        <x:v>E0</x:v>
      </x:c>
      <x:c r="P477" s="63" t="str">
        <x:v>APPROVED</x:v>
      </x:c>
      <x:c r="Q477" s="64" t="b">
        <x:v>1</x:v>
      </x:c>
      <x:c r="R477" s="63" t="str">
        <x:v>LIQUIDITY_AND_BUFFER</x:v>
      </x:c>
      <x:c r="S477" s="63" t="str">
        <x:v>Syn Bank transaction and relationship simulation</x:v>
      </x:c>
      <x:c r="T477" s="63"/>
      <x:c r="U477" s="63" t="str">
        <x:v>internal://syn-bank/simulation/ltm</x:v>
      </x:c>
      <x:c r="V477" s="63" t="str">
        <x:v>0c4d763342d530a375801a0e869082cbe862b64292d69541c8050bbe18aa7302</x:v>
      </x:c>
    </x:row>
    <x:row r="478">
      <x:c r="A478" s="63" t="str">
        <x:v>bec:E11:obs:trend:liquidity</x:v>
      </x:c>
      <x:c r="B478" s="63" t="str">
        <x:v>E11</x:v>
      </x:c>
      <x:c r="C478" s="63" t="str">
        <x:v>bank_observed_liquidity_yoy_change</x:v>
      </x:c>
      <x:c r="D478" s="63" t="str">
        <x:v>RATIO</x:v>
      </x:c>
      <x:c r="E478" s="63" t="str">
        <x:v>OBSERVED</x:v>
      </x:c>
      <x:c r="F478" s="65"/>
      <x:c r="G478" s="66" t="n">
        <x:v>-0.010604</x:v>
      </x:c>
      <x:c r="H478" s="67"/>
      <x:c r="I478" s="63"/>
      <x:c r="J478" s="63"/>
      <x:c r="K478" s="63" t="str">
        <x:v>ratio</x:v>
      </x:c>
      <x:c r="L478" s="63" t="str">
        <x:v>2025-06-01</x:v>
      </x:c>
      <x:c r="M478" s="63" t="str">
        <x:v>2026-06-30</x:v>
      </x:c>
      <x:c r="N478" s="63" t="str">
        <x:v>2026-06-30</x:v>
      </x:c>
      <x:c r="O478" s="63" t="str">
        <x:v>E0</x:v>
      </x:c>
      <x:c r="P478" s="63" t="str">
        <x:v>APPROVED</x:v>
      </x:c>
      <x:c r="Q478" s="64" t="b">
        <x:v>0</x:v>
      </x:c>
      <x:c r="R478" s="63" t="str">
        <x:v>LIQUIDITY_AND_BUFFER</x:v>
      </x:c>
      <x:c r="S478" s="63" t="str">
        <x:v>Syn Bank transaction and relationship simulation</x:v>
      </x:c>
      <x:c r="T478" s="63"/>
      <x:c r="U478" s="63" t="str">
        <x:v>internal://syn-bank/simulation/ltm</x:v>
      </x:c>
      <x:c r="V478" s="63" t="str">
        <x:v>a95be4b7ff13f09a24b5da1b6316e1708b49eb6cecc236bc155c3850b6109ce1</x:v>
      </x:c>
    </x:row>
    <x:row r="479">
      <x:c r="A479" s="63" t="str">
        <x:v>bec:E11:obs:flow:cross-border-fx</x:v>
      </x:c>
      <x:c r="B479" s="63" t="str">
        <x:v>E11</x:v>
      </x:c>
      <x:c r="C479" s="63" t="str">
        <x:v>bank_observed_cross_border_fx_ltm</x:v>
      </x:c>
      <x:c r="D479" s="63" t="str">
        <x:v>MONEY</x:v>
      </x:c>
      <x:c r="E479" s="63" t="str">
        <x:v>OBSERVED</x:v>
      </x:c>
      <x:c r="F479" s="65" t="n">
        <x:v>6634085230.000002</x:v>
      </x:c>
      <x:c r="G479" s="66"/>
      <x:c r="H479" s="67"/>
      <x:c r="I479" s="63"/>
      <x:c r="J479" s="63" t="str">
        <x:v>ZAR</x:v>
      </x:c>
      <x:c r="K479" s="63" t="str">
        <x:v>ZAR</x:v>
      </x:c>
      <x:c r="L479" s="63" t="str">
        <x:v>2025-06-01</x:v>
      </x:c>
      <x:c r="M479" s="63" t="str">
        <x:v>2026-06-30</x:v>
      </x:c>
      <x:c r="N479" s="63" t="str">
        <x:v>2026-06-30</x:v>
      </x:c>
      <x:c r="O479" s="63" t="str">
        <x:v>E0</x:v>
      </x:c>
      <x:c r="P479" s="63" t="str">
        <x:v>APPROVED</x:v>
      </x:c>
      <x:c r="Q479" s="64" t="b">
        <x:v>1</x:v>
      </x:c>
      <x:c r="R479" s="63" t="str">
        <x:v>CURRENCY_AND_COMMODITY_EXPOSURE, GEOGRAPHIC_EXPOSURE</x:v>
      </x:c>
      <x:c r="S479" s="63" t="str">
        <x:v>Syn Bank transaction and relationship simulation</x:v>
      </x:c>
      <x:c r="T479" s="63"/>
      <x:c r="U479" s="63" t="str">
        <x:v>internal://syn-bank/simulation/ltm</x:v>
      </x:c>
      <x:c r="V479" s="63" t="str">
        <x:v>d57f8172acbe022f07fba8a10d91ad8dc437629156e9d14a24c93ab4f8c20958</x:v>
      </x:c>
    </x:row>
    <x:row r="480">
      <x:c r="A480" s="63" t="str">
        <x:v>bec:E11:obs:trend:cross-border-fx</x:v>
      </x:c>
      <x:c r="B480" s="63" t="str">
        <x:v>E11</x:v>
      </x:c>
      <x:c r="C480" s="63" t="str">
        <x:v>bank_observed_cross_border_fx_yoy_change</x:v>
      </x:c>
      <x:c r="D480" s="63" t="str">
        <x:v>RATIO</x:v>
      </x:c>
      <x:c r="E480" s="63" t="str">
        <x:v>OBSERVED</x:v>
      </x:c>
      <x:c r="F480" s="65"/>
      <x:c r="G480" s="66" t="n">
        <x:v>-0.046978</x:v>
      </x:c>
      <x:c r="H480" s="67"/>
      <x:c r="I480" s="63"/>
      <x:c r="J480" s="63"/>
      <x:c r="K480" s="63" t="str">
        <x:v>ratio</x:v>
      </x:c>
      <x:c r="L480" s="63" t="str">
        <x:v>2025-06-01</x:v>
      </x:c>
      <x:c r="M480" s="63" t="str">
        <x:v>2026-06-30</x:v>
      </x:c>
      <x:c r="N480" s="63" t="str">
        <x:v>2026-06-30</x:v>
      </x:c>
      <x:c r="O480" s="63" t="str">
        <x:v>E0</x:v>
      </x:c>
      <x:c r="P480" s="63" t="str">
        <x:v>APPROVED</x:v>
      </x:c>
      <x:c r="Q480" s="64" t="b">
        <x:v>0</x:v>
      </x:c>
      <x:c r="R480" s="63" t="str">
        <x:v>CURRENCY_AND_COMMODITY_EXPOSURE, GEOGRAPHIC_EXPOSURE</x:v>
      </x:c>
      <x:c r="S480" s="63" t="str">
        <x:v>Syn Bank transaction and relationship simulation</x:v>
      </x:c>
      <x:c r="T480" s="63"/>
      <x:c r="U480" s="63" t="str">
        <x:v>internal://syn-bank/simulation/ltm</x:v>
      </x:c>
      <x:c r="V480" s="63" t="str">
        <x:v>8990bbaacf35fe016b9f3253e6d4c4f7a06d75d12dfd08e96ef99ecc296576f8</x:v>
      </x:c>
    </x:row>
    <x:row r="481">
      <x:c r="A481" s="63" t="str">
        <x:v>bec:E11:obs:flow:trade-finance</x:v>
      </x:c>
      <x:c r="B481" s="63" t="str">
        <x:v>E11</x:v>
      </x:c>
      <x:c r="C481" s="63" t="str">
        <x:v>bank_observed_trade_finance_ltm</x:v>
      </x:c>
      <x:c r="D481" s="63" t="str">
        <x:v>MONEY</x:v>
      </x:c>
      <x:c r="E481" s="63" t="str">
        <x:v>OBSERVED</x:v>
      </x:c>
      <x:c r="F481" s="65" t="n">
        <x:v>1533077406.45</x:v>
      </x:c>
      <x:c r="G481" s="66"/>
      <x:c r="H481" s="67"/>
      <x:c r="I481" s="63"/>
      <x:c r="J481" s="63" t="str">
        <x:v>ZAR</x:v>
      </x:c>
      <x:c r="K481" s="63" t="str">
        <x:v>ZAR</x:v>
      </x:c>
      <x:c r="L481" s="63" t="str">
        <x:v>2025-06-01</x:v>
      </x:c>
      <x:c r="M481" s="63" t="str">
        <x:v>2026-06-30</x:v>
      </x:c>
      <x:c r="N481" s="63" t="str">
        <x:v>2026-06-30</x:v>
      </x:c>
      <x:c r="O481" s="63" t="str">
        <x:v>E0</x:v>
      </x:c>
      <x:c r="P481" s="63" t="str">
        <x:v>APPROVED</x:v>
      </x:c>
      <x:c r="Q481" s="64" t="b">
        <x:v>1</x:v>
      </x:c>
      <x:c r="R481" s="63" t="str">
        <x:v>WORKING_CAPITAL_CYCLE, OPERATING_MODEL</x:v>
      </x:c>
      <x:c r="S481" s="63" t="str">
        <x:v>Syn Bank transaction and relationship simulation</x:v>
      </x:c>
      <x:c r="T481" s="63"/>
      <x:c r="U481" s="63" t="str">
        <x:v>internal://syn-bank/simulation/ltm</x:v>
      </x:c>
      <x:c r="V481" s="63" t="str">
        <x:v>243f3f8b9eacb9a37e731f357be3c49e4b209ec1f23b55d5d2e57852602370ec</x:v>
      </x:c>
    </x:row>
    <x:row r="482">
      <x:c r="A482" s="63" t="str">
        <x:v>bec:E11:obs:trend:trade-finance</x:v>
      </x:c>
      <x:c r="B482" s="63" t="str">
        <x:v>E11</x:v>
      </x:c>
      <x:c r="C482" s="63" t="str">
        <x:v>bank_observed_trade_finance_yoy_change</x:v>
      </x:c>
      <x:c r="D482" s="63" t="str">
        <x:v>RATIO</x:v>
      </x:c>
      <x:c r="E482" s="63" t="str">
        <x:v>OBSERVED</x:v>
      </x:c>
      <x:c r="F482" s="65"/>
      <x:c r="G482" s="66" t="n">
        <x:v>0.035218</x:v>
      </x:c>
      <x:c r="H482" s="67"/>
      <x:c r="I482" s="63"/>
      <x:c r="J482" s="63"/>
      <x:c r="K482" s="63" t="str">
        <x:v>ratio</x:v>
      </x:c>
      <x:c r="L482" s="63" t="str">
        <x:v>2025-06-01</x:v>
      </x:c>
      <x:c r="M482" s="63" t="str">
        <x:v>2026-06-30</x:v>
      </x:c>
      <x:c r="N482" s="63" t="str">
        <x:v>2026-06-30</x:v>
      </x:c>
      <x:c r="O482" s="63" t="str">
        <x:v>E0</x:v>
      </x:c>
      <x:c r="P482" s="63" t="str">
        <x:v>APPROVED</x:v>
      </x:c>
      <x:c r="Q482" s="64" t="b">
        <x:v>0</x:v>
      </x:c>
      <x:c r="R482" s="63" t="str">
        <x:v>WORKING_CAPITAL_CYCLE, OPERATING_MODEL</x:v>
      </x:c>
      <x:c r="S482" s="63" t="str">
        <x:v>Syn Bank transaction and relationship simulation</x:v>
      </x:c>
      <x:c r="T482" s="63"/>
      <x:c r="U482" s="63" t="str">
        <x:v>internal://syn-bank/simulation/ltm</x:v>
      </x:c>
      <x:c r="V482" s="63" t="str">
        <x:v>2411041ee19b141e8b6f594cc7d2d739cee03cf692bf5ab7c4f7819983a1a361</x:v>
      </x:c>
    </x:row>
    <x:row r="483">
      <x:c r="A483" s="63" t="str">
        <x:v>bec:E11:obs:corridor:0</x:v>
      </x:c>
      <x:c r="B483" s="63" t="str">
        <x:v>E11</x:v>
      </x:c>
      <x:c r="C483" s="63" t="str">
        <x:v>bank_observed_corridor_value</x:v>
      </x:c>
      <x:c r="D483" s="63" t="str">
        <x:v>MONEY</x:v>
      </x:c>
      <x:c r="E483" s="63" t="str">
        <x:v>OBSERVED</x:v>
      </x:c>
      <x:c r="F483" s="65" t="n">
        <x:v>1602256298.5599973</x:v>
      </x:c>
      <x:c r="G483" s="66"/>
      <x:c r="H483" s="67"/>
      <x:c r="I483" s="63"/>
      <x:c r="J483" s="63" t="str">
        <x:v>ZAR</x:v>
      </x:c>
      <x:c r="K483" s="63" t="str">
        <x:v>ZAR</x:v>
      </x:c>
      <x:c r="L483" s="63" t="str">
        <x:v>2025-06-01</x:v>
      </x:c>
      <x:c r="M483" s="63" t="str">
        <x:v>2026-06-30</x:v>
      </x:c>
      <x:c r="N483" s="63" t="str">
        <x:v>2026-06-30</x:v>
      </x:c>
      <x:c r="O483" s="63" t="str">
        <x:v>E0</x:v>
      </x:c>
      <x:c r="P483" s="63" t="str">
        <x:v>APPROVED</x:v>
      </x:c>
      <x:c r="Q483" s="64" t="b">
        <x:v>1</x:v>
      </x:c>
      <x:c r="R483" s="63" t="str">
        <x:v>GEOGRAPHIC_EXPOSURE</x:v>
      </x:c>
      <x:c r="S483" s="63" t="str">
        <x:v>Syn Bank transaction and relationship simulation</x:v>
      </x:c>
      <x:c r="T483" s="63"/>
      <x:c r="U483" s="63" t="str">
        <x:v>internal://syn-bank/simulation/ltm</x:v>
      </x:c>
      <x:c r="V483" s="63" t="str">
        <x:v>3bf6be56dabfbb041e981629636ee059dd7c0282b06cb6f0ae37be11581e9ab5</x:v>
      </x:c>
    </x:row>
    <x:row r="484">
      <x:c r="A484" s="63" t="str">
        <x:v>bec:E11:obs:corridor-name:0</x:v>
      </x:c>
      <x:c r="B484" s="63" t="str">
        <x:v>E11</x:v>
      </x:c>
      <x:c r="C484" s="63" t="str">
        <x:v>bank_observed_corridor_country</x:v>
      </x:c>
      <x:c r="D484" s="63" t="str">
        <x:v>CATEGORICAL</x:v>
      </x:c>
      <x:c r="E484" s="63" t="str">
        <x:v>OBSERVED</x:v>
      </x:c>
      <x:c r="F484" s="65"/>
      <x:c r="G484" s="66"/>
      <x:c r="H484" s="67"/>
      <x:c r="I484" s="63" t="str">
        <x:v>Zambia</x:v>
      </x:c>
      <x:c r="J484" s="63"/>
      <x:c r="K484" s="63" t="str">
        <x:v>country</x:v>
      </x:c>
      <x:c r="L484" s="63" t="str">
        <x:v>2025-06-01</x:v>
      </x:c>
      <x:c r="M484" s="63" t="str">
        <x:v>2026-06-30</x:v>
      </x:c>
      <x:c r="N484" s="63" t="str">
        <x:v>2026-06-30</x:v>
      </x:c>
      <x:c r="O484" s="63" t="str">
        <x:v>E0</x:v>
      </x:c>
      <x:c r="P484" s="63" t="str">
        <x:v>APPROVED</x:v>
      </x:c>
      <x:c r="Q484" s="64" t="b">
        <x:v>0</x:v>
      </x:c>
      <x:c r="R484" s="63" t="str">
        <x:v>GEOGRAPHIC_EXPOSURE</x:v>
      </x:c>
      <x:c r="S484" s="63" t="str">
        <x:v>Syn Bank transaction and relationship simulation</x:v>
      </x:c>
      <x:c r="T484" s="63"/>
      <x:c r="U484" s="63" t="str">
        <x:v>internal://syn-bank/simulation/ltm</x:v>
      </x:c>
      <x:c r="V484" s="63" t="str">
        <x:v>679af132d48a36928b6d31dd9380504ce5144a03fd5cdd438e70e893d1a606c0</x:v>
      </x:c>
    </x:row>
    <x:row r="485">
      <x:c r="A485" s="63" t="str">
        <x:v>bec:E11:obs:corridor:1</x:v>
      </x:c>
      <x:c r="B485" s="63" t="str">
        <x:v>E11</x:v>
      </x:c>
      <x:c r="C485" s="63" t="str">
        <x:v>bank_observed_corridor_value</x:v>
      </x:c>
      <x:c r="D485" s="63" t="str">
        <x:v>MONEY</x:v>
      </x:c>
      <x:c r="E485" s="63" t="str">
        <x:v>OBSERVED</x:v>
      </x:c>
      <x:c r="F485" s="65" t="n">
        <x:v>1550260768.659999</x:v>
      </x:c>
      <x:c r="G485" s="66"/>
      <x:c r="H485" s="67"/>
      <x:c r="I485" s="63"/>
      <x:c r="J485" s="63" t="str">
        <x:v>ZAR</x:v>
      </x:c>
      <x:c r="K485" s="63" t="str">
        <x:v>ZAR</x:v>
      </x:c>
      <x:c r="L485" s="63" t="str">
        <x:v>2025-06-01</x:v>
      </x:c>
      <x:c r="M485" s="63" t="str">
        <x:v>2026-06-30</x:v>
      </x:c>
      <x:c r="N485" s="63" t="str">
        <x:v>2026-06-30</x:v>
      </x:c>
      <x:c r="O485" s="63" t="str">
        <x:v>E0</x:v>
      </x:c>
      <x:c r="P485" s="63" t="str">
        <x:v>APPROVED</x:v>
      </x:c>
      <x:c r="Q485" s="64" t="b">
        <x:v>0</x:v>
      </x:c>
      <x:c r="R485" s="63" t="str">
        <x:v>GEOGRAPHIC_EXPOSURE</x:v>
      </x:c>
      <x:c r="S485" s="63" t="str">
        <x:v>Syn Bank transaction and relationship simulation</x:v>
      </x:c>
      <x:c r="T485" s="63"/>
      <x:c r="U485" s="63" t="str">
        <x:v>internal://syn-bank/simulation/ltm</x:v>
      </x:c>
      <x:c r="V485" s="63" t="str">
        <x:v>b4a79ae63e96a501be5257e3a927b62c9b205f7609c1d8dae3442e040069f570</x:v>
      </x:c>
    </x:row>
    <x:row r="486">
      <x:c r="A486" s="63" t="str">
        <x:v>bec:E11:obs:corridor-name:1</x:v>
      </x:c>
      <x:c r="B486" s="63" t="str">
        <x:v>E11</x:v>
      </x:c>
      <x:c r="C486" s="63" t="str">
        <x:v>bank_observed_corridor_country</x:v>
      </x:c>
      <x:c r="D486" s="63" t="str">
        <x:v>CATEGORICAL</x:v>
      </x:c>
      <x:c r="E486" s="63" t="str">
        <x:v>OBSERVED</x:v>
      </x:c>
      <x:c r="F486" s="65"/>
      <x:c r="G486" s="66"/>
      <x:c r="H486" s="67"/>
      <x:c r="I486" s="63" t="str">
        <x:v>Lesotho</x:v>
      </x:c>
      <x:c r="J486" s="63"/>
      <x:c r="K486" s="63" t="str">
        <x:v>country</x:v>
      </x:c>
      <x:c r="L486" s="63" t="str">
        <x:v>2025-06-01</x:v>
      </x:c>
      <x:c r="M486" s="63" t="str">
        <x:v>2026-06-30</x:v>
      </x:c>
      <x:c r="N486" s="63" t="str">
        <x:v>2026-06-30</x:v>
      </x:c>
      <x:c r="O486" s="63" t="str">
        <x:v>E0</x:v>
      </x:c>
      <x:c r="P486" s="63" t="str">
        <x:v>APPROVED</x:v>
      </x:c>
      <x:c r="Q486" s="64" t="b">
        <x:v>0</x:v>
      </x:c>
      <x:c r="R486" s="63" t="str">
        <x:v>GEOGRAPHIC_EXPOSURE</x:v>
      </x:c>
      <x:c r="S486" s="63" t="str">
        <x:v>Syn Bank transaction and relationship simulation</x:v>
      </x:c>
      <x:c r="T486" s="63"/>
      <x:c r="U486" s="63" t="str">
        <x:v>internal://syn-bank/simulation/ltm</x:v>
      </x:c>
      <x:c r="V486" s="63" t="str">
        <x:v>d519ade2972132b536a1802fa334611f60b89cbe0a8d3601db47f61eeb1e7dbd</x:v>
      </x:c>
    </x:row>
    <x:row r="487">
      <x:c r="A487" s="63" t="str">
        <x:v>bec:E11:obs:corridor:2</x:v>
      </x:c>
      <x:c r="B487" s="63" t="str">
        <x:v>E11</x:v>
      </x:c>
      <x:c r="C487" s="63" t="str">
        <x:v>bank_observed_corridor_value</x:v>
      </x:c>
      <x:c r="D487" s="63" t="str">
        <x:v>MONEY</x:v>
      </x:c>
      <x:c r="E487" s="63" t="str">
        <x:v>OBSERVED</x:v>
      </x:c>
      <x:c r="F487" s="65" t="n">
        <x:v>1511753782.9000056</x:v>
      </x:c>
      <x:c r="G487" s="66"/>
      <x:c r="H487" s="67"/>
      <x:c r="I487" s="63"/>
      <x:c r="J487" s="63" t="str">
        <x:v>ZAR</x:v>
      </x:c>
      <x:c r="K487" s="63" t="str">
        <x:v>ZAR</x:v>
      </x:c>
      <x:c r="L487" s="63" t="str">
        <x:v>2025-06-01</x:v>
      </x:c>
      <x:c r="M487" s="63" t="str">
        <x:v>2026-06-30</x:v>
      </x:c>
      <x:c r="N487" s="63" t="str">
        <x:v>2026-06-30</x:v>
      </x:c>
      <x:c r="O487" s="63" t="str">
        <x:v>E0</x:v>
      </x:c>
      <x:c r="P487" s="63" t="str">
        <x:v>APPROVED</x:v>
      </x:c>
      <x:c r="Q487" s="64" t="b">
        <x:v>0</x:v>
      </x:c>
      <x:c r="R487" s="63" t="str">
        <x:v>GEOGRAPHIC_EXPOSURE</x:v>
      </x:c>
      <x:c r="S487" s="63" t="str">
        <x:v>Syn Bank transaction and relationship simulation</x:v>
      </x:c>
      <x:c r="T487" s="63"/>
      <x:c r="U487" s="63" t="str">
        <x:v>internal://syn-bank/simulation/ltm</x:v>
      </x:c>
      <x:c r="V487" s="63" t="str">
        <x:v>d02ff82cdcbc349796d05a9e2b5c87e45fbb58cf4b6494bd561e49031a26a6a1</x:v>
      </x:c>
    </x:row>
    <x:row r="488">
      <x:c r="A488" s="63" t="str">
        <x:v>bec:E11:obs:corridor-name:2</x:v>
      </x:c>
      <x:c r="B488" s="63" t="str">
        <x:v>E11</x:v>
      </x:c>
      <x:c r="C488" s="63" t="str">
        <x:v>bank_observed_corridor_country</x:v>
      </x:c>
      <x:c r="D488" s="63" t="str">
        <x:v>CATEGORICAL</x:v>
      </x:c>
      <x:c r="E488" s="63" t="str">
        <x:v>OBSERVED</x:v>
      </x:c>
      <x:c r="F488" s="65"/>
      <x:c r="G488" s="66"/>
      <x:c r="H488" s="67"/>
      <x:c r="I488" s="63" t="str">
        <x:v>Malawi</x:v>
      </x:c>
      <x:c r="J488" s="63"/>
      <x:c r="K488" s="63" t="str">
        <x:v>country</x:v>
      </x:c>
      <x:c r="L488" s="63" t="str">
        <x:v>2025-06-01</x:v>
      </x:c>
      <x:c r="M488" s="63" t="str">
        <x:v>2026-06-30</x:v>
      </x:c>
      <x:c r="N488" s="63" t="str">
        <x:v>2026-06-30</x:v>
      </x:c>
      <x:c r="O488" s="63" t="str">
        <x:v>E0</x:v>
      </x:c>
      <x:c r="P488" s="63" t="str">
        <x:v>APPROVED</x:v>
      </x:c>
      <x:c r="Q488" s="64" t="b">
        <x:v>0</x:v>
      </x:c>
      <x:c r="R488" s="63" t="str">
        <x:v>GEOGRAPHIC_EXPOSURE</x:v>
      </x:c>
      <x:c r="S488" s="63" t="str">
        <x:v>Syn Bank transaction and relationship simulation</x:v>
      </x:c>
      <x:c r="T488" s="63"/>
      <x:c r="U488" s="63" t="str">
        <x:v>internal://syn-bank/simulation/ltm</x:v>
      </x:c>
      <x:c r="V488" s="63" t="str">
        <x:v>d690f4285144f2af5d64d812cb40f4547ecb37f813c785fe239c8fb5534b21cf</x:v>
      </x:c>
    </x:row>
    <x:row r="489">
      <x:c r="A489" s="63" t="str">
        <x:v>bec:E11:obs:currency:0</x:v>
      </x:c>
      <x:c r="B489" s="63" t="str">
        <x:v>E11</x:v>
      </x:c>
      <x:c r="C489" s="63" t="str">
        <x:v>bank_observed_currency_pair_value</x:v>
      </x:c>
      <x:c r="D489" s="63" t="str">
        <x:v>MONEY</x:v>
      </x:c>
      <x:c r="E489" s="63" t="str">
        <x:v>OBSERVED</x:v>
      </x:c>
      <x:c r="F489" s="65" t="n">
        <x:v>4025508463.6600065</x:v>
      </x:c>
      <x:c r="G489" s="66"/>
      <x:c r="H489" s="67"/>
      <x:c r="I489" s="63"/>
      <x:c r="J489" s="63" t="str">
        <x:v>ZAR</x:v>
      </x:c>
      <x:c r="K489" s="63" t="str">
        <x:v>ZAR</x:v>
      </x:c>
      <x:c r="L489" s="63" t="str">
        <x:v>2025-06-01</x:v>
      </x:c>
      <x:c r="M489" s="63" t="str">
        <x:v>2026-06-30</x:v>
      </x:c>
      <x:c r="N489" s="63" t="str">
        <x:v>2026-06-30</x:v>
      </x:c>
      <x:c r="O489" s="63" t="str">
        <x:v>E0</x:v>
      </x:c>
      <x:c r="P489" s="63" t="str">
        <x:v>APPROVED</x:v>
      </x:c>
      <x:c r="Q489" s="64" t="b">
        <x:v>1</x:v>
      </x:c>
      <x:c r="R489" s="63" t="str">
        <x:v>CURRENCY_AND_COMMODITY_EXPOSURE</x:v>
      </x:c>
      <x:c r="S489" s="63" t="str">
        <x:v>Syn Bank transaction and relationship simulation</x:v>
      </x:c>
      <x:c r="T489" s="63"/>
      <x:c r="U489" s="63" t="str">
        <x:v>internal://syn-bank/simulation/ltm</x:v>
      </x:c>
      <x:c r="V489" s="63" t="str">
        <x:v>d61b09b4f6bcb1c644a193cb466da2de0eefd83489534541de81587c30a33035</x:v>
      </x:c>
    </x:row>
    <x:row r="490">
      <x:c r="A490" s="63" t="str">
        <x:v>bec:E11:obs:currency-pair:0</x:v>
      </x:c>
      <x:c r="B490" s="63" t="str">
        <x:v>E11</x:v>
      </x:c>
      <x:c r="C490" s="63" t="str">
        <x:v>bank_observed_currency_pair</x:v>
      </x:c>
      <x:c r="D490" s="63" t="str">
        <x:v>CATEGORICAL</x:v>
      </x:c>
      <x:c r="E490" s="63" t="str">
        <x:v>OBSERVED</x:v>
      </x:c>
      <x:c r="F490" s="65"/>
      <x:c r="G490" s="66"/>
      <x:c r="H490" s="67"/>
      <x:c r="I490" s="63" t="str">
        <x:v>CNY/ZAR</x:v>
      </x:c>
      <x:c r="J490" s="63"/>
      <x:c r="K490" s="63" t="str">
        <x:v>currency_pair</x:v>
      </x:c>
      <x:c r="L490" s="63" t="str">
        <x:v>2025-06-01</x:v>
      </x:c>
      <x:c r="M490" s="63" t="str">
        <x:v>2026-06-30</x:v>
      </x:c>
      <x:c r="N490" s="63" t="str">
        <x:v>2026-06-30</x:v>
      </x:c>
      <x:c r="O490" s="63" t="str">
        <x:v>E0</x:v>
      </x:c>
      <x:c r="P490" s="63" t="str">
        <x:v>APPROVED</x:v>
      </x:c>
      <x:c r="Q490" s="64" t="b">
        <x:v>0</x:v>
      </x:c>
      <x:c r="R490" s="63" t="str">
        <x:v>CURRENCY_AND_COMMODITY_EXPOSURE</x:v>
      </x:c>
      <x:c r="S490" s="63" t="str">
        <x:v>Syn Bank transaction and relationship simulation</x:v>
      </x:c>
      <x:c r="T490" s="63"/>
      <x:c r="U490" s="63" t="str">
        <x:v>internal://syn-bank/simulation/ltm</x:v>
      </x:c>
      <x:c r="V490" s="63" t="str">
        <x:v>3133108ec08978e3fdda7a30f77ebbeb29f0eaf228f37cf6661d8672679e44ca</x:v>
      </x:c>
    </x:row>
    <x:row r="491">
      <x:c r="A491" s="63" t="str">
        <x:v>bec:E11:obs:currency:1</x:v>
      </x:c>
      <x:c r="B491" s="63" t="str">
        <x:v>E11</x:v>
      </x:c>
      <x:c r="C491" s="63" t="str">
        <x:v>bank_observed_currency_pair_value</x:v>
      </x:c>
      <x:c r="D491" s="63" t="str">
        <x:v>MONEY</x:v>
      </x:c>
      <x:c r="E491" s="63" t="str">
        <x:v>OBSERVED</x:v>
      </x:c>
      <x:c r="F491" s="65" t="n">
        <x:v>4023432169.7100015</x:v>
      </x:c>
      <x:c r="G491" s="66"/>
      <x:c r="H491" s="67"/>
      <x:c r="I491" s="63"/>
      <x:c r="J491" s="63" t="str">
        <x:v>ZAR</x:v>
      </x:c>
      <x:c r="K491" s="63" t="str">
        <x:v>ZAR</x:v>
      </x:c>
      <x:c r="L491" s="63" t="str">
        <x:v>2025-06-01</x:v>
      </x:c>
      <x:c r="M491" s="63" t="str">
        <x:v>2026-06-30</x:v>
      </x:c>
      <x:c r="N491" s="63" t="str">
        <x:v>2026-06-30</x:v>
      </x:c>
      <x:c r="O491" s="63" t="str">
        <x:v>E0</x:v>
      </x:c>
      <x:c r="P491" s="63" t="str">
        <x:v>APPROVED</x:v>
      </x:c>
      <x:c r="Q491" s="64" t="b">
        <x:v>0</x:v>
      </x:c>
      <x:c r="R491" s="63" t="str">
        <x:v>CURRENCY_AND_COMMODITY_EXPOSURE</x:v>
      </x:c>
      <x:c r="S491" s="63" t="str">
        <x:v>Syn Bank transaction and relationship simulation</x:v>
      </x:c>
      <x:c r="T491" s="63"/>
      <x:c r="U491" s="63" t="str">
        <x:v>internal://syn-bank/simulation/ltm</x:v>
      </x:c>
      <x:c r="V491" s="63" t="str">
        <x:v>ea06b968872454acda77b2c95d0871ed1af95ec015304078b6a3d7bed6bc9b3d</x:v>
      </x:c>
    </x:row>
    <x:row r="492">
      <x:c r="A492" s="63" t="str">
        <x:v>bec:E11:obs:currency-pair:1</x:v>
      </x:c>
      <x:c r="B492" s="63" t="str">
        <x:v>E11</x:v>
      </x:c>
      <x:c r="C492" s="63" t="str">
        <x:v>bank_observed_currency_pair</x:v>
      </x:c>
      <x:c r="D492" s="63" t="str">
        <x:v>CATEGORICAL</x:v>
      </x:c>
      <x:c r="E492" s="63" t="str">
        <x:v>OBSERVED</x:v>
      </x:c>
      <x:c r="F492" s="65"/>
      <x:c r="G492" s="66"/>
      <x:c r="H492" s="67"/>
      <x:c r="I492" s="63" t="str">
        <x:v>EUR/ZAR</x:v>
      </x:c>
      <x:c r="J492" s="63"/>
      <x:c r="K492" s="63" t="str">
        <x:v>currency_pair</x:v>
      </x:c>
      <x:c r="L492" s="63" t="str">
        <x:v>2025-06-01</x:v>
      </x:c>
      <x:c r="M492" s="63" t="str">
        <x:v>2026-06-30</x:v>
      </x:c>
      <x:c r="N492" s="63" t="str">
        <x:v>2026-06-30</x:v>
      </x:c>
      <x:c r="O492" s="63" t="str">
        <x:v>E0</x:v>
      </x:c>
      <x:c r="P492" s="63" t="str">
        <x:v>APPROVED</x:v>
      </x:c>
      <x:c r="Q492" s="64" t="b">
        <x:v>0</x:v>
      </x:c>
      <x:c r="R492" s="63" t="str">
        <x:v>CURRENCY_AND_COMMODITY_EXPOSURE</x:v>
      </x:c>
      <x:c r="S492" s="63" t="str">
        <x:v>Syn Bank transaction and relationship simulation</x:v>
      </x:c>
      <x:c r="T492" s="63"/>
      <x:c r="U492" s="63" t="str">
        <x:v>internal://syn-bank/simulation/ltm</x:v>
      </x:c>
      <x:c r="V492" s="63" t="str">
        <x:v>234148855e41214a481c425d41413251f80282f2617a06893e9544d05ba78118</x:v>
      </x:c>
    </x:row>
    <x:row r="493">
      <x:c r="A493" s="63" t="str">
        <x:v>bec:E11:obs:currency:2</x:v>
      </x:c>
      <x:c r="B493" s="63" t="str">
        <x:v>E11</x:v>
      </x:c>
      <x:c r="C493" s="63" t="str">
        <x:v>bank_observed_currency_pair_value</x:v>
      </x:c>
      <x:c r="D493" s="63" t="str">
        <x:v>MONEY</x:v>
      </x:c>
      <x:c r="E493" s="63" t="str">
        <x:v>OBSERVED</x:v>
      </x:c>
      <x:c r="F493" s="65" t="n">
        <x:v>4000257459.3699946</x:v>
      </x:c>
      <x:c r="G493" s="66"/>
      <x:c r="H493" s="67"/>
      <x:c r="I493" s="63"/>
      <x:c r="J493" s="63" t="str">
        <x:v>ZAR</x:v>
      </x:c>
      <x:c r="K493" s="63" t="str">
        <x:v>ZAR</x:v>
      </x:c>
      <x:c r="L493" s="63" t="str">
        <x:v>2025-06-01</x:v>
      </x:c>
      <x:c r="M493" s="63" t="str">
        <x:v>2026-06-30</x:v>
      </x:c>
      <x:c r="N493" s="63" t="str">
        <x:v>2026-06-30</x:v>
      </x:c>
      <x:c r="O493" s="63" t="str">
        <x:v>E0</x:v>
      </x:c>
      <x:c r="P493" s="63" t="str">
        <x:v>APPROVED</x:v>
      </x:c>
      <x:c r="Q493" s="64" t="b">
        <x:v>0</x:v>
      </x:c>
      <x:c r="R493" s="63" t="str">
        <x:v>CURRENCY_AND_COMMODITY_EXPOSURE</x:v>
      </x:c>
      <x:c r="S493" s="63" t="str">
        <x:v>Syn Bank transaction and relationship simulation</x:v>
      </x:c>
      <x:c r="T493" s="63"/>
      <x:c r="U493" s="63" t="str">
        <x:v>internal://syn-bank/simulation/ltm</x:v>
      </x:c>
      <x:c r="V493" s="63" t="str">
        <x:v>7e46f09584404e738397a445fbf2a61da01a4283ab2f6c31cee92c8a660efa94</x:v>
      </x:c>
    </x:row>
    <x:row r="494">
      <x:c r="A494" s="63" t="str">
        <x:v>bec:E11:obs:currency-pair:2</x:v>
      </x:c>
      <x:c r="B494" s="63" t="str">
        <x:v>E11</x:v>
      </x:c>
      <x:c r="C494" s="63" t="str">
        <x:v>bank_observed_currency_pair</x:v>
      </x:c>
      <x:c r="D494" s="63" t="str">
        <x:v>CATEGORICAL</x:v>
      </x:c>
      <x:c r="E494" s="63" t="str">
        <x:v>OBSERVED</x:v>
      </x:c>
      <x:c r="F494" s="65"/>
      <x:c r="G494" s="66"/>
      <x:c r="H494" s="67"/>
      <x:c r="I494" s="63" t="str">
        <x:v>USD/ZAR</x:v>
      </x:c>
      <x:c r="J494" s="63"/>
      <x:c r="K494" s="63" t="str">
        <x:v>currency_pair</x:v>
      </x:c>
      <x:c r="L494" s="63" t="str">
        <x:v>2025-06-01</x:v>
      </x:c>
      <x:c r="M494" s="63" t="str">
        <x:v>2026-06-30</x:v>
      </x:c>
      <x:c r="N494" s="63" t="str">
        <x:v>2026-06-30</x:v>
      </x:c>
      <x:c r="O494" s="63" t="str">
        <x:v>E0</x:v>
      </x:c>
      <x:c r="P494" s="63" t="str">
        <x:v>APPROVED</x:v>
      </x:c>
      <x:c r="Q494" s="64" t="b">
        <x:v>0</x:v>
      </x:c>
      <x:c r="R494" s="63" t="str">
        <x:v>CURRENCY_AND_COMMODITY_EXPOSURE</x:v>
      </x:c>
      <x:c r="S494" s="63" t="str">
        <x:v>Syn Bank transaction and relationship simulation</x:v>
      </x:c>
      <x:c r="T494" s="63"/>
      <x:c r="U494" s="63" t="str">
        <x:v>internal://syn-bank/simulation/ltm</x:v>
      </x:c>
      <x:c r="V494" s="63" t="str">
        <x:v>859897de5b0433f877b5ee28c2bb0559f437104ba36a9515041a37c155e8a59a</x:v>
      </x:c>
    </x:row>
    <x:row r="495">
      <x:c r="A495" s="63" t="str">
        <x:v>bec:E11:obs:country-count</x:v>
      </x:c>
      <x:c r="B495" s="63" t="str">
        <x:v>E11</x:v>
      </x:c>
      <x:c r="C495" s="63" t="str">
        <x:v>bank_observed_active_country_count</x:v>
      </x:c>
      <x:c r="D495" s="63" t="str">
        <x:v>COUNT</x:v>
      </x:c>
      <x:c r="E495" s="63" t="str">
        <x:v>OBSERVED</x:v>
      </x:c>
      <x:c r="F495" s="65"/>
      <x:c r="G495" s="66"/>
      <x:c r="H495" s="67" t="n">
        <x:v>21</x:v>
      </x:c>
      <x:c r="I495" s="63"/>
      <x:c r="J495" s="63"/>
      <x:c r="K495" s="63" t="str">
        <x:v>countries</x:v>
      </x:c>
      <x:c r="L495" s="63" t="str">
        <x:v>2025-06-01</x:v>
      </x:c>
      <x:c r="M495" s="63" t="str">
        <x:v>2026-06-30</x:v>
      </x:c>
      <x:c r="N495" s="63" t="str">
        <x:v>2026-06-30</x:v>
      </x:c>
      <x:c r="O495" s="63" t="str">
        <x:v>E0</x:v>
      </x:c>
      <x:c r="P495" s="63" t="str">
        <x:v>APPROVED</x:v>
      </x:c>
      <x:c r="Q495" s="64" t="b">
        <x:v>1</x:v>
      </x:c>
      <x:c r="R495" s="63" t="str">
        <x:v>GEOGRAPHIC_EXPOSURE</x:v>
      </x:c>
      <x:c r="S495" s="63" t="str">
        <x:v>Syn Bank transaction and relationship simulation</x:v>
      </x:c>
      <x:c r="T495" s="63"/>
      <x:c r="U495" s="63" t="str">
        <x:v>internal://syn-bank/simulation/ltm</x:v>
      </x:c>
      <x:c r="V495" s="63" t="str">
        <x:v>14d558c3494da782a10ec9a5c6d2d05eef56deb9841d83b0ad54685e381d9f08</x:v>
      </x:c>
    </x:row>
    <x:row r="496">
      <x:c r="A496" s="63" t="str">
        <x:v>bec:E11:obs:relationship-breadth</x:v>
      </x:c>
      <x:c r="B496" s="63" t="str">
        <x:v>E11</x:v>
      </x:c>
      <x:c r="C496" s="63" t="str">
        <x:v>bank_observed_product_relationship_breadth</x:v>
      </x:c>
      <x:c r="D496" s="63" t="str">
        <x:v>COUNT</x:v>
      </x:c>
      <x:c r="E496" s="63" t="str">
        <x:v>OBSERVED</x:v>
      </x:c>
      <x:c r="F496" s="65"/>
      <x:c r="G496" s="66"/>
      <x:c r="H496" s="67" t="n">
        <x:v>5</x:v>
      </x:c>
      <x:c r="I496" s="63"/>
      <x:c r="J496" s="63"/>
      <x:c r="K496" s="63" t="str">
        <x:v>products</x:v>
      </x:c>
      <x:c r="L496" s="63" t="str">
        <x:v>2025-06-01</x:v>
      </x:c>
      <x:c r="M496" s="63" t="str">
        <x:v>2026-06-30</x:v>
      </x:c>
      <x:c r="N496" s="63" t="str">
        <x:v>2026-06-30</x:v>
      </x:c>
      <x:c r="O496" s="63" t="str">
        <x:v>E0</x:v>
      </x:c>
      <x:c r="P496" s="63" t="str">
        <x:v>APPROVED</x:v>
      </x:c>
      <x:c r="Q496" s="64" t="b">
        <x:v>1</x:v>
      </x:c>
      <x:c r="R496" s="63" t="str">
        <x:v>OPERATING_MODEL</x:v>
      </x:c>
      <x:c r="S496" s="63" t="str">
        <x:v>Syn Bank transaction and relationship simulation</x:v>
      </x:c>
      <x:c r="T496" s="63"/>
      <x:c r="U496" s="63" t="str">
        <x:v>internal://syn-bank/simulation/ltm</x:v>
      </x:c>
      <x:c r="V496" s="63" t="str">
        <x:v>50ec808912fcf505a7bd32bf84265dcfcad039fc15de5949e514a0d51a1fe105</x:v>
      </x:c>
    </x:row>
    <x:row r="497">
      <x:c r="A497" s="63" t="str">
        <x:v>bec:E11:obs:latent:operating_scale</x:v>
      </x:c>
      <x:c r="B497" s="63" t="str">
        <x:v>E11</x:v>
      </x:c>
      <x:c r="C497" s="63" t="str">
        <x:v>bank_observed_operating_scale_index</x:v>
      </x:c>
      <x:c r="D497" s="63" t="str">
        <x:v>RATIO</x:v>
      </x:c>
      <x:c r="E497" s="63" t="str">
        <x:v>OBSERVED</x:v>
      </x:c>
      <x:c r="F497" s="65"/>
      <x:c r="G497" s="66" t="n">
        <x:v>1</x:v>
      </x:c>
      <x:c r="H497" s="67"/>
      <x:c r="I497" s="63"/>
      <x:c r="J497" s="63"/>
      <x:c r="K497" s="63" t="str">
        <x:v>index_0_1</x:v>
      </x:c>
      <x:c r="L497" s="63" t="str">
        <x:v>2025-06-01</x:v>
      </x:c>
      <x:c r="M497" s="63" t="str">
        <x:v>2026-06-30</x:v>
      </x:c>
      <x:c r="N497" s="63" t="str">
        <x:v>2026-06-30</x:v>
      </x:c>
      <x:c r="O497" s="63" t="str">
        <x:v>E0</x:v>
      </x:c>
      <x:c r="P497" s="63" t="str">
        <x:v>APPROVED</x:v>
      </x:c>
      <x:c r="Q497" s="64" t="b">
        <x:v>0</x:v>
      </x:c>
      <x:c r="R497" s="63" t="str">
        <x:v>OPERATING_MODEL</x:v>
      </x:c>
      <x:c r="S497" s="63" t="str">
        <x:v>Syn Bank transaction and relationship simulation</x:v>
      </x:c>
      <x:c r="T497" s="63"/>
      <x:c r="U497" s="63" t="str">
        <x:v>internal://syn-bank/simulation/ltm</x:v>
      </x:c>
      <x:c r="V497" s="63" t="str">
        <x:v>55aa0b670c60591895c17a633fc0763331f485e1118e26917ad7be6d258d9196</x:v>
      </x:c>
    </x:row>
    <x:row r="498">
      <x:c r="A498" s="63" t="str">
        <x:v>bec:E11:obs:latent:working_capital_intensity</x:v>
      </x:c>
      <x:c r="B498" s="63" t="str">
        <x:v>E11</x:v>
      </x:c>
      <x:c r="C498" s="63" t="str">
        <x:v>bank_observed_working_capital_intensity_index</x:v>
      </x:c>
      <x:c r="D498" s="63" t="str">
        <x:v>RATIO</x:v>
      </x:c>
      <x:c r="E498" s="63" t="str">
        <x:v>OBSERVED</x:v>
      </x:c>
      <x:c r="F498" s="65"/>
      <x:c r="G498" s="66" t="n">
        <x:v>0.803</x:v>
      </x:c>
      <x:c r="H498" s="67"/>
      <x:c r="I498" s="63"/>
      <x:c r="J498" s="63"/>
      <x:c r="K498" s="63" t="str">
        <x:v>index_0_1</x:v>
      </x:c>
      <x:c r="L498" s="63" t="str">
        <x:v>2025-06-01</x:v>
      </x:c>
      <x:c r="M498" s="63" t="str">
        <x:v>2026-06-30</x:v>
      </x:c>
      <x:c r="N498" s="63" t="str">
        <x:v>2026-06-30</x:v>
      </x:c>
      <x:c r="O498" s="63" t="str">
        <x:v>E0</x:v>
      </x:c>
      <x:c r="P498" s="63" t="str">
        <x:v>APPROVED</x:v>
      </x:c>
      <x:c r="Q498" s="64" t="b">
        <x:v>0</x:v>
      </x:c>
      <x:c r="R498" s="63" t="str">
        <x:v>WORKING_CAPITAL_CYCLE</x:v>
      </x:c>
      <x:c r="S498" s="63" t="str">
        <x:v>Syn Bank transaction and relationship simulation</x:v>
      </x:c>
      <x:c r="T498" s="63"/>
      <x:c r="U498" s="63" t="str">
        <x:v>internal://syn-bank/simulation/ltm</x:v>
      </x:c>
      <x:c r="V498" s="63" t="str">
        <x:v>907bc25ffe1a1196a3164b14decd5ed962222561ec6c86bfec4c9040c0765ce2</x:v>
      </x:c>
    </x:row>
    <x:row r="499">
      <x:c r="A499" s="63" t="str">
        <x:v>bec:E11:obs:latent:liquidity_volatility</x:v>
      </x:c>
      <x:c r="B499" s="63" t="str">
        <x:v>E11</x:v>
      </x:c>
      <x:c r="C499" s="63" t="str">
        <x:v>bank_observed_liquidity_volatility_index</x:v>
      </x:c>
      <x:c r="D499" s="63" t="str">
        <x:v>RATIO</x:v>
      </x:c>
      <x:c r="E499" s="63" t="str">
        <x:v>OBSERVED</x:v>
      </x:c>
      <x:c r="F499" s="65"/>
      <x:c r="G499" s="66" t="n">
        <x:v>0.028</x:v>
      </x:c>
      <x:c r="H499" s="67"/>
      <x:c r="I499" s="63"/>
      <x:c r="J499" s="63"/>
      <x:c r="K499" s="63" t="str">
        <x:v>index_0_1</x:v>
      </x:c>
      <x:c r="L499" s="63" t="str">
        <x:v>2025-06-01</x:v>
      </x:c>
      <x:c r="M499" s="63" t="str">
        <x:v>2026-06-30</x:v>
      </x:c>
      <x:c r="N499" s="63" t="str">
        <x:v>2026-06-30</x:v>
      </x:c>
      <x:c r="O499" s="63" t="str">
        <x:v>E0</x:v>
      </x:c>
      <x:c r="P499" s="63" t="str">
        <x:v>APPROVED</x:v>
      </x:c>
      <x:c r="Q499" s="64" t="b">
        <x:v>0</x:v>
      </x:c>
      <x:c r="R499" s="63" t="str">
        <x:v>LIQUIDITY_AND_BUFFER</x:v>
      </x:c>
      <x:c r="S499" s="63" t="str">
        <x:v>Syn Bank transaction and relationship simulation</x:v>
      </x:c>
      <x:c r="T499" s="63"/>
      <x:c r="U499" s="63" t="str">
        <x:v>internal://syn-bank/simulation/ltm</x:v>
      </x:c>
      <x:c r="V499" s="63" t="str">
        <x:v>940c8550b8c80e48a5e78722dc0ff052cd384d98254af4253a0510cfaf76f007</x:v>
      </x:c>
    </x:row>
    <x:row r="500">
      <x:c r="A500" s="63" t="str">
        <x:v>bec:E11:obs:latent:international_exposure</x:v>
      </x:c>
      <x:c r="B500" s="63" t="str">
        <x:v>E11</x:v>
      </x:c>
      <x:c r="C500" s="63" t="str">
        <x:v>bank_observed_international_exposure_index</x:v>
      </x:c>
      <x:c r="D500" s="63" t="str">
        <x:v>RATIO</x:v>
      </x:c>
      <x:c r="E500" s="63" t="str">
        <x:v>OBSERVED</x:v>
      </x:c>
      <x:c r="F500" s="65"/>
      <x:c r="G500" s="66" t="n">
        <x:v>0.197</x:v>
      </x:c>
      <x:c r="H500" s="67"/>
      <x:c r="I500" s="63"/>
      <x:c r="J500" s="63"/>
      <x:c r="K500" s="63" t="str">
        <x:v>index_0_1</x:v>
      </x:c>
      <x:c r="L500" s="63" t="str">
        <x:v>2025-06-01</x:v>
      </x:c>
      <x:c r="M500" s="63" t="str">
        <x:v>2026-06-30</x:v>
      </x:c>
      <x:c r="N500" s="63" t="str">
        <x:v>2026-06-30</x:v>
      </x:c>
      <x:c r="O500" s="63" t="str">
        <x:v>E0</x:v>
      </x:c>
      <x:c r="P500" s="63" t="str">
        <x:v>APPROVED</x:v>
      </x:c>
      <x:c r="Q500" s="64" t="b">
        <x:v>0</x:v>
      </x:c>
      <x:c r="R500" s="63" t="str">
        <x:v>GEOGRAPHIC_EXPOSURE</x:v>
      </x:c>
      <x:c r="S500" s="63" t="str">
        <x:v>Syn Bank transaction and relationship simulation</x:v>
      </x:c>
      <x:c r="T500" s="63"/>
      <x:c r="U500" s="63" t="str">
        <x:v>internal://syn-bank/simulation/ltm</x:v>
      </x:c>
      <x:c r="V500" s="63" t="str">
        <x:v>9c99526e24f74efa60c56c2c36b69c12bc243896392ceb4046b46256bb9963a4</x:v>
      </x:c>
    </x:row>
    <x:row r="501">
      <x:c r="A501" s="63" t="str">
        <x:v>bec:E11:obs:latent:financing_need</x:v>
      </x:c>
      <x:c r="B501" s="63" t="str">
        <x:v>E11</x:v>
      </x:c>
      <x:c r="C501" s="63" t="str">
        <x:v>bank_observed_financing_need_index</x:v>
      </x:c>
      <x:c r="D501" s="63" t="str">
        <x:v>RATIO</x:v>
      </x:c>
      <x:c r="E501" s="63" t="str">
        <x:v>OBSERVED</x:v>
      </x:c>
      <x:c r="F501" s="65"/>
      <x:c r="G501" s="66" t="n">
        <x:v>0.023</x:v>
      </x:c>
      <x:c r="H501" s="67"/>
      <x:c r="I501" s="63"/>
      <x:c r="J501" s="63"/>
      <x:c r="K501" s="63" t="str">
        <x:v>index_0_1</x:v>
      </x:c>
      <x:c r="L501" s="63" t="str">
        <x:v>2025-06-01</x:v>
      </x:c>
      <x:c r="M501" s="63" t="str">
        <x:v>2026-06-30</x:v>
      </x:c>
      <x:c r="N501" s="63" t="str">
        <x:v>2026-06-30</x:v>
      </x:c>
      <x:c r="O501" s="63" t="str">
        <x:v>E0</x:v>
      </x:c>
      <x:c r="P501" s="63" t="str">
        <x:v>APPROVED</x:v>
      </x:c>
      <x:c r="Q501" s="64" t="b">
        <x:v>0</x:v>
      </x:c>
      <x:c r="R501" s="63" t="str">
        <x:v>FUNDING_STRUCTURE</x:v>
      </x:c>
      <x:c r="S501" s="63" t="str">
        <x:v>Syn Bank transaction and relationship simulation</x:v>
      </x:c>
      <x:c r="T501" s="63"/>
      <x:c r="U501" s="63" t="str">
        <x:v>internal://syn-bank/simulation/ltm</x:v>
      </x:c>
      <x:c r="V501" s="63" t="str">
        <x:v>a4526b6cdacff450c6f09284a4d411e1a76b4569edd74a7da706d908d38b757a</x:v>
      </x:c>
    </x:row>
    <x:row r="502">
      <x:c r="A502" s="63" t="str">
        <x:v>bec:E11:obs:latent:event_intensity</x:v>
      </x:c>
      <x:c r="B502" s="63" t="str">
        <x:v>E11</x:v>
      </x:c>
      <x:c r="C502" s="63" t="str">
        <x:v>bank_observed_event_intensity_index</x:v>
      </x:c>
      <x:c r="D502" s="63" t="str">
        <x:v>RATIO</x:v>
      </x:c>
      <x:c r="E502" s="63" t="str">
        <x:v>OBSERVED</x:v>
      </x:c>
      <x:c r="F502" s="65"/>
      <x:c r="G502" s="66" t="n">
        <x:v>1</x:v>
      </x:c>
      <x:c r="H502" s="67"/>
      <x:c r="I502" s="63"/>
      <x:c r="J502" s="63"/>
      <x:c r="K502" s="63" t="str">
        <x:v>index_0_1</x:v>
      </x:c>
      <x:c r="L502" s="63" t="str">
        <x:v>2025-06-01</x:v>
      </x:c>
      <x:c r="M502" s="63" t="str">
        <x:v>2026-06-30</x:v>
      </x:c>
      <x:c r="N502" s="63" t="str">
        <x:v>2026-06-30</x:v>
      </x:c>
      <x:c r="O502" s="63" t="str">
        <x:v>E0</x:v>
      </x:c>
      <x:c r="P502" s="63" t="str">
        <x:v>APPROVED</x:v>
      </x:c>
      <x:c r="Q502" s="64" t="b">
        <x:v>0</x:v>
      </x:c>
      <x:c r="R502" s="63" t="str">
        <x:v>STRATEGY_ACTIONS_AND_ESG</x:v>
      </x:c>
      <x:c r="S502" s="63" t="str">
        <x:v>Syn Bank transaction and relationship simulation</x:v>
      </x:c>
      <x:c r="T502" s="63"/>
      <x:c r="U502" s="63" t="str">
        <x:v>internal://syn-bank/simulation/ltm</x:v>
      </x:c>
      <x:c r="V502" s="63" t="str">
        <x:v>22167705ff76e8ee7e7cd611b1b399794bc7ebd6dc1b269a74fb6b5fd4991dd7</x:v>
      </x:c>
    </x:row>
    <x:row r="503">
      <x:c r="A503" s="63" t="str">
        <x:v>bec:E11:obs:latent:relationship_complexity</x:v>
      </x:c>
      <x:c r="B503" s="63" t="str">
        <x:v>E11</x:v>
      </x:c>
      <x:c r="C503" s="63" t="str">
        <x:v>bank_observed_relationship_complexity_index</x:v>
      </x:c>
      <x:c r="D503" s="63" t="str">
        <x:v>RATIO</x:v>
      </x:c>
      <x:c r="E503" s="63" t="str">
        <x:v>OBSERVED</x:v>
      </x:c>
      <x:c r="F503" s="65"/>
      <x:c r="G503" s="66" t="n">
        <x:v>1</x:v>
      </x:c>
      <x:c r="H503" s="67"/>
      <x:c r="I503" s="63"/>
      <x:c r="J503" s="63"/>
      <x:c r="K503" s="63" t="str">
        <x:v>index_0_1</x:v>
      </x:c>
      <x:c r="L503" s="63" t="str">
        <x:v>2025-06-01</x:v>
      </x:c>
      <x:c r="M503" s="63" t="str">
        <x:v>2026-06-30</x:v>
      </x:c>
      <x:c r="N503" s="63" t="str">
        <x:v>2026-06-30</x:v>
      </x:c>
      <x:c r="O503" s="63" t="str">
        <x:v>E0</x:v>
      </x:c>
      <x:c r="P503" s="63" t="str">
        <x:v>APPROVED</x:v>
      </x:c>
      <x:c r="Q503" s="64" t="b">
        <x:v>0</x:v>
      </x:c>
      <x:c r="R503" s="63" t="str">
        <x:v>OPERATING_MODEL</x:v>
      </x:c>
      <x:c r="S503" s="63" t="str">
        <x:v>Syn Bank transaction and relationship simulation</x:v>
      </x:c>
      <x:c r="T503" s="63"/>
      <x:c r="U503" s="63" t="str">
        <x:v>internal://syn-bank/simulation/ltm</x:v>
      </x:c>
      <x:c r="V503" s="63" t="str">
        <x:v>ffe84a13060ba529a7b36563b819f83bcc90bcfae3fe41a9da01bdf2e308d7aa</x:v>
      </x:c>
    </x:row>
    <x:row r="504">
      <x:c r="A504" s="63" t="str">
        <x:v>bec:E11:obs:events:trade-90d</x:v>
      </x:c>
      <x:c r="B504" s="63" t="str">
        <x:v>E11</x:v>
      </x:c>
      <x:c r="C504" s="63" t="str">
        <x:v>bank_observed_trade_events_next_90d</x:v>
      </x:c>
      <x:c r="D504" s="63" t="str">
        <x:v>COUNT</x:v>
      </x:c>
      <x:c r="E504" s="63" t="str">
        <x:v>OBSERVED</x:v>
      </x:c>
      <x:c r="F504" s="65"/>
      <x:c r="G504" s="66"/>
      <x:c r="H504" s="67" t="n">
        <x:v>201</x:v>
      </x:c>
      <x:c r="I504" s="63"/>
      <x:c r="J504" s="63"/>
      <x:c r="K504" s="63" t="str">
        <x:v>events</x:v>
      </x:c>
      <x:c r="L504" s="63" t="str">
        <x:v>2025-06-01</x:v>
      </x:c>
      <x:c r="M504" s="63" t="str">
        <x:v>2026-06-30</x:v>
      </x:c>
      <x:c r="N504" s="63" t="str">
        <x:v>2026-06-30</x:v>
      </x:c>
      <x:c r="O504" s="63" t="str">
        <x:v>E0</x:v>
      </x:c>
      <x:c r="P504" s="63" t="str">
        <x:v>APPROVED</x:v>
      </x:c>
      <x:c r="Q504" s="64" t="b">
        <x:v>1</x:v>
      </x:c>
      <x:c r="R504" s="63" t="str">
        <x:v>OPERATING_MODEL, WORKING_CAPITAL_CYCLE</x:v>
      </x:c>
      <x:c r="S504" s="63" t="str">
        <x:v>Syn Bank transaction and relationship simulation</x:v>
      </x:c>
      <x:c r="T504" s="63"/>
      <x:c r="U504" s="63" t="str">
        <x:v>internal://syn-bank/simulation/ltm</x:v>
      </x:c>
      <x:c r="V504" s="63" t="str">
        <x:v>06c5f34589fcc7d112a445e9a706205f0c854f9034007ae2371feaeb68e60210</x:v>
      </x:c>
    </x:row>
    <x:row r="505">
      <x:c r="A505" s="63" t="str">
        <x:v>bec:E11:obs:events:trade-90d-value</x:v>
      </x:c>
      <x:c r="B505" s="63" t="str">
        <x:v>E11</x:v>
      </x:c>
      <x:c r="C505" s="63" t="str">
        <x:v>bank_observed_trade_events_value_next_90d</x:v>
      </x:c>
      <x:c r="D505" s="63" t="str">
        <x:v>MONEY</x:v>
      </x:c>
      <x:c r="E505" s="63" t="str">
        <x:v>OBSERVED</x:v>
      </x:c>
      <x:c r="F505" s="65" t="n">
        <x:v>274171616.1200001</x:v>
      </x:c>
      <x:c r="G505" s="66"/>
      <x:c r="H505" s="67"/>
      <x:c r="I505" s="63"/>
      <x:c r="J505" s="63" t="str">
        <x:v>ZAR</x:v>
      </x:c>
      <x:c r="K505" s="63" t="str">
        <x:v>ZAR</x:v>
      </x:c>
      <x:c r="L505" s="63" t="str">
        <x:v>2025-06-01</x:v>
      </x:c>
      <x:c r="M505" s="63" t="str">
        <x:v>2026-06-30</x:v>
      </x:c>
      <x:c r="N505" s="63" t="str">
        <x:v>2026-06-30</x:v>
      </x:c>
      <x:c r="O505" s="63" t="str">
        <x:v>E0</x:v>
      </x:c>
      <x:c r="P505" s="63" t="str">
        <x:v>APPROVED</x:v>
      </x:c>
      <x:c r="Q505" s="64" t="b">
        <x:v>0</x:v>
      </x:c>
      <x:c r="R505" s="63" t="str">
        <x:v>WORKING_CAPITAL_CYCLE</x:v>
      </x:c>
      <x:c r="S505" s="63" t="str">
        <x:v>Syn Bank transaction and relationship simulation</x:v>
      </x:c>
      <x:c r="T505" s="63"/>
      <x:c r="U505" s="63" t="str">
        <x:v>internal://syn-bank/simulation/ltm</x:v>
      </x:c>
      <x:c r="V505" s="63" t="str">
        <x:v>fc3137068d21d432eb19eeb475f0c695fc5fe4cac6d8f615391c299d811203a4</x:v>
      </x:c>
    </x:row>
    <x:row r="506">
      <x:c r="A506" s="63" t="str">
        <x:v>bec:E11:struct:operating-model</x:v>
      </x:c>
      <x:c r="B506" s="63" t="str">
        <x:v>E11</x:v>
      </x:c>
      <x:c r="C506" s="63" t="str">
        <x:v>sector_operating_model</x:v>
      </x:c>
      <x:c r="D506" s="63" t="str">
        <x:v>TEXTUAL</x:v>
      </x:c>
      <x:c r="E506" s="63" t="str">
        <x:v>SCENARIO</x:v>
      </x:c>
      <x:c r="F506" s="65"/>
      <x:c r="G506" s="66"/>
      <x:c r="H506" s="67"/>
      <x:c r="I506" s="63" t="str">
        <x:v>High-frequency retail/distribution operator with dense supplier payment cycles and inventory-led working capital.</x:v>
      </x:c>
      <x:c r="J506" s="63"/>
      <x:c r="K506" s="63" t="str">
        <x:v>statement</x:v>
      </x:c>
      <x:c r="L506" s="63" t="str">
        <x:v>2025-06-01</x:v>
      </x:c>
      <x:c r="M506" s="63" t="str">
        <x:v>2026-06-30</x:v>
      </x:c>
      <x:c r="N506" s="63" t="str">
        <x:v>2026-06-30</x:v>
      </x:c>
      <x:c r="O506" s="63" t="str">
        <x:v>E0</x:v>
      </x:c>
      <x:c r="P506" s="63" t="str">
        <x:v>APPROVED</x:v>
      </x:c>
      <x:c r="Q506" s="64" t="b">
        <x:v>0</x:v>
      </x:c>
      <x:c r="R506" s="63" t="str">
        <x:v>OPERATING_MODEL</x:v>
      </x:c>
      <x:c r="S506" s="63" t="str">
        <x:v>Governed sector operating-model and responsibility policy</x:v>
      </x:c>
      <x:c r="T506" s="63"/>
      <x:c r="U506" s="63" t="str">
        <x:v>internal://v31/governed-policy</x:v>
      </x:c>
      <x:c r="V506" s="63" t="str">
        <x:v>c3565eb41c744db0d046c255e0f031819102b18015fe2ce69e1c8036fd6bac93</x:v>
      </x:c>
    </x:row>
    <x:row r="507">
      <x:c r="A507" s="63" t="str">
        <x:v>bec:E11:struct:risk:0</x:v>
      </x:c>
      <x:c r="B507" s="63" t="str">
        <x:v>E11</x:v>
      </x:c>
      <x:c r="C507" s="63" t="str">
        <x:v>sector_primary_risk</x:v>
      </x:c>
      <x:c r="D507" s="63" t="str">
        <x:v>CATEGORICAL</x:v>
      </x:c>
      <x:c r="E507" s="63" t="str">
        <x:v>SCENARIO</x:v>
      </x:c>
      <x:c r="F507" s="65"/>
      <x:c r="G507" s="66"/>
      <x:c r="H507" s="67"/>
      <x:c r="I507" s="63" t="str">
        <x:v>supplier concentration</x:v>
      </x:c>
      <x:c r="J507" s="63"/>
      <x:c r="K507" s="63" t="str">
        <x:v>statement</x:v>
      </x:c>
      <x:c r="L507" s="63" t="str">
        <x:v>2025-06-01</x:v>
      </x:c>
      <x:c r="M507" s="63" t="str">
        <x:v>2026-06-30</x:v>
      </x:c>
      <x:c r="N507" s="63" t="str">
        <x:v>2026-06-30</x:v>
      </x:c>
      <x:c r="O507" s="63" t="str">
        <x:v>E0</x:v>
      </x:c>
      <x:c r="P507" s="63" t="str">
        <x:v>APPROVED</x:v>
      </x:c>
      <x:c r="Q507" s="64" t="b">
        <x:v>0</x:v>
      </x:c>
      <x:c r="R507" s="63" t="str">
        <x:v>BUSINESS_AND_FINANCIAL_RISKS</x:v>
      </x:c>
      <x:c r="S507" s="63" t="str">
        <x:v>Governed sector operating-model and responsibility policy</x:v>
      </x:c>
      <x:c r="T507" s="63"/>
      <x:c r="U507" s="63" t="str">
        <x:v>internal://v31/governed-policy</x:v>
      </x:c>
      <x:c r="V507" s="63" t="str">
        <x:v>7cae730f04dd5b03d3ae0c51db0e8b6a916f29dd532d709c890203082e190479</x:v>
      </x:c>
    </x:row>
    <x:row r="508">
      <x:c r="A508" s="63" t="str">
        <x:v>bec:E11:struct:risk:1</x:v>
      </x:c>
      <x:c r="B508" s="63" t="str">
        <x:v>E11</x:v>
      </x:c>
      <x:c r="C508" s="63" t="str">
        <x:v>sector_primary_risk</x:v>
      </x:c>
      <x:c r="D508" s="63" t="str">
        <x:v>CATEGORICAL</x:v>
      </x:c>
      <x:c r="E508" s="63" t="str">
        <x:v>SCENARIO</x:v>
      </x:c>
      <x:c r="F508" s="65"/>
      <x:c r="G508" s="66"/>
      <x:c r="H508" s="67"/>
      <x:c r="I508" s="63" t="str">
        <x:v>consumer demand cyclicality</x:v>
      </x:c>
      <x:c r="J508" s="63"/>
      <x:c r="K508" s="63" t="str">
        <x:v>statement</x:v>
      </x:c>
      <x:c r="L508" s="63" t="str">
        <x:v>2025-06-01</x:v>
      </x:c>
      <x:c r="M508" s="63" t="str">
        <x:v>2026-06-30</x:v>
      </x:c>
      <x:c r="N508" s="63" t="str">
        <x:v>2026-06-30</x:v>
      </x:c>
      <x:c r="O508" s="63" t="str">
        <x:v>E0</x:v>
      </x:c>
      <x:c r="P508" s="63" t="str">
        <x:v>APPROVED</x:v>
      </x:c>
      <x:c r="Q508" s="64" t="b">
        <x:v>0</x:v>
      </x:c>
      <x:c r="R508" s="63" t="str">
        <x:v>BUSINESS_AND_FINANCIAL_RISKS</x:v>
      </x:c>
      <x:c r="S508" s="63" t="str">
        <x:v>Governed sector operating-model and responsibility policy</x:v>
      </x:c>
      <x:c r="T508" s="63"/>
      <x:c r="U508" s="63" t="str">
        <x:v>internal://v31/governed-policy</x:v>
      </x:c>
      <x:c r="V508" s="63" t="str">
        <x:v>4fe057e23d9bb8ebb674f56fbcd9783081961d10e7b6c02620f6120cd7f288ab</x:v>
      </x:c>
    </x:row>
    <x:row r="509">
      <x:c r="A509" s="63" t="str">
        <x:v>bec:E11:struct:risk:2</x:v>
      </x:c>
      <x:c r="B509" s="63" t="str">
        <x:v>E11</x:v>
      </x:c>
      <x:c r="C509" s="63" t="str">
        <x:v>sector_primary_risk</x:v>
      </x:c>
      <x:c r="D509" s="63" t="str">
        <x:v>CATEGORICAL</x:v>
      </x:c>
      <x:c r="E509" s="63" t="str">
        <x:v>SCENARIO</x:v>
      </x:c>
      <x:c r="F509" s="65"/>
      <x:c r="G509" s="66"/>
      <x:c r="H509" s="67"/>
      <x:c r="I509" s="63" t="str">
        <x:v>cross-border sourcing cost</x:v>
      </x:c>
      <x:c r="J509" s="63"/>
      <x:c r="K509" s="63" t="str">
        <x:v>statement</x:v>
      </x:c>
      <x:c r="L509" s="63" t="str">
        <x:v>2025-06-01</x:v>
      </x:c>
      <x:c r="M509" s="63" t="str">
        <x:v>2026-06-30</x:v>
      </x:c>
      <x:c r="N509" s="63" t="str">
        <x:v>2026-06-30</x:v>
      </x:c>
      <x:c r="O509" s="63" t="str">
        <x:v>E0</x:v>
      </x:c>
      <x:c r="P509" s="63" t="str">
        <x:v>APPROVED</x:v>
      </x:c>
      <x:c r="Q509" s="64" t="b">
        <x:v>0</x:v>
      </x:c>
      <x:c r="R509" s="63" t="str">
        <x:v>BUSINESS_AND_FINANCIAL_RISKS</x:v>
      </x:c>
      <x:c r="S509" s="63" t="str">
        <x:v>Governed sector operating-model and responsibility policy</x:v>
      </x:c>
      <x:c r="T509" s="63"/>
      <x:c r="U509" s="63" t="str">
        <x:v>internal://v31/governed-policy</x:v>
      </x:c>
      <x:c r="V509" s="63" t="str">
        <x:v>15416c4705de7115e0a2598d58c78f1fff4e44d63a150d11a77fdeebf0d70edd</x:v>
      </x:c>
    </x:row>
    <x:row r="510">
      <x:c r="A510" s="63" t="str">
        <x:v>bec:E11:struct:responsibility-model</x:v>
      </x:c>
      <x:c r="B510" s="63" t="str">
        <x:v>E11</x:v>
      </x:c>
      <x:c r="C510" s="63" t="str">
        <x:v>stakeholder_responsibility_model</x:v>
      </x:c>
      <x:c r="D510" s="63" t="str">
        <x:v>TEXTUAL</x:v>
      </x:c>
      <x:c r="E510" s="63" t="str">
        <x:v>SCENARIO</x:v>
      </x:c>
      <x:c r="F510" s="65"/>
      <x:c r="G510" s="66"/>
      <x:c r="H510" s="67"/>
      <x:c r="I510" s="63" t="str">
        <x:v>Responsibility is assigned by role persona using governed matrix v31-stakeholder-responsibility-3.1.0. Named individuals are not resolved in the demonstration and require CRM entitlement checks in production.</x:v>
      </x:c>
      <x:c r="J510" s="63"/>
      <x:c r="K510" s="63" t="str">
        <x:v>statement</x:v>
      </x:c>
      <x:c r="L510" s="63" t="str">
        <x:v>2025-06-01</x:v>
      </x:c>
      <x:c r="M510" s="63" t="str">
        <x:v>2026-06-30</x:v>
      </x:c>
      <x:c r="N510" s="63" t="str">
        <x:v>2026-06-30</x:v>
      </x:c>
      <x:c r="O510" s="63" t="str">
        <x:v>E0</x:v>
      </x:c>
      <x:c r="P510" s="63" t="str">
        <x:v>APPROVED</x:v>
      </x:c>
      <x:c r="Q510" s="64" t="b">
        <x:v>0</x:v>
      </x:c>
      <x:c r="R510" s="63" t="str">
        <x:v>STAKEHOLDER_RESPONSIBILITY</x:v>
      </x:c>
      <x:c r="S510" s="63" t="str">
        <x:v>Governed sector operating-model and responsibility policy</x:v>
      </x:c>
      <x:c r="T510" s="63"/>
      <x:c r="U510" s="63" t="str">
        <x:v>internal://v31/governed-policy</x:v>
      </x:c>
      <x:c r="V510" s="63" t="str">
        <x:v>cb0ef9ff66299d8cc63ca9dd4f54dd9d3126e0705054bc6978f801053e2a3c19</x:v>
      </x:c>
    </x:row>
    <x:row r="511">
      <x:c r="A511" s="63" t="str">
        <x:v>bec:E11:struct:responsibility:fx_exposure</x:v>
      </x:c>
      <x:c r="B511" s="63" t="str">
        <x:v>E11</x:v>
      </x:c>
      <x:c r="C511" s="63" t="str">
        <x:v>problem_role_ownership</x:v>
      </x:c>
      <x:c r="D511" s="63" t="str">
        <x:v>STRUCTURE_RELATIONSHIP</x:v>
      </x:c>
      <x:c r="E511" s="63" t="str">
        <x:v>SCENARIO</x:v>
      </x:c>
      <x:c r="F511" s="65"/>
      <x:c r="G511" s="66"/>
      <x:c r="H511" s="67"/>
      <x:c r="I511" s="63"/>
      <x:c r="J511" s="63"/>
      <x:c r="K511" s="63" t="str">
        <x:v>statement</x:v>
      </x:c>
      <x:c r="L511" s="63" t="str">
        <x:v>2025-06-01</x:v>
      </x:c>
      <x:c r="M511" s="63" t="str">
        <x:v>2026-06-30</x:v>
      </x:c>
      <x:c r="N511" s="63" t="str">
        <x:v>2026-06-30</x:v>
      </x:c>
      <x:c r="O511" s="63" t="str">
        <x:v>E0</x:v>
      </x:c>
      <x:c r="P511" s="63" t="str">
        <x:v>APPROVED</x:v>
      </x:c>
      <x:c r="Q511" s="64" t="b">
        <x:v>0</x:v>
      </x:c>
      <x:c r="R511" s="63" t="str">
        <x:v>STAKEHOLDER_RESPONSIBILITY</x:v>
      </x:c>
      <x:c r="S511" s="63" t="str">
        <x:v>Governed sector operating-model and responsibility policy</x:v>
      </x:c>
      <x:c r="T511" s="63"/>
      <x:c r="U511" s="63" t="str">
        <x:v>internal://v31/governed-policy</x:v>
      </x:c>
      <x:c r="V511" s="63" t="str">
        <x:v>b4a15eef59def21669930358bccb79143510bc3e3034cb788fda67df70fb11a3</x:v>
      </x:c>
    </x:row>
    <x:row r="512">
      <x:c r="A512" s="63" t="str">
        <x:v>bec:E11:struct:responsibility:refinancing_cliff</x:v>
      </x:c>
      <x:c r="B512" s="63" t="str">
        <x:v>E11</x:v>
      </x:c>
      <x:c r="C512" s="63" t="str">
        <x:v>problem_role_ownership</x:v>
      </x:c>
      <x:c r="D512" s="63" t="str">
        <x:v>STRUCTURE_RELATIONSHIP</x:v>
      </x:c>
      <x:c r="E512" s="63" t="str">
        <x:v>SCENARIO</x:v>
      </x:c>
      <x:c r="F512" s="65"/>
      <x:c r="G512" s="66"/>
      <x:c r="H512" s="67"/>
      <x:c r="I512" s="63"/>
      <x:c r="J512" s="63"/>
      <x:c r="K512" s="63" t="str">
        <x:v>statement</x:v>
      </x:c>
      <x:c r="L512" s="63" t="str">
        <x:v>2025-06-01</x:v>
      </x:c>
      <x:c r="M512" s="63" t="str">
        <x:v>2026-06-30</x:v>
      </x:c>
      <x:c r="N512" s="63" t="str">
        <x:v>2026-06-30</x:v>
      </x:c>
      <x:c r="O512" s="63" t="str">
        <x:v>E0</x:v>
      </x:c>
      <x:c r="P512" s="63" t="str">
        <x:v>APPROVED</x:v>
      </x:c>
      <x:c r="Q512" s="64" t="b">
        <x:v>0</x:v>
      </x:c>
      <x:c r="R512" s="63" t="str">
        <x:v>STAKEHOLDER_RESPONSIBILITY</x:v>
      </x:c>
      <x:c r="S512" s="63" t="str">
        <x:v>Governed sector operating-model and responsibility policy</x:v>
      </x:c>
      <x:c r="T512" s="63"/>
      <x:c r="U512" s="63" t="str">
        <x:v>internal://v31/governed-policy</x:v>
      </x:c>
      <x:c r="V512" s="63" t="str">
        <x:v>979a9855133a17b72dd8100c56ec70543ee16412e7412278349159cb2189ed98</x:v>
      </x:c>
    </x:row>
    <x:row r="513">
      <x:c r="A513" s="63" t="str">
        <x:v>bec:E11:struct:responsibility:working_capital_pressure</x:v>
      </x:c>
      <x:c r="B513" s="63" t="str">
        <x:v>E11</x:v>
      </x:c>
      <x:c r="C513" s="63" t="str">
        <x:v>problem_role_ownership</x:v>
      </x:c>
      <x:c r="D513" s="63" t="str">
        <x:v>STRUCTURE_RELATIONSHIP</x:v>
      </x:c>
      <x:c r="E513" s="63" t="str">
        <x:v>SCENARIO</x:v>
      </x:c>
      <x:c r="F513" s="65"/>
      <x:c r="G513" s="66"/>
      <x:c r="H513" s="67"/>
      <x:c r="I513" s="63"/>
      <x:c r="J513" s="63"/>
      <x:c r="K513" s="63" t="str">
        <x:v>statement</x:v>
      </x:c>
      <x:c r="L513" s="63" t="str">
        <x:v>2025-06-01</x:v>
      </x:c>
      <x:c r="M513" s="63" t="str">
        <x:v>2026-06-30</x:v>
      </x:c>
      <x:c r="N513" s="63" t="str">
        <x:v>2026-06-30</x:v>
      </x:c>
      <x:c r="O513" s="63" t="str">
        <x:v>E0</x:v>
      </x:c>
      <x:c r="P513" s="63" t="str">
        <x:v>APPROVED</x:v>
      </x:c>
      <x:c r="Q513" s="64" t="b">
        <x:v>0</x:v>
      </x:c>
      <x:c r="R513" s="63" t="str">
        <x:v>STAKEHOLDER_RESPONSIBILITY</x:v>
      </x:c>
      <x:c r="S513" s="63" t="str">
        <x:v>Governed sector operating-model and responsibility policy</x:v>
      </x:c>
      <x:c r="T513" s="63"/>
      <x:c r="U513" s="63" t="str">
        <x:v>internal://v31/governed-policy</x:v>
      </x:c>
      <x:c r="V513" s="63" t="str">
        <x:v>11d22df98f623bcc295d5465c6e2cf65fbf5be83abd5061dd95294d299d2fb19</x:v>
      </x:c>
    </x:row>
    <x:row r="514">
      <x:c r="A514" s="63" t="str">
        <x:v>bec:CLICKS-2025-REV</x:v>
      </x:c>
      <x:c r="B514" s="63" t="str">
        <x:v>E12</x:v>
      </x:c>
      <x:c r="C514" s="63" t="str">
        <x:v>revenue</x:v>
      </x:c>
      <x:c r="D514" s="63" t="str">
        <x:v>MONEY</x:v>
      </x:c>
      <x:c r="E514" s="63" t="str">
        <x:v>OBSERVED</x:v>
      </x:c>
      <x:c r="F514" s="65" t="n">
        <x:v>51426.992</x:v>
      </x:c>
      <x:c r="G514" s="66"/>
      <x:c r="H514" s="67"/>
      <x:c r="I514" s="63"/>
      <x:c r="J514" s="63" t="str">
        <x:v>ZAR</x:v>
      </x:c>
      <x:c r="K514" s="63" t="str">
        <x:v>million</x:v>
      </x:c>
      <x:c r="L514" s="63" t="str">
        <x:v>2024-09-01</x:v>
      </x:c>
      <x:c r="M514" s="63" t="str">
        <x:v>2025-08-31</x:v>
      </x:c>
      <x:c r="N514" s="63" t="str">
        <x:v>2025-11-06</x:v>
      </x:c>
      <x:c r="O514" s="63" t="str">
        <x:v>E1</x:v>
      </x:c>
      <x:c r="P514" s="63" t="str">
        <x:v>PENDING_REVIEW</x:v>
      </x:c>
      <x:c r="Q514" s="64" t="b">
        <x:v>1</x:v>
      </x:c>
      <x:c r="R514" s="63" t="str">
        <x:v>REVENUE_ENGINE</x:v>
      </x:c>
      <x:c r="S514" s="63" t="str">
        <x:v>Clicks Group Annual Financial Statements 2025</x:v>
      </x:c>
      <x:c r="T514" s="63" t="n">
        <x:v>10</x:v>
      </x:c>
      <x:c r="U514" s="63" t="str">
        <x:v>https://clicksgroup.co.za/iar2025/wp-content/uploads/CGL-YE25-Annual-financial-statements.pdf</x:v>
      </x:c>
      <x:c r="V514" s="63" t="str">
        <x:v>664c3ce033c0d36157277ae5ef9f28a933edd4acebc8cec649069cd20d9c576d</x:v>
      </x:c>
    </x:row>
    <x:row r="515">
      <x:c r="A515" s="63" t="str">
        <x:v>bec:CLICKS-2025-CASH</x:v>
      </x:c>
      <x:c r="B515" s="63" t="str">
        <x:v>E12</x:v>
      </x:c>
      <x:c r="C515" s="63" t="str">
        <x:v>cash_and_cash_equivalents</x:v>
      </x:c>
      <x:c r="D515" s="63" t="str">
        <x:v>MONEY</x:v>
      </x:c>
      <x:c r="E515" s="63" t="str">
        <x:v>OBSERVED</x:v>
      </x:c>
      <x:c r="F515" s="65" t="n">
        <x:v>3255.77</x:v>
      </x:c>
      <x:c r="G515" s="66"/>
      <x:c r="H515" s="67"/>
      <x:c r="I515" s="63"/>
      <x:c r="J515" s="63" t="str">
        <x:v>ZAR</x:v>
      </x:c>
      <x:c r="K515" s="63" t="str">
        <x:v>million</x:v>
      </x:c>
      <x:c r="L515" s="63" t="str">
        <x:v>2025-08-31</x:v>
      </x:c>
      <x:c r="M515" s="63" t="str">
        <x:v>2025-08-31</x:v>
      </x:c>
      <x:c r="N515" s="63" t="str">
        <x:v>2025-11-06</x:v>
      </x:c>
      <x:c r="O515" s="63" t="str">
        <x:v>E1</x:v>
      </x:c>
      <x:c r="P515" s="63" t="str">
        <x:v>PENDING_REVIEW</x:v>
      </x:c>
      <x:c r="Q515" s="64" t="b">
        <x:v>1</x:v>
      </x:c>
      <x:c r="R515" s="63" t="str">
        <x:v>LIQUIDITY_AND_BUFFER</x:v>
      </x:c>
      <x:c r="S515" s="63" t="str">
        <x:v>Clicks Group Annual Financial Statements 2025</x:v>
      </x:c>
      <x:c r="T515" s="63" t="n">
        <x:v>10</x:v>
      </x:c>
      <x:c r="U515" s="63" t="str">
        <x:v>https://clicksgroup.co.za/iar2025/wp-content/uploads/CGL-YE25-Annual-financial-statements.pdf</x:v>
      </x:c>
      <x:c r="V515" s="63" t="str">
        <x:v>664c3ce033c0d36157277ae5ef9f28a933edd4acebc8cec649069cd20d9c576d</x:v>
      </x:c>
    </x:row>
    <x:row r="516">
      <x:c r="A516" s="63" t="str">
        <x:v>bec:CLICKS-2025-PAY</x:v>
      </x:c>
      <x:c r="B516" s="63" t="str">
        <x:v>E12</x:v>
      </x:c>
      <x:c r="C516" s="63" t="str">
        <x:v>trade_payables</x:v>
      </x:c>
      <x:c r="D516" s="63" t="str">
        <x:v>MONEY</x:v>
      </x:c>
      <x:c r="E516" s="63" t="str">
        <x:v>OBSERVED</x:v>
      </x:c>
      <x:c r="F516" s="65" t="n">
        <x:v>10912.537</x:v>
      </x:c>
      <x:c r="G516" s="66"/>
      <x:c r="H516" s="67"/>
      <x:c r="I516" s="63"/>
      <x:c r="J516" s="63" t="str">
        <x:v>ZAR</x:v>
      </x:c>
      <x:c r="K516" s="63" t="str">
        <x:v>million</x:v>
      </x:c>
      <x:c r="L516" s="63" t="str">
        <x:v>2025-08-31</x:v>
      </x:c>
      <x:c r="M516" s="63" t="str">
        <x:v>2025-08-31</x:v>
      </x:c>
      <x:c r="N516" s="63" t="str">
        <x:v>2025-11-06</x:v>
      </x:c>
      <x:c r="O516" s="63" t="str">
        <x:v>E1</x:v>
      </x:c>
      <x:c r="P516" s="63" t="str">
        <x:v>PENDING_REVIEW</x:v>
      </x:c>
      <x:c r="Q516" s="64" t="b">
        <x:v>0</x:v>
      </x:c>
      <x:c r="R516" s="63" t="str">
        <x:v>COST_ENGINE, WORKING_CAPITAL_CYCLE</x:v>
      </x:c>
      <x:c r="S516" s="63" t="str">
        <x:v>Clicks Group Annual Financial Statements 2025</x:v>
      </x:c>
      <x:c r="T516" s="63" t="n">
        <x:v>10</x:v>
      </x:c>
      <x:c r="U516" s="63" t="str">
        <x:v>https://clicksgroup.co.za/iar2025/wp-content/uploads/CGL-YE25-Annual-financial-statements.pdf</x:v>
      </x:c>
      <x:c r="V516" s="63" t="str">
        <x:v>664c3ce033c0d36157277ae5ef9f28a933edd4acebc8cec649069cd20d9c576d</x:v>
      </x:c>
    </x:row>
    <x:row r="517">
      <x:c r="A517" s="63" t="str">
        <x:v>bec:E12:obs:flow:collections</x:v>
      </x:c>
      <x:c r="B517" s="63" t="str">
        <x:v>E12</x:v>
      </x:c>
      <x:c r="C517" s="63" t="str">
        <x:v>bank_observed_collections_ltm</x:v>
      </x:c>
      <x:c r="D517" s="63" t="str">
        <x:v>MONEY</x:v>
      </x:c>
      <x:c r="E517" s="63" t="str">
        <x:v>OBSERVED</x:v>
      </x:c>
      <x:c r="F517" s="65" t="n">
        <x:v>68673182.91</x:v>
      </x:c>
      <x:c r="G517" s="66"/>
      <x:c r="H517" s="67"/>
      <x:c r="I517" s="63"/>
      <x:c r="J517" s="63" t="str">
        <x:v>ZAR</x:v>
      </x:c>
      <x:c r="K517" s="63" t="str">
        <x:v>ZAR</x:v>
      </x:c>
      <x:c r="L517" s="63" t="str">
        <x:v>2025-06-01</x:v>
      </x:c>
      <x:c r="M517" s="63" t="str">
        <x:v>2026-06-30</x:v>
      </x:c>
      <x:c r="N517" s="63" t="str">
        <x:v>2026-06-30</x:v>
      </x:c>
      <x:c r="O517" s="63" t="str">
        <x:v>E0</x:v>
      </x:c>
      <x:c r="P517" s="63" t="str">
        <x:v>APPROVED</x:v>
      </x:c>
      <x:c r="Q517" s="64" t="b">
        <x:v>1</x:v>
      </x:c>
      <x:c r="R517" s="63" t="str">
        <x:v>REVENUE_ENGINE, WORKING_CAPITAL_CYCLE</x:v>
      </x:c>
      <x:c r="S517" s="63" t="str">
        <x:v>Syn Bank transaction and relationship simulation</x:v>
      </x:c>
      <x:c r="T517" s="63"/>
      <x:c r="U517" s="63" t="str">
        <x:v>internal://syn-bank/simulation/ltm</x:v>
      </x:c>
      <x:c r="V517" s="63" t="str">
        <x:v>3d906abbe7138e514aaae1b2c07bb8e008c30811536ca132d991cbfeae07c73a</x:v>
      </x:c>
    </x:row>
    <x:row r="518">
      <x:c r="A518" s="63" t="str">
        <x:v>bec:E12:obs:trend:collections</x:v>
      </x:c>
      <x:c r="B518" s="63" t="str">
        <x:v>E12</x:v>
      </x:c>
      <x:c r="C518" s="63" t="str">
        <x:v>bank_observed_collections_yoy_change</x:v>
      </x:c>
      <x:c r="D518" s="63" t="str">
        <x:v>RATIO</x:v>
      </x:c>
      <x:c r="E518" s="63" t="str">
        <x:v>OBSERVED</x:v>
      </x:c>
      <x:c r="F518" s="65"/>
      <x:c r="G518" s="66" t="n">
        <x:v>-0.021437</x:v>
      </x:c>
      <x:c r="H518" s="67"/>
      <x:c r="I518" s="63"/>
      <x:c r="J518" s="63"/>
      <x:c r="K518" s="63" t="str">
        <x:v>ratio</x:v>
      </x:c>
      <x:c r="L518" s="63" t="str">
        <x:v>2025-06-01</x:v>
      </x:c>
      <x:c r="M518" s="63" t="str">
        <x:v>2026-06-30</x:v>
      </x:c>
      <x:c r="N518" s="63" t="str">
        <x:v>2026-06-30</x:v>
      </x:c>
      <x:c r="O518" s="63" t="str">
        <x:v>E0</x:v>
      </x:c>
      <x:c r="P518" s="63" t="str">
        <x:v>APPROVED</x:v>
      </x:c>
      <x:c r="Q518" s="64" t="b">
        <x:v>0</x:v>
      </x:c>
      <x:c r="R518" s="63" t="str">
        <x:v>REVENUE_ENGINE, WORKING_CAPITAL_CYCLE</x:v>
      </x:c>
      <x:c r="S518" s="63" t="str">
        <x:v>Syn Bank transaction and relationship simulation</x:v>
      </x:c>
      <x:c r="T518" s="63"/>
      <x:c r="U518" s="63" t="str">
        <x:v>internal://syn-bank/simulation/ltm</x:v>
      </x:c>
      <x:c r="V518" s="63" t="str">
        <x:v>d43536e116da4fbd9b93feb558fe4aa838d72c0e56652e5d9a75627414b1e2da</x:v>
      </x:c>
    </x:row>
    <x:row r="519">
      <x:c r="A519" s="63" t="str">
        <x:v>bec:E12:obs:flow:payments</x:v>
      </x:c>
      <x:c r="B519" s="63" t="str">
        <x:v>E12</x:v>
      </x:c>
      <x:c r="C519" s="63" t="str">
        <x:v>bank_observed_payments_ltm</x:v>
      </x:c>
      <x:c r="D519" s="63" t="str">
        <x:v>MONEY</x:v>
      </x:c>
      <x:c r="E519" s="63" t="str">
        <x:v>OBSERVED</x:v>
      </x:c>
      <x:c r="F519" s="65" t="n">
        <x:v>124389561.87999997</x:v>
      </x:c>
      <x:c r="G519" s="66"/>
      <x:c r="H519" s="67"/>
      <x:c r="I519" s="63"/>
      <x:c r="J519" s="63" t="str">
        <x:v>ZAR</x:v>
      </x:c>
      <x:c r="K519" s="63" t="str">
        <x:v>ZAR</x:v>
      </x:c>
      <x:c r="L519" s="63" t="str">
        <x:v>2025-06-01</x:v>
      </x:c>
      <x:c r="M519" s="63" t="str">
        <x:v>2026-06-30</x:v>
      </x:c>
      <x:c r="N519" s="63" t="str">
        <x:v>2026-06-30</x:v>
      </x:c>
      <x:c r="O519" s="63" t="str">
        <x:v>E0</x:v>
      </x:c>
      <x:c r="P519" s="63" t="str">
        <x:v>APPROVED</x:v>
      </x:c>
      <x:c r="Q519" s="64" t="b">
        <x:v>1</x:v>
      </x:c>
      <x:c r="R519" s="63" t="str">
        <x:v>COST_ENGINE, WORKING_CAPITAL_CYCLE</x:v>
      </x:c>
      <x:c r="S519" s="63" t="str">
        <x:v>Syn Bank transaction and relationship simulation</x:v>
      </x:c>
      <x:c r="T519" s="63"/>
      <x:c r="U519" s="63" t="str">
        <x:v>internal://syn-bank/simulation/ltm</x:v>
      </x:c>
      <x:c r="V519" s="63" t="str">
        <x:v>0fe9f48a7411d8b8406fc028c2e875a47b459d70b4ee202e5d548fa958bcebad</x:v>
      </x:c>
    </x:row>
    <x:row r="520">
      <x:c r="A520" s="63" t="str">
        <x:v>bec:E12:obs:trend:payments</x:v>
      </x:c>
      <x:c r="B520" s="63" t="str">
        <x:v>E12</x:v>
      </x:c>
      <x:c r="C520" s="63" t="str">
        <x:v>bank_observed_payments_yoy_change</x:v>
      </x:c>
      <x:c r="D520" s="63" t="str">
        <x:v>RATIO</x:v>
      </x:c>
      <x:c r="E520" s="63" t="str">
        <x:v>OBSERVED</x:v>
      </x:c>
      <x:c r="F520" s="65"/>
      <x:c r="G520" s="66" t="n">
        <x:v>-0.052942</x:v>
      </x:c>
      <x:c r="H520" s="67"/>
      <x:c r="I520" s="63"/>
      <x:c r="J520" s="63"/>
      <x:c r="K520" s="63" t="str">
        <x:v>ratio</x:v>
      </x:c>
      <x:c r="L520" s="63" t="str">
        <x:v>2025-06-01</x:v>
      </x:c>
      <x:c r="M520" s="63" t="str">
        <x:v>2026-06-30</x:v>
      </x:c>
      <x:c r="N520" s="63" t="str">
        <x:v>2026-06-30</x:v>
      </x:c>
      <x:c r="O520" s="63" t="str">
        <x:v>E0</x:v>
      </x:c>
      <x:c r="P520" s="63" t="str">
        <x:v>APPROVED</x:v>
      </x:c>
      <x:c r="Q520" s="64" t="b">
        <x:v>0</x:v>
      </x:c>
      <x:c r="R520" s="63" t="str">
        <x:v>COST_ENGINE, WORKING_CAPITAL_CYCLE</x:v>
      </x:c>
      <x:c r="S520" s="63" t="str">
        <x:v>Syn Bank transaction and relationship simulation</x:v>
      </x:c>
      <x:c r="T520" s="63"/>
      <x:c r="U520" s="63" t="str">
        <x:v>internal://syn-bank/simulation/ltm</x:v>
      </x:c>
      <x:c r="V520" s="63" t="str">
        <x:v>502caa8fb9ad3ba2f010ce146d9a092e0563a90bd9ebb94cedc527c5bd54525f</x:v>
      </x:c>
    </x:row>
    <x:row r="521">
      <x:c r="A521" s="63" t="str">
        <x:v>bec:E12:obs:flow:liquidity</x:v>
      </x:c>
      <x:c r="B521" s="63" t="str">
        <x:v>E12</x:v>
      </x:c>
      <x:c r="C521" s="63" t="str">
        <x:v>bank_observed_liquidity_ltm</x:v>
      </x:c>
      <x:c r="D521" s="63" t="str">
        <x:v>MONEY</x:v>
      </x:c>
      <x:c r="E521" s="63" t="str">
        <x:v>OBSERVED</x:v>
      </x:c>
      <x:c r="F521" s="65" t="n">
        <x:v>96531372.395</x:v>
      </x:c>
      <x:c r="G521" s="66"/>
      <x:c r="H521" s="67"/>
      <x:c r="I521" s="63"/>
      <x:c r="J521" s="63" t="str">
        <x:v>ZAR</x:v>
      </x:c>
      <x:c r="K521" s="63" t="str">
        <x:v>ZAR</x:v>
      </x:c>
      <x:c r="L521" s="63" t="str">
        <x:v>2025-06-01</x:v>
      </x:c>
      <x:c r="M521" s="63" t="str">
        <x:v>2026-06-30</x:v>
      </x:c>
      <x:c r="N521" s="63" t="str">
        <x:v>2026-06-30</x:v>
      </x:c>
      <x:c r="O521" s="63" t="str">
        <x:v>E0</x:v>
      </x:c>
      <x:c r="P521" s="63" t="str">
        <x:v>APPROVED</x:v>
      </x:c>
      <x:c r="Q521" s="64" t="b">
        <x:v>1</x:v>
      </x:c>
      <x:c r="R521" s="63" t="str">
        <x:v>LIQUIDITY_AND_BUFFER</x:v>
      </x:c>
      <x:c r="S521" s="63" t="str">
        <x:v>Syn Bank transaction and relationship simulation</x:v>
      </x:c>
      <x:c r="T521" s="63"/>
      <x:c r="U521" s="63" t="str">
        <x:v>internal://syn-bank/simulation/ltm</x:v>
      </x:c>
      <x:c r="V521" s="63" t="str">
        <x:v>bc1d7320e57fa01537469036bc0c2c5e3cbf8e5498997cdbecf954fed02ada96</x:v>
      </x:c>
    </x:row>
    <x:row r="522">
      <x:c r="A522" s="63" t="str">
        <x:v>bec:E12:obs:trend:liquidity</x:v>
      </x:c>
      <x:c r="B522" s="63" t="str">
        <x:v>E12</x:v>
      </x:c>
      <x:c r="C522" s="63" t="str">
        <x:v>bank_observed_liquidity_yoy_change</x:v>
      </x:c>
      <x:c r="D522" s="63" t="str">
        <x:v>RATIO</x:v>
      </x:c>
      <x:c r="E522" s="63" t="str">
        <x:v>OBSERVED</x:v>
      </x:c>
      <x:c r="F522" s="65"/>
      <x:c r="G522" s="66" t="n">
        <x:v>-0.04197</x:v>
      </x:c>
      <x:c r="H522" s="67"/>
      <x:c r="I522" s="63"/>
      <x:c r="J522" s="63"/>
      <x:c r="K522" s="63" t="str">
        <x:v>ratio</x:v>
      </x:c>
      <x:c r="L522" s="63" t="str">
        <x:v>2025-06-01</x:v>
      </x:c>
      <x:c r="M522" s="63" t="str">
        <x:v>2026-06-30</x:v>
      </x:c>
      <x:c r="N522" s="63" t="str">
        <x:v>2026-06-30</x:v>
      </x:c>
      <x:c r="O522" s="63" t="str">
        <x:v>E0</x:v>
      </x:c>
      <x:c r="P522" s="63" t="str">
        <x:v>APPROVED</x:v>
      </x:c>
      <x:c r="Q522" s="64" t="b">
        <x:v>0</x:v>
      </x:c>
      <x:c r="R522" s="63" t="str">
        <x:v>LIQUIDITY_AND_BUFFER</x:v>
      </x:c>
      <x:c r="S522" s="63" t="str">
        <x:v>Syn Bank transaction and relationship simulation</x:v>
      </x:c>
      <x:c r="T522" s="63"/>
      <x:c r="U522" s="63" t="str">
        <x:v>internal://syn-bank/simulation/ltm</x:v>
      </x:c>
      <x:c r="V522" s="63" t="str">
        <x:v>ba9081fcc49237ce532e188a0472c1bee40a34621da90e5cb4f1c5e3b2ec0e7c</x:v>
      </x:c>
    </x:row>
    <x:row r="523">
      <x:c r="A523" s="63" t="str">
        <x:v>bec:E12:obs:flow:cross-border-fx</x:v>
      </x:c>
      <x:c r="B523" s="63" t="str">
        <x:v>E12</x:v>
      </x:c>
      <x:c r="C523" s="63" t="str">
        <x:v>bank_observed_cross_border_fx_ltm</x:v>
      </x:c>
      <x:c r="D523" s="63" t="str">
        <x:v>MONEY</x:v>
      </x:c>
      <x:c r="E523" s="63" t="str">
        <x:v>OBSERVED</x:v>
      </x:c>
      <x:c r="F523" s="65" t="n">
        <x:v>1004899575.8800001</x:v>
      </x:c>
      <x:c r="G523" s="66"/>
      <x:c r="H523" s="67"/>
      <x:c r="I523" s="63"/>
      <x:c r="J523" s="63" t="str">
        <x:v>ZAR</x:v>
      </x:c>
      <x:c r="K523" s="63" t="str">
        <x:v>ZAR</x:v>
      </x:c>
      <x:c r="L523" s="63" t="str">
        <x:v>2025-06-01</x:v>
      </x:c>
      <x:c r="M523" s="63" t="str">
        <x:v>2026-06-30</x:v>
      </x:c>
      <x:c r="N523" s="63" t="str">
        <x:v>2026-06-30</x:v>
      </x:c>
      <x:c r="O523" s="63" t="str">
        <x:v>E0</x:v>
      </x:c>
      <x:c r="P523" s="63" t="str">
        <x:v>APPROVED</x:v>
      </x:c>
      <x:c r="Q523" s="64" t="b">
        <x:v>1</x:v>
      </x:c>
      <x:c r="R523" s="63" t="str">
        <x:v>CURRENCY_AND_COMMODITY_EXPOSURE, GEOGRAPHIC_EXPOSURE</x:v>
      </x:c>
      <x:c r="S523" s="63" t="str">
        <x:v>Syn Bank transaction and relationship simulation</x:v>
      </x:c>
      <x:c r="T523" s="63"/>
      <x:c r="U523" s="63" t="str">
        <x:v>internal://syn-bank/simulation/ltm</x:v>
      </x:c>
      <x:c r="V523" s="63" t="str">
        <x:v>f869e154270eb34237a378834d074a53100af846346f7121590d060176005c87</x:v>
      </x:c>
    </x:row>
    <x:row r="524">
      <x:c r="A524" s="63" t="str">
        <x:v>bec:E12:obs:trend:cross-border-fx</x:v>
      </x:c>
      <x:c r="B524" s="63" t="str">
        <x:v>E12</x:v>
      </x:c>
      <x:c r="C524" s="63" t="str">
        <x:v>bank_observed_cross_border_fx_yoy_change</x:v>
      </x:c>
      <x:c r="D524" s="63" t="str">
        <x:v>RATIO</x:v>
      </x:c>
      <x:c r="E524" s="63" t="str">
        <x:v>OBSERVED</x:v>
      </x:c>
      <x:c r="F524" s="65"/>
      <x:c r="G524" s="66" t="n">
        <x:v>-0.00495</x:v>
      </x:c>
      <x:c r="H524" s="67"/>
      <x:c r="I524" s="63"/>
      <x:c r="J524" s="63"/>
      <x:c r="K524" s="63" t="str">
        <x:v>ratio</x:v>
      </x:c>
      <x:c r="L524" s="63" t="str">
        <x:v>2025-06-01</x:v>
      </x:c>
      <x:c r="M524" s="63" t="str">
        <x:v>2026-06-30</x:v>
      </x:c>
      <x:c r="N524" s="63" t="str">
        <x:v>2026-06-30</x:v>
      </x:c>
      <x:c r="O524" s="63" t="str">
        <x:v>E0</x:v>
      </x:c>
      <x:c r="P524" s="63" t="str">
        <x:v>APPROVED</x:v>
      </x:c>
      <x:c r="Q524" s="64" t="b">
        <x:v>0</x:v>
      </x:c>
      <x:c r="R524" s="63" t="str">
        <x:v>CURRENCY_AND_COMMODITY_EXPOSURE, GEOGRAPHIC_EXPOSURE</x:v>
      </x:c>
      <x:c r="S524" s="63" t="str">
        <x:v>Syn Bank transaction and relationship simulation</x:v>
      </x:c>
      <x:c r="T524" s="63"/>
      <x:c r="U524" s="63" t="str">
        <x:v>internal://syn-bank/simulation/ltm</x:v>
      </x:c>
      <x:c r="V524" s="63" t="str">
        <x:v>3ecca5ef2f50a6ba5a843ee81a6cbe87d5e0b065c4aef83e2b79679522887636</x:v>
      </x:c>
    </x:row>
    <x:row r="525">
      <x:c r="A525" s="63" t="str">
        <x:v>bec:E12:obs:flow:trade-finance</x:v>
      </x:c>
      <x:c r="B525" s="63" t="str">
        <x:v>E12</x:v>
      </x:c>
      <x:c r="C525" s="63" t="str">
        <x:v>bank_observed_trade_finance_ltm</x:v>
      </x:c>
      <x:c r="D525" s="63" t="str">
        <x:v>MONEY</x:v>
      </x:c>
      <x:c r="E525" s="63" t="str">
        <x:v>OBSERVED</x:v>
      </x:c>
      <x:c r="F525" s="65" t="n">
        <x:v>63867542.63</x:v>
      </x:c>
      <x:c r="G525" s="66"/>
      <x:c r="H525" s="67"/>
      <x:c r="I525" s="63"/>
      <x:c r="J525" s="63" t="str">
        <x:v>ZAR</x:v>
      </x:c>
      <x:c r="K525" s="63" t="str">
        <x:v>ZAR</x:v>
      </x:c>
      <x:c r="L525" s="63" t="str">
        <x:v>2025-06-01</x:v>
      </x:c>
      <x:c r="M525" s="63" t="str">
        <x:v>2026-06-30</x:v>
      </x:c>
      <x:c r="N525" s="63" t="str">
        <x:v>2026-06-30</x:v>
      </x:c>
      <x:c r="O525" s="63" t="str">
        <x:v>E0</x:v>
      </x:c>
      <x:c r="P525" s="63" t="str">
        <x:v>APPROVED</x:v>
      </x:c>
      <x:c r="Q525" s="64" t="b">
        <x:v>1</x:v>
      </x:c>
      <x:c r="R525" s="63" t="str">
        <x:v>WORKING_CAPITAL_CYCLE, OPERATING_MODEL</x:v>
      </x:c>
      <x:c r="S525" s="63" t="str">
        <x:v>Syn Bank transaction and relationship simulation</x:v>
      </x:c>
      <x:c r="T525" s="63"/>
      <x:c r="U525" s="63" t="str">
        <x:v>internal://syn-bank/simulation/ltm</x:v>
      </x:c>
      <x:c r="V525" s="63" t="str">
        <x:v>5f6d1039df7f88448a8d29152b9a06e8db13cbcaca2d808ee2f31de981bd34ef</x:v>
      </x:c>
    </x:row>
    <x:row r="526">
      <x:c r="A526" s="63" t="str">
        <x:v>bec:E12:obs:trend:trade-finance</x:v>
      </x:c>
      <x:c r="B526" s="63" t="str">
        <x:v>E12</x:v>
      </x:c>
      <x:c r="C526" s="63" t="str">
        <x:v>bank_observed_trade_finance_yoy_change</x:v>
      </x:c>
      <x:c r="D526" s="63" t="str">
        <x:v>RATIO</x:v>
      </x:c>
      <x:c r="E526" s="63" t="str">
        <x:v>OBSERVED</x:v>
      </x:c>
      <x:c r="F526" s="65"/>
      <x:c r="G526" s="66" t="n">
        <x:v>-0.346628</x:v>
      </x:c>
      <x:c r="H526" s="67"/>
      <x:c r="I526" s="63"/>
      <x:c r="J526" s="63"/>
      <x:c r="K526" s="63" t="str">
        <x:v>ratio</x:v>
      </x:c>
      <x:c r="L526" s="63" t="str">
        <x:v>2025-06-01</x:v>
      </x:c>
      <x:c r="M526" s="63" t="str">
        <x:v>2026-06-30</x:v>
      </x:c>
      <x:c r="N526" s="63" t="str">
        <x:v>2026-06-30</x:v>
      </x:c>
      <x:c r="O526" s="63" t="str">
        <x:v>E0</x:v>
      </x:c>
      <x:c r="P526" s="63" t="str">
        <x:v>APPROVED</x:v>
      </x:c>
      <x:c r="Q526" s="64" t="b">
        <x:v>0</x:v>
      </x:c>
      <x:c r="R526" s="63" t="str">
        <x:v>WORKING_CAPITAL_CYCLE, OPERATING_MODEL</x:v>
      </x:c>
      <x:c r="S526" s="63" t="str">
        <x:v>Syn Bank transaction and relationship simulation</x:v>
      </x:c>
      <x:c r="T526" s="63"/>
      <x:c r="U526" s="63" t="str">
        <x:v>internal://syn-bank/simulation/ltm</x:v>
      </x:c>
      <x:c r="V526" s="63" t="str">
        <x:v>dca57274c48d47d6a122b965731fbfeea79f6175bde383df5a170dea2fbc1268</x:v>
      </x:c>
    </x:row>
    <x:row r="527">
      <x:c r="A527" s="63" t="str">
        <x:v>bec:E12:obs:corridor:0</x:v>
      </x:c>
      <x:c r="B527" s="63" t="str">
        <x:v>E12</x:v>
      </x:c>
      <x:c r="C527" s="63" t="str">
        <x:v>bank_observed_corridor_value</x:v>
      </x:c>
      <x:c r="D527" s="63" t="str">
        <x:v>MONEY</x:v>
      </x:c>
      <x:c r="E527" s="63" t="str">
        <x:v>OBSERVED</x:v>
      </x:c>
      <x:c r="F527" s="65" t="n">
        <x:v>431239619.04000044</x:v>
      </x:c>
      <x:c r="G527" s="66"/>
      <x:c r="H527" s="67"/>
      <x:c r="I527" s="63"/>
      <x:c r="J527" s="63" t="str">
        <x:v>ZAR</x:v>
      </x:c>
      <x:c r="K527" s="63" t="str">
        <x:v>ZAR</x:v>
      </x:c>
      <x:c r="L527" s="63" t="str">
        <x:v>2025-06-01</x:v>
      </x:c>
      <x:c r="M527" s="63" t="str">
        <x:v>2026-06-30</x:v>
      </x:c>
      <x:c r="N527" s="63" t="str">
        <x:v>2026-06-30</x:v>
      </x:c>
      <x:c r="O527" s="63" t="str">
        <x:v>E0</x:v>
      </x:c>
      <x:c r="P527" s="63" t="str">
        <x:v>APPROVED</x:v>
      </x:c>
      <x:c r="Q527" s="64" t="b">
        <x:v>1</x:v>
      </x:c>
      <x:c r="R527" s="63" t="str">
        <x:v>GEOGRAPHIC_EXPOSURE</x:v>
      </x:c>
      <x:c r="S527" s="63" t="str">
        <x:v>Syn Bank transaction and relationship simulation</x:v>
      </x:c>
      <x:c r="T527" s="63"/>
      <x:c r="U527" s="63" t="str">
        <x:v>internal://syn-bank/simulation/ltm</x:v>
      </x:c>
      <x:c r="V527" s="63" t="str">
        <x:v>1ce852457a72a7f9f9bce09bff74940751514532ec722de9fc44cd7c75c75150</x:v>
      </x:c>
    </x:row>
    <x:row r="528">
      <x:c r="A528" s="63" t="str">
        <x:v>bec:E12:obs:corridor-name:0</x:v>
      </x:c>
      <x:c r="B528" s="63" t="str">
        <x:v>E12</x:v>
      </x:c>
      <x:c r="C528" s="63" t="str">
        <x:v>bank_observed_corridor_country</x:v>
      </x:c>
      <x:c r="D528" s="63" t="str">
        <x:v>CATEGORICAL</x:v>
      </x:c>
      <x:c r="E528" s="63" t="str">
        <x:v>OBSERVED</x:v>
      </x:c>
      <x:c r="F528" s="65"/>
      <x:c r="G528" s="66"/>
      <x:c r="H528" s="67"/>
      <x:c r="I528" s="63" t="str">
        <x:v>Lesotho</x:v>
      </x:c>
      <x:c r="J528" s="63"/>
      <x:c r="K528" s="63" t="str">
        <x:v>country</x:v>
      </x:c>
      <x:c r="L528" s="63" t="str">
        <x:v>2025-06-01</x:v>
      </x:c>
      <x:c r="M528" s="63" t="str">
        <x:v>2026-06-30</x:v>
      </x:c>
      <x:c r="N528" s="63" t="str">
        <x:v>2026-06-30</x:v>
      </x:c>
      <x:c r="O528" s="63" t="str">
        <x:v>E0</x:v>
      </x:c>
      <x:c r="P528" s="63" t="str">
        <x:v>APPROVED</x:v>
      </x:c>
      <x:c r="Q528" s="64" t="b">
        <x:v>0</x:v>
      </x:c>
      <x:c r="R528" s="63" t="str">
        <x:v>GEOGRAPHIC_EXPOSURE</x:v>
      </x:c>
      <x:c r="S528" s="63" t="str">
        <x:v>Syn Bank transaction and relationship simulation</x:v>
      </x:c>
      <x:c r="T528" s="63"/>
      <x:c r="U528" s="63" t="str">
        <x:v>internal://syn-bank/simulation/ltm</x:v>
      </x:c>
      <x:c r="V528" s="63" t="str">
        <x:v>3ab9ecbf6ddce54d05eb169e5ef45b6578bc895d1032c787b91e570ee3372521</x:v>
      </x:c>
    </x:row>
    <x:row r="529">
      <x:c r="A529" s="63" t="str">
        <x:v>bec:E12:obs:corridor:1</x:v>
      </x:c>
      <x:c r="B529" s="63" t="str">
        <x:v>E12</x:v>
      </x:c>
      <x:c r="C529" s="63" t="str">
        <x:v>bank_observed_corridor_value</x:v>
      </x:c>
      <x:c r="D529" s="63" t="str">
        <x:v>MONEY</x:v>
      </x:c>
      <x:c r="E529" s="63" t="str">
        <x:v>OBSERVED</x:v>
      </x:c>
      <x:c r="F529" s="65" t="n">
        <x:v>404045288.2299996</x:v>
      </x:c>
      <x:c r="G529" s="66"/>
      <x:c r="H529" s="67"/>
      <x:c r="I529" s="63"/>
      <x:c r="J529" s="63" t="str">
        <x:v>ZAR</x:v>
      </x:c>
      <x:c r="K529" s="63" t="str">
        <x:v>ZAR</x:v>
      </x:c>
      <x:c r="L529" s="63" t="str">
        <x:v>2025-06-01</x:v>
      </x:c>
      <x:c r="M529" s="63" t="str">
        <x:v>2026-06-30</x:v>
      </x:c>
      <x:c r="N529" s="63" t="str">
        <x:v>2026-06-30</x:v>
      </x:c>
      <x:c r="O529" s="63" t="str">
        <x:v>E0</x:v>
      </x:c>
      <x:c r="P529" s="63" t="str">
        <x:v>APPROVED</x:v>
      </x:c>
      <x:c r="Q529" s="64" t="b">
        <x:v>0</x:v>
      </x:c>
      <x:c r="R529" s="63" t="str">
        <x:v>GEOGRAPHIC_EXPOSURE</x:v>
      </x:c>
      <x:c r="S529" s="63" t="str">
        <x:v>Syn Bank transaction and relationship simulation</x:v>
      </x:c>
      <x:c r="T529" s="63"/>
      <x:c r="U529" s="63" t="str">
        <x:v>internal://syn-bank/simulation/ltm</x:v>
      </x:c>
      <x:c r="V529" s="63" t="str">
        <x:v>da28d85595f1128cce59fa4f02dd111d44228a8bfc7d3e9ab4ba8c5c4c192e4e</x:v>
      </x:c>
    </x:row>
    <x:row r="530">
      <x:c r="A530" s="63" t="str">
        <x:v>bec:E12:obs:corridor-name:1</x:v>
      </x:c>
      <x:c r="B530" s="63" t="str">
        <x:v>E12</x:v>
      </x:c>
      <x:c r="C530" s="63" t="str">
        <x:v>bank_observed_corridor_country</x:v>
      </x:c>
      <x:c r="D530" s="63" t="str">
        <x:v>CATEGORICAL</x:v>
      </x:c>
      <x:c r="E530" s="63" t="str">
        <x:v>OBSERVED</x:v>
      </x:c>
      <x:c r="F530" s="65"/>
      <x:c r="G530" s="66"/>
      <x:c r="H530" s="67"/>
      <x:c r="I530" s="63" t="str">
        <x:v>Botswana</x:v>
      </x:c>
      <x:c r="J530" s="63"/>
      <x:c r="K530" s="63" t="str">
        <x:v>country</x:v>
      </x:c>
      <x:c r="L530" s="63" t="str">
        <x:v>2025-06-01</x:v>
      </x:c>
      <x:c r="M530" s="63" t="str">
        <x:v>2026-06-30</x:v>
      </x:c>
      <x:c r="N530" s="63" t="str">
        <x:v>2026-06-30</x:v>
      </x:c>
      <x:c r="O530" s="63" t="str">
        <x:v>E0</x:v>
      </x:c>
      <x:c r="P530" s="63" t="str">
        <x:v>APPROVED</x:v>
      </x:c>
      <x:c r="Q530" s="64" t="b">
        <x:v>0</x:v>
      </x:c>
      <x:c r="R530" s="63" t="str">
        <x:v>GEOGRAPHIC_EXPOSURE</x:v>
      </x:c>
      <x:c r="S530" s="63" t="str">
        <x:v>Syn Bank transaction and relationship simulation</x:v>
      </x:c>
      <x:c r="T530" s="63"/>
      <x:c r="U530" s="63" t="str">
        <x:v>internal://syn-bank/simulation/ltm</x:v>
      </x:c>
      <x:c r="V530" s="63" t="str">
        <x:v>fb6e3f551010f05d991f8ca947c5c6e46ae2cadc166f665114aa0bfeeef71039</x:v>
      </x:c>
    </x:row>
    <x:row r="531">
      <x:c r="A531" s="63" t="str">
        <x:v>bec:E12:obs:corridor:2</x:v>
      </x:c>
      <x:c r="B531" s="63" t="str">
        <x:v>E12</x:v>
      </x:c>
      <x:c r="C531" s="63" t="str">
        <x:v>bank_observed_corridor_value</x:v>
      </x:c>
      <x:c r="D531" s="63" t="str">
        <x:v>MONEY</x:v>
      </x:c>
      <x:c r="E531" s="63" t="str">
        <x:v>OBSERVED</x:v>
      </x:c>
      <x:c r="F531" s="65" t="n">
        <x:v>393224903.28999966</x:v>
      </x:c>
      <x:c r="G531" s="66"/>
      <x:c r="H531" s="67"/>
      <x:c r="I531" s="63"/>
      <x:c r="J531" s="63" t="str">
        <x:v>ZAR</x:v>
      </x:c>
      <x:c r="K531" s="63" t="str">
        <x:v>ZAR</x:v>
      </x:c>
      <x:c r="L531" s="63" t="str">
        <x:v>2025-06-01</x:v>
      </x:c>
      <x:c r="M531" s="63" t="str">
        <x:v>2026-06-30</x:v>
      </x:c>
      <x:c r="N531" s="63" t="str">
        <x:v>2026-06-30</x:v>
      </x:c>
      <x:c r="O531" s="63" t="str">
        <x:v>E0</x:v>
      </x:c>
      <x:c r="P531" s="63" t="str">
        <x:v>APPROVED</x:v>
      </x:c>
      <x:c r="Q531" s="64" t="b">
        <x:v>0</x:v>
      </x:c>
      <x:c r="R531" s="63" t="str">
        <x:v>GEOGRAPHIC_EXPOSURE</x:v>
      </x:c>
      <x:c r="S531" s="63" t="str">
        <x:v>Syn Bank transaction and relationship simulation</x:v>
      </x:c>
      <x:c r="T531" s="63"/>
      <x:c r="U531" s="63" t="str">
        <x:v>internal://syn-bank/simulation/ltm</x:v>
      </x:c>
      <x:c r="V531" s="63" t="str">
        <x:v>4fb66882477e917c1f96431ff6ad759536d850f6998507c627c0ec3ea2a51b51</x:v>
      </x:c>
    </x:row>
    <x:row r="532">
      <x:c r="A532" s="63" t="str">
        <x:v>bec:E12:obs:corridor-name:2</x:v>
      </x:c>
      <x:c r="B532" s="63" t="str">
        <x:v>E12</x:v>
      </x:c>
      <x:c r="C532" s="63" t="str">
        <x:v>bank_observed_corridor_country</x:v>
      </x:c>
      <x:c r="D532" s="63" t="str">
        <x:v>CATEGORICAL</x:v>
      </x:c>
      <x:c r="E532" s="63" t="str">
        <x:v>OBSERVED</x:v>
      </x:c>
      <x:c r="F532" s="65"/>
      <x:c r="G532" s="66"/>
      <x:c r="H532" s="67"/>
      <x:c r="I532" s="63" t="str">
        <x:v>Namibia</x:v>
      </x:c>
      <x:c r="J532" s="63"/>
      <x:c r="K532" s="63" t="str">
        <x:v>country</x:v>
      </x:c>
      <x:c r="L532" s="63" t="str">
        <x:v>2025-06-01</x:v>
      </x:c>
      <x:c r="M532" s="63" t="str">
        <x:v>2026-06-30</x:v>
      </x:c>
      <x:c r="N532" s="63" t="str">
        <x:v>2026-06-30</x:v>
      </x:c>
      <x:c r="O532" s="63" t="str">
        <x:v>E0</x:v>
      </x:c>
      <x:c r="P532" s="63" t="str">
        <x:v>APPROVED</x:v>
      </x:c>
      <x:c r="Q532" s="64" t="b">
        <x:v>0</x:v>
      </x:c>
      <x:c r="R532" s="63" t="str">
        <x:v>GEOGRAPHIC_EXPOSURE</x:v>
      </x:c>
      <x:c r="S532" s="63" t="str">
        <x:v>Syn Bank transaction and relationship simulation</x:v>
      </x:c>
      <x:c r="T532" s="63"/>
      <x:c r="U532" s="63" t="str">
        <x:v>internal://syn-bank/simulation/ltm</x:v>
      </x:c>
      <x:c r="V532" s="63" t="str">
        <x:v>776376e4c1f2a9288b9885556153b69639afff99fdd7325b26a890cd94d7dca4</x:v>
      </x:c>
    </x:row>
    <x:row r="533">
      <x:c r="A533" s="63" t="str">
        <x:v>bec:E12:obs:currency:0</x:v>
      </x:c>
      <x:c r="B533" s="63" t="str">
        <x:v>E12</x:v>
      </x:c>
      <x:c r="C533" s="63" t="str">
        <x:v>bank_observed_currency_pair_value</x:v>
      </x:c>
      <x:c r="D533" s="63" t="str">
        <x:v>MONEY</x:v>
      </x:c>
      <x:c r="E533" s="63" t="str">
        <x:v>OBSERVED</x:v>
      </x:c>
      <x:c r="F533" s="65" t="n">
        <x:v>633856824.4399996</x:v>
      </x:c>
      <x:c r="G533" s="66"/>
      <x:c r="H533" s="67"/>
      <x:c r="I533" s="63"/>
      <x:c r="J533" s="63" t="str">
        <x:v>ZAR</x:v>
      </x:c>
      <x:c r="K533" s="63" t="str">
        <x:v>ZAR</x:v>
      </x:c>
      <x:c r="L533" s="63" t="str">
        <x:v>2025-06-01</x:v>
      </x:c>
      <x:c r="M533" s="63" t="str">
        <x:v>2026-06-30</x:v>
      </x:c>
      <x:c r="N533" s="63" t="str">
        <x:v>2026-06-30</x:v>
      </x:c>
      <x:c r="O533" s="63" t="str">
        <x:v>E0</x:v>
      </x:c>
      <x:c r="P533" s="63" t="str">
        <x:v>APPROVED</x:v>
      </x:c>
      <x:c r="Q533" s="64" t="b">
        <x:v>1</x:v>
      </x:c>
      <x:c r="R533" s="63" t="str">
        <x:v>CURRENCY_AND_COMMODITY_EXPOSURE</x:v>
      </x:c>
      <x:c r="S533" s="63" t="str">
        <x:v>Syn Bank transaction and relationship simulation</x:v>
      </x:c>
      <x:c r="T533" s="63"/>
      <x:c r="U533" s="63" t="str">
        <x:v>internal://syn-bank/simulation/ltm</x:v>
      </x:c>
      <x:c r="V533" s="63" t="str">
        <x:v>f53f9af108dbe543737390ca8e14e97b77d8dc5bbbf03ce59410e361f2726e7a</x:v>
      </x:c>
    </x:row>
    <x:row r="534">
      <x:c r="A534" s="63" t="str">
        <x:v>bec:E12:obs:currency-pair:0</x:v>
      </x:c>
      <x:c r="B534" s="63" t="str">
        <x:v>E12</x:v>
      </x:c>
      <x:c r="C534" s="63" t="str">
        <x:v>bank_observed_currency_pair</x:v>
      </x:c>
      <x:c r="D534" s="63" t="str">
        <x:v>CATEGORICAL</x:v>
      </x:c>
      <x:c r="E534" s="63" t="str">
        <x:v>OBSERVED</x:v>
      </x:c>
      <x:c r="F534" s="65"/>
      <x:c r="G534" s="66"/>
      <x:c r="H534" s="67"/>
      <x:c r="I534" s="63" t="str">
        <x:v>CNY/ZAR</x:v>
      </x:c>
      <x:c r="J534" s="63"/>
      <x:c r="K534" s="63" t="str">
        <x:v>currency_pair</x:v>
      </x:c>
      <x:c r="L534" s="63" t="str">
        <x:v>2025-06-01</x:v>
      </x:c>
      <x:c r="M534" s="63" t="str">
        <x:v>2026-06-30</x:v>
      </x:c>
      <x:c r="N534" s="63" t="str">
        <x:v>2026-06-30</x:v>
      </x:c>
      <x:c r="O534" s="63" t="str">
        <x:v>E0</x:v>
      </x:c>
      <x:c r="P534" s="63" t="str">
        <x:v>APPROVED</x:v>
      </x:c>
      <x:c r="Q534" s="64" t="b">
        <x:v>0</x:v>
      </x:c>
      <x:c r="R534" s="63" t="str">
        <x:v>CURRENCY_AND_COMMODITY_EXPOSURE</x:v>
      </x:c>
      <x:c r="S534" s="63" t="str">
        <x:v>Syn Bank transaction and relationship simulation</x:v>
      </x:c>
      <x:c r="T534" s="63"/>
      <x:c r="U534" s="63" t="str">
        <x:v>internal://syn-bank/simulation/ltm</x:v>
      </x:c>
      <x:c r="V534" s="63" t="str">
        <x:v>cce2fade1e3c97f36d5b0899d0649ed9c5f5d51fa77229f57f8470e6c52dd5e1</x:v>
      </x:c>
    </x:row>
    <x:row r="535">
      <x:c r="A535" s="63" t="str">
        <x:v>bec:E12:obs:currency:1</x:v>
      </x:c>
      <x:c r="B535" s="63" t="str">
        <x:v>E12</x:v>
      </x:c>
      <x:c r="C535" s="63" t="str">
        <x:v>bank_observed_currency_pair_value</x:v>
      </x:c>
      <x:c r="D535" s="63" t="str">
        <x:v>MONEY</x:v>
      </x:c>
      <x:c r="E535" s="63" t="str">
        <x:v>OBSERVED</x:v>
      </x:c>
      <x:c r="F535" s="65" t="n">
        <x:v>614792521.2999992</x:v>
      </x:c>
      <x:c r="G535" s="66"/>
      <x:c r="H535" s="67"/>
      <x:c r="I535" s="63"/>
      <x:c r="J535" s="63" t="str">
        <x:v>ZAR</x:v>
      </x:c>
      <x:c r="K535" s="63" t="str">
        <x:v>ZAR</x:v>
      </x:c>
      <x:c r="L535" s="63" t="str">
        <x:v>2025-06-01</x:v>
      </x:c>
      <x:c r="M535" s="63" t="str">
        <x:v>2026-06-30</x:v>
      </x:c>
      <x:c r="N535" s="63" t="str">
        <x:v>2026-06-30</x:v>
      </x:c>
      <x:c r="O535" s="63" t="str">
        <x:v>E0</x:v>
      </x:c>
      <x:c r="P535" s="63" t="str">
        <x:v>APPROVED</x:v>
      </x:c>
      <x:c r="Q535" s="64" t="b">
        <x:v>0</x:v>
      </x:c>
      <x:c r="R535" s="63" t="str">
        <x:v>CURRENCY_AND_COMMODITY_EXPOSURE</x:v>
      </x:c>
      <x:c r="S535" s="63" t="str">
        <x:v>Syn Bank transaction and relationship simulation</x:v>
      </x:c>
      <x:c r="T535" s="63"/>
      <x:c r="U535" s="63" t="str">
        <x:v>internal://syn-bank/simulation/ltm</x:v>
      </x:c>
      <x:c r="V535" s="63" t="str">
        <x:v>cd77a1e0e47441ec240ea58918fb7e6b6aa5d1d55e49375c91f5cda7054cf633</x:v>
      </x:c>
    </x:row>
    <x:row r="536">
      <x:c r="A536" s="63" t="str">
        <x:v>bec:E12:obs:currency-pair:1</x:v>
      </x:c>
      <x:c r="B536" s="63" t="str">
        <x:v>E12</x:v>
      </x:c>
      <x:c r="C536" s="63" t="str">
        <x:v>bank_observed_currency_pair</x:v>
      </x:c>
      <x:c r="D536" s="63" t="str">
        <x:v>CATEGORICAL</x:v>
      </x:c>
      <x:c r="E536" s="63" t="str">
        <x:v>OBSERVED</x:v>
      </x:c>
      <x:c r="F536" s="65"/>
      <x:c r="G536" s="66"/>
      <x:c r="H536" s="67"/>
      <x:c r="I536" s="63" t="str">
        <x:v>GBP/ZAR</x:v>
      </x:c>
      <x:c r="J536" s="63"/>
      <x:c r="K536" s="63" t="str">
        <x:v>currency_pair</x:v>
      </x:c>
      <x:c r="L536" s="63" t="str">
        <x:v>2025-06-01</x:v>
      </x:c>
      <x:c r="M536" s="63" t="str">
        <x:v>2026-06-30</x:v>
      </x:c>
      <x:c r="N536" s="63" t="str">
        <x:v>2026-06-30</x:v>
      </x:c>
      <x:c r="O536" s="63" t="str">
        <x:v>E0</x:v>
      </x:c>
      <x:c r="P536" s="63" t="str">
        <x:v>APPROVED</x:v>
      </x:c>
      <x:c r="Q536" s="64" t="b">
        <x:v>0</x:v>
      </x:c>
      <x:c r="R536" s="63" t="str">
        <x:v>CURRENCY_AND_COMMODITY_EXPOSURE</x:v>
      </x:c>
      <x:c r="S536" s="63" t="str">
        <x:v>Syn Bank transaction and relationship simulation</x:v>
      </x:c>
      <x:c r="T536" s="63"/>
      <x:c r="U536" s="63" t="str">
        <x:v>internal://syn-bank/simulation/ltm</x:v>
      </x:c>
      <x:c r="V536" s="63" t="str">
        <x:v>d9d1cf0e519b274f610497b250c1776a86df0667fc5dfe9af399c2f09f0ed06c</x:v>
      </x:c>
    </x:row>
    <x:row r="537">
      <x:c r="A537" s="63" t="str">
        <x:v>bec:E12:obs:currency:2</x:v>
      </x:c>
      <x:c r="B537" s="63" t="str">
        <x:v>E12</x:v>
      </x:c>
      <x:c r="C537" s="63" t="str">
        <x:v>bank_observed_currency_pair_value</x:v>
      </x:c>
      <x:c r="D537" s="63" t="str">
        <x:v>MONEY</x:v>
      </x:c>
      <x:c r="E537" s="63" t="str">
        <x:v>OBSERVED</x:v>
      </x:c>
      <x:c r="F537" s="65" t="n">
        <x:v>597510279.530001</x:v>
      </x:c>
      <x:c r="G537" s="66"/>
      <x:c r="H537" s="67"/>
      <x:c r="I537" s="63"/>
      <x:c r="J537" s="63" t="str">
        <x:v>ZAR</x:v>
      </x:c>
      <x:c r="K537" s="63" t="str">
        <x:v>ZAR</x:v>
      </x:c>
      <x:c r="L537" s="63" t="str">
        <x:v>2025-06-01</x:v>
      </x:c>
      <x:c r="M537" s="63" t="str">
        <x:v>2026-06-30</x:v>
      </x:c>
      <x:c r="N537" s="63" t="str">
        <x:v>2026-06-30</x:v>
      </x:c>
      <x:c r="O537" s="63" t="str">
        <x:v>E0</x:v>
      </x:c>
      <x:c r="P537" s="63" t="str">
        <x:v>APPROVED</x:v>
      </x:c>
      <x:c r="Q537" s="64" t="b">
        <x:v>0</x:v>
      </x:c>
      <x:c r="R537" s="63" t="str">
        <x:v>CURRENCY_AND_COMMODITY_EXPOSURE</x:v>
      </x:c>
      <x:c r="S537" s="63" t="str">
        <x:v>Syn Bank transaction and relationship simulation</x:v>
      </x:c>
      <x:c r="T537" s="63"/>
      <x:c r="U537" s="63" t="str">
        <x:v>internal://syn-bank/simulation/ltm</x:v>
      </x:c>
      <x:c r="V537" s="63" t="str">
        <x:v>8b374cc4a0b260a6d73e646858954ff703f059c4e0e71321ee65d6c86e120333</x:v>
      </x:c>
    </x:row>
    <x:row r="538">
      <x:c r="A538" s="63" t="str">
        <x:v>bec:E12:obs:currency-pair:2</x:v>
      </x:c>
      <x:c r="B538" s="63" t="str">
        <x:v>E12</x:v>
      </x:c>
      <x:c r="C538" s="63" t="str">
        <x:v>bank_observed_currency_pair</x:v>
      </x:c>
      <x:c r="D538" s="63" t="str">
        <x:v>CATEGORICAL</x:v>
      </x:c>
      <x:c r="E538" s="63" t="str">
        <x:v>OBSERVED</x:v>
      </x:c>
      <x:c r="F538" s="65"/>
      <x:c r="G538" s="66"/>
      <x:c r="H538" s="67"/>
      <x:c r="I538" s="63" t="str">
        <x:v>EUR/ZAR</x:v>
      </x:c>
      <x:c r="J538" s="63"/>
      <x:c r="K538" s="63" t="str">
        <x:v>currency_pair</x:v>
      </x:c>
      <x:c r="L538" s="63" t="str">
        <x:v>2025-06-01</x:v>
      </x:c>
      <x:c r="M538" s="63" t="str">
        <x:v>2026-06-30</x:v>
      </x:c>
      <x:c r="N538" s="63" t="str">
        <x:v>2026-06-30</x:v>
      </x:c>
      <x:c r="O538" s="63" t="str">
        <x:v>E0</x:v>
      </x:c>
      <x:c r="P538" s="63" t="str">
        <x:v>APPROVED</x:v>
      </x:c>
      <x:c r="Q538" s="64" t="b">
        <x:v>0</x:v>
      </x:c>
      <x:c r="R538" s="63" t="str">
        <x:v>CURRENCY_AND_COMMODITY_EXPOSURE</x:v>
      </x:c>
      <x:c r="S538" s="63" t="str">
        <x:v>Syn Bank transaction and relationship simulation</x:v>
      </x:c>
      <x:c r="T538" s="63"/>
      <x:c r="U538" s="63" t="str">
        <x:v>internal://syn-bank/simulation/ltm</x:v>
      </x:c>
      <x:c r="V538" s="63" t="str">
        <x:v>433a47468491d04d4b191273c08e58dc3e27f52618e5bdfaa8e293eb71bbe4b5</x:v>
      </x:c>
    </x:row>
    <x:row r="539">
      <x:c r="A539" s="63" t="str">
        <x:v>bec:E12:obs:country-count</x:v>
      </x:c>
      <x:c r="B539" s="63" t="str">
        <x:v>E12</x:v>
      </x:c>
      <x:c r="C539" s="63" t="str">
        <x:v>bank_observed_active_country_count</x:v>
      </x:c>
      <x:c r="D539" s="63" t="str">
        <x:v>COUNT</x:v>
      </x:c>
      <x:c r="E539" s="63" t="str">
        <x:v>OBSERVED</x:v>
      </x:c>
      <x:c r="F539" s="65"/>
      <x:c r="G539" s="66"/>
      <x:c r="H539" s="67" t="n">
        <x:v>18</x:v>
      </x:c>
      <x:c r="I539" s="63"/>
      <x:c r="J539" s="63"/>
      <x:c r="K539" s="63" t="str">
        <x:v>countries</x:v>
      </x:c>
      <x:c r="L539" s="63" t="str">
        <x:v>2025-06-01</x:v>
      </x:c>
      <x:c r="M539" s="63" t="str">
        <x:v>2026-06-30</x:v>
      </x:c>
      <x:c r="N539" s="63" t="str">
        <x:v>2026-06-30</x:v>
      </x:c>
      <x:c r="O539" s="63" t="str">
        <x:v>E0</x:v>
      </x:c>
      <x:c r="P539" s="63" t="str">
        <x:v>APPROVED</x:v>
      </x:c>
      <x:c r="Q539" s="64" t="b">
        <x:v>1</x:v>
      </x:c>
      <x:c r="R539" s="63" t="str">
        <x:v>GEOGRAPHIC_EXPOSURE</x:v>
      </x:c>
      <x:c r="S539" s="63" t="str">
        <x:v>Syn Bank transaction and relationship simulation</x:v>
      </x:c>
      <x:c r="T539" s="63"/>
      <x:c r="U539" s="63" t="str">
        <x:v>internal://syn-bank/simulation/ltm</x:v>
      </x:c>
      <x:c r="V539" s="63" t="str">
        <x:v>1fdbf0f77ebf82e6211d0e90380acaac52ace77839e55f3fc5481b8f65d7241d</x:v>
      </x:c>
    </x:row>
    <x:row r="540">
      <x:c r="A540" s="63" t="str">
        <x:v>bec:E12:obs:relationship-breadth</x:v>
      </x:c>
      <x:c r="B540" s="63" t="str">
        <x:v>E12</x:v>
      </x:c>
      <x:c r="C540" s="63" t="str">
        <x:v>bank_observed_product_relationship_breadth</x:v>
      </x:c>
      <x:c r="D540" s="63" t="str">
        <x:v>COUNT</x:v>
      </x:c>
      <x:c r="E540" s="63" t="str">
        <x:v>OBSERVED</x:v>
      </x:c>
      <x:c r="F540" s="65"/>
      <x:c r="G540" s="66"/>
      <x:c r="H540" s="67" t="n">
        <x:v>5</x:v>
      </x:c>
      <x:c r="I540" s="63"/>
      <x:c r="J540" s="63"/>
      <x:c r="K540" s="63" t="str">
        <x:v>products</x:v>
      </x:c>
      <x:c r="L540" s="63" t="str">
        <x:v>2025-06-01</x:v>
      </x:c>
      <x:c r="M540" s="63" t="str">
        <x:v>2026-06-30</x:v>
      </x:c>
      <x:c r="N540" s="63" t="str">
        <x:v>2026-06-30</x:v>
      </x:c>
      <x:c r="O540" s="63" t="str">
        <x:v>E0</x:v>
      </x:c>
      <x:c r="P540" s="63" t="str">
        <x:v>APPROVED</x:v>
      </x:c>
      <x:c r="Q540" s="64" t="b">
        <x:v>1</x:v>
      </x:c>
      <x:c r="R540" s="63" t="str">
        <x:v>OPERATING_MODEL</x:v>
      </x:c>
      <x:c r="S540" s="63" t="str">
        <x:v>Syn Bank transaction and relationship simulation</x:v>
      </x:c>
      <x:c r="T540" s="63"/>
      <x:c r="U540" s="63" t="str">
        <x:v>internal://syn-bank/simulation/ltm</x:v>
      </x:c>
      <x:c r="V540" s="63" t="str">
        <x:v>a7683716f4776f803a2ad7e69a9ec17f6d4df188b53dc941e173522836de73be</x:v>
      </x:c>
    </x:row>
    <x:row r="541">
      <x:c r="A541" s="63" t="str">
        <x:v>bec:E12:obs:latent:operating_scale</x:v>
      </x:c>
      <x:c r="B541" s="63" t="str">
        <x:v>E12</x:v>
      </x:c>
      <x:c r="C541" s="63" t="str">
        <x:v>bank_observed_operating_scale_index</x:v>
      </x:c>
      <x:c r="D541" s="63" t="str">
        <x:v>RATIO</x:v>
      </x:c>
      <x:c r="E541" s="63" t="str">
        <x:v>OBSERVED</x:v>
      </x:c>
      <x:c r="F541" s="65"/>
      <x:c r="G541" s="66" t="n">
        <x:v>0.2</x:v>
      </x:c>
      <x:c r="H541" s="67"/>
      <x:c r="I541" s="63"/>
      <x:c r="J541" s="63"/>
      <x:c r="K541" s="63" t="str">
        <x:v>index_0_1</x:v>
      </x:c>
      <x:c r="L541" s="63" t="str">
        <x:v>2025-06-01</x:v>
      </x:c>
      <x:c r="M541" s="63" t="str">
        <x:v>2026-06-30</x:v>
      </x:c>
      <x:c r="N541" s="63" t="str">
        <x:v>2026-06-30</x:v>
      </x:c>
      <x:c r="O541" s="63" t="str">
        <x:v>E0</x:v>
      </x:c>
      <x:c r="P541" s="63" t="str">
        <x:v>APPROVED</x:v>
      </x:c>
      <x:c r="Q541" s="64" t="b">
        <x:v>0</x:v>
      </x:c>
      <x:c r="R541" s="63" t="str">
        <x:v>OPERATING_MODEL</x:v>
      </x:c>
      <x:c r="S541" s="63" t="str">
        <x:v>Syn Bank transaction and relationship simulation</x:v>
      </x:c>
      <x:c r="T541" s="63"/>
      <x:c r="U541" s="63" t="str">
        <x:v>internal://syn-bank/simulation/ltm</x:v>
      </x:c>
      <x:c r="V541" s="63" t="str">
        <x:v>f1f56f863658ee29a9478acb4b847e56b8c704fecd9f380f312b1698229ef30c</x:v>
      </x:c>
    </x:row>
    <x:row r="542">
      <x:c r="A542" s="63" t="str">
        <x:v>bec:E12:obs:latent:working_capital_intensity</x:v>
      </x:c>
      <x:c r="B542" s="63" t="str">
        <x:v>E12</x:v>
      </x:c>
      <x:c r="C542" s="63" t="str">
        <x:v>bank_observed_working_capital_intensity_index</x:v>
      </x:c>
      <x:c r="D542" s="63" t="str">
        <x:v>RATIO</x:v>
      </x:c>
      <x:c r="E542" s="63" t="str">
        <x:v>OBSERVED</x:v>
      </x:c>
      <x:c r="F542" s="65"/>
      <x:c r="G542" s="66" t="n">
        <x:v>0.153</x:v>
      </x:c>
      <x:c r="H542" s="67"/>
      <x:c r="I542" s="63"/>
      <x:c r="J542" s="63"/>
      <x:c r="K542" s="63" t="str">
        <x:v>index_0_1</x:v>
      </x:c>
      <x:c r="L542" s="63" t="str">
        <x:v>2025-06-01</x:v>
      </x:c>
      <x:c r="M542" s="63" t="str">
        <x:v>2026-06-30</x:v>
      </x:c>
      <x:c r="N542" s="63" t="str">
        <x:v>2026-06-30</x:v>
      </x:c>
      <x:c r="O542" s="63" t="str">
        <x:v>E0</x:v>
      </x:c>
      <x:c r="P542" s="63" t="str">
        <x:v>APPROVED</x:v>
      </x:c>
      <x:c r="Q542" s="64" t="b">
        <x:v>0</x:v>
      </x:c>
      <x:c r="R542" s="63" t="str">
        <x:v>WORKING_CAPITAL_CYCLE</x:v>
      </x:c>
      <x:c r="S542" s="63" t="str">
        <x:v>Syn Bank transaction and relationship simulation</x:v>
      </x:c>
      <x:c r="T542" s="63"/>
      <x:c r="U542" s="63" t="str">
        <x:v>internal://syn-bank/simulation/ltm</x:v>
      </x:c>
      <x:c r="V542" s="63" t="str">
        <x:v>c94fbc15c4647eeb19f3eb05d9fbcbd87458805b4c4a09f9c0b1b494462627ea</x:v>
      </x:c>
    </x:row>
    <x:row r="543">
      <x:c r="A543" s="63" t="str">
        <x:v>bec:E12:obs:latent:liquidity_volatility</x:v>
      </x:c>
      <x:c r="B543" s="63" t="str">
        <x:v>E12</x:v>
      </x:c>
      <x:c r="C543" s="63" t="str">
        <x:v>bank_observed_liquidity_volatility_index</x:v>
      </x:c>
      <x:c r="D543" s="63" t="str">
        <x:v>RATIO</x:v>
      </x:c>
      <x:c r="E543" s="63" t="str">
        <x:v>OBSERVED</x:v>
      </x:c>
      <x:c r="F543" s="65"/>
      <x:c r="G543" s="66" t="n">
        <x:v>0.115</x:v>
      </x:c>
      <x:c r="H543" s="67"/>
      <x:c r="I543" s="63"/>
      <x:c r="J543" s="63"/>
      <x:c r="K543" s="63" t="str">
        <x:v>index_0_1</x:v>
      </x:c>
      <x:c r="L543" s="63" t="str">
        <x:v>2025-06-01</x:v>
      </x:c>
      <x:c r="M543" s="63" t="str">
        <x:v>2026-06-30</x:v>
      </x:c>
      <x:c r="N543" s="63" t="str">
        <x:v>2026-06-30</x:v>
      </x:c>
      <x:c r="O543" s="63" t="str">
        <x:v>E0</x:v>
      </x:c>
      <x:c r="P543" s="63" t="str">
        <x:v>APPROVED</x:v>
      </x:c>
      <x:c r="Q543" s="64" t="b">
        <x:v>0</x:v>
      </x:c>
      <x:c r="R543" s="63" t="str">
        <x:v>LIQUIDITY_AND_BUFFER</x:v>
      </x:c>
      <x:c r="S543" s="63" t="str">
        <x:v>Syn Bank transaction and relationship simulation</x:v>
      </x:c>
      <x:c r="T543" s="63"/>
      <x:c r="U543" s="63" t="str">
        <x:v>internal://syn-bank/simulation/ltm</x:v>
      </x:c>
      <x:c r="V543" s="63" t="str">
        <x:v>26d3295cd7b646591c63f7e11c3018a775885573aeb18de645c5ceee652cdc93</x:v>
      </x:c>
    </x:row>
    <x:row r="544">
      <x:c r="A544" s="63" t="str">
        <x:v>bec:E12:obs:latent:international_exposure</x:v>
      </x:c>
      <x:c r="B544" s="63" t="str">
        <x:v>E12</x:v>
      </x:c>
      <x:c r="C544" s="63" t="str">
        <x:v>bank_observed_international_exposure_index</x:v>
      </x:c>
      <x:c r="D544" s="63" t="str">
        <x:v>RATIO</x:v>
      </x:c>
      <x:c r="E544" s="63" t="str">
        <x:v>OBSERVED</x:v>
      </x:c>
      <x:c r="F544" s="65"/>
      <x:c r="G544" s="66" t="n">
        <x:v>0.847</x:v>
      </x:c>
      <x:c r="H544" s="67"/>
      <x:c r="I544" s="63"/>
      <x:c r="J544" s="63"/>
      <x:c r="K544" s="63" t="str">
        <x:v>index_0_1</x:v>
      </x:c>
      <x:c r="L544" s="63" t="str">
        <x:v>2025-06-01</x:v>
      </x:c>
      <x:c r="M544" s="63" t="str">
        <x:v>2026-06-30</x:v>
      </x:c>
      <x:c r="N544" s="63" t="str">
        <x:v>2026-06-30</x:v>
      </x:c>
      <x:c r="O544" s="63" t="str">
        <x:v>E0</x:v>
      </x:c>
      <x:c r="P544" s="63" t="str">
        <x:v>APPROVED</x:v>
      </x:c>
      <x:c r="Q544" s="64" t="b">
        <x:v>0</x:v>
      </x:c>
      <x:c r="R544" s="63" t="str">
        <x:v>GEOGRAPHIC_EXPOSURE</x:v>
      </x:c>
      <x:c r="S544" s="63" t="str">
        <x:v>Syn Bank transaction and relationship simulation</x:v>
      </x:c>
      <x:c r="T544" s="63"/>
      <x:c r="U544" s="63" t="str">
        <x:v>internal://syn-bank/simulation/ltm</x:v>
      </x:c>
      <x:c r="V544" s="63" t="str">
        <x:v>30d8c4d579c2da2f0a3221ebce5048ed2fb1b94942a29a90a04e6b14522603c1</x:v>
      </x:c>
    </x:row>
    <x:row r="545">
      <x:c r="A545" s="63" t="str">
        <x:v>bec:E12:obs:latent:financing_need</x:v>
      </x:c>
      <x:c r="B545" s="63" t="str">
        <x:v>E12</x:v>
      </x:c>
      <x:c r="C545" s="63" t="str">
        <x:v>bank_observed_financing_need_index</x:v>
      </x:c>
      <x:c r="D545" s="63" t="str">
        <x:v>RATIO</x:v>
      </x:c>
      <x:c r="E545" s="63" t="str">
        <x:v>OBSERVED</x:v>
      </x:c>
      <x:c r="F545" s="65"/>
      <x:c r="G545" s="66" t="n">
        <x:v>0.055</x:v>
      </x:c>
      <x:c r="H545" s="67"/>
      <x:c r="I545" s="63"/>
      <x:c r="J545" s="63"/>
      <x:c r="K545" s="63" t="str">
        <x:v>index_0_1</x:v>
      </x:c>
      <x:c r="L545" s="63" t="str">
        <x:v>2025-06-01</x:v>
      </x:c>
      <x:c r="M545" s="63" t="str">
        <x:v>2026-06-30</x:v>
      </x:c>
      <x:c r="N545" s="63" t="str">
        <x:v>2026-06-30</x:v>
      </x:c>
      <x:c r="O545" s="63" t="str">
        <x:v>E0</x:v>
      </x:c>
      <x:c r="P545" s="63" t="str">
        <x:v>APPROVED</x:v>
      </x:c>
      <x:c r="Q545" s="64" t="b">
        <x:v>0</x:v>
      </x:c>
      <x:c r="R545" s="63" t="str">
        <x:v>FUNDING_STRUCTURE</x:v>
      </x:c>
      <x:c r="S545" s="63" t="str">
        <x:v>Syn Bank transaction and relationship simulation</x:v>
      </x:c>
      <x:c r="T545" s="63"/>
      <x:c r="U545" s="63" t="str">
        <x:v>internal://syn-bank/simulation/ltm</x:v>
      </x:c>
      <x:c r="V545" s="63" t="str">
        <x:v>d39dab68597e6bfb90d6c84759ce43294b30267ae6a2ac4b2a784091fab286ae</x:v>
      </x:c>
    </x:row>
    <x:row r="546">
      <x:c r="A546" s="63" t="str">
        <x:v>bec:E12:obs:latent:event_intensity</x:v>
      </x:c>
      <x:c r="B546" s="63" t="str">
        <x:v>E12</x:v>
      </x:c>
      <x:c r="C546" s="63" t="str">
        <x:v>bank_observed_event_intensity_index</x:v>
      </x:c>
      <x:c r="D546" s="63" t="str">
        <x:v>RATIO</x:v>
      </x:c>
      <x:c r="E546" s="63" t="str">
        <x:v>OBSERVED</x:v>
      </x:c>
      <x:c r="F546" s="65"/>
      <x:c r="G546" s="66" t="n">
        <x:v>1</x:v>
      </x:c>
      <x:c r="H546" s="67"/>
      <x:c r="I546" s="63"/>
      <x:c r="J546" s="63"/>
      <x:c r="K546" s="63" t="str">
        <x:v>index_0_1</x:v>
      </x:c>
      <x:c r="L546" s="63" t="str">
        <x:v>2025-06-01</x:v>
      </x:c>
      <x:c r="M546" s="63" t="str">
        <x:v>2026-06-30</x:v>
      </x:c>
      <x:c r="N546" s="63" t="str">
        <x:v>2026-06-30</x:v>
      </x:c>
      <x:c r="O546" s="63" t="str">
        <x:v>E0</x:v>
      </x:c>
      <x:c r="P546" s="63" t="str">
        <x:v>APPROVED</x:v>
      </x:c>
      <x:c r="Q546" s="64" t="b">
        <x:v>0</x:v>
      </x:c>
      <x:c r="R546" s="63" t="str">
        <x:v>STRATEGY_ACTIONS_AND_ESG</x:v>
      </x:c>
      <x:c r="S546" s="63" t="str">
        <x:v>Syn Bank transaction and relationship simulation</x:v>
      </x:c>
      <x:c r="T546" s="63"/>
      <x:c r="U546" s="63" t="str">
        <x:v>internal://syn-bank/simulation/ltm</x:v>
      </x:c>
      <x:c r="V546" s="63" t="str">
        <x:v>a9092d9b8fe0836fc360dd0f2ff695bfa2ed654b1feadcd47927bf04aa6db333</x:v>
      </x:c>
    </x:row>
    <x:row r="547">
      <x:c r="A547" s="63" t="str">
        <x:v>bec:E12:obs:latent:relationship_complexity</x:v>
      </x:c>
      <x:c r="B547" s="63" t="str">
        <x:v>E12</x:v>
      </x:c>
      <x:c r="C547" s="63" t="str">
        <x:v>bank_observed_relationship_complexity_index</x:v>
      </x:c>
      <x:c r="D547" s="63" t="str">
        <x:v>RATIO</x:v>
      </x:c>
      <x:c r="E547" s="63" t="str">
        <x:v>OBSERVED</x:v>
      </x:c>
      <x:c r="F547" s="65"/>
      <x:c r="G547" s="66" t="n">
        <x:v>1</x:v>
      </x:c>
      <x:c r="H547" s="67"/>
      <x:c r="I547" s="63"/>
      <x:c r="J547" s="63"/>
      <x:c r="K547" s="63" t="str">
        <x:v>index_0_1</x:v>
      </x:c>
      <x:c r="L547" s="63" t="str">
        <x:v>2025-06-01</x:v>
      </x:c>
      <x:c r="M547" s="63" t="str">
        <x:v>2026-06-30</x:v>
      </x:c>
      <x:c r="N547" s="63" t="str">
        <x:v>2026-06-30</x:v>
      </x:c>
      <x:c r="O547" s="63" t="str">
        <x:v>E0</x:v>
      </x:c>
      <x:c r="P547" s="63" t="str">
        <x:v>APPROVED</x:v>
      </x:c>
      <x:c r="Q547" s="64" t="b">
        <x:v>0</x:v>
      </x:c>
      <x:c r="R547" s="63" t="str">
        <x:v>OPERATING_MODEL</x:v>
      </x:c>
      <x:c r="S547" s="63" t="str">
        <x:v>Syn Bank transaction and relationship simulation</x:v>
      </x:c>
      <x:c r="T547" s="63"/>
      <x:c r="U547" s="63" t="str">
        <x:v>internal://syn-bank/simulation/ltm</x:v>
      </x:c>
      <x:c r="V547" s="63" t="str">
        <x:v>4b97043846f27e47b36cc5f778aed3d95dba32a2014f6157bcb0c49d0087cb43</x:v>
      </x:c>
    </x:row>
    <x:row r="548">
      <x:c r="A548" s="63" t="str">
        <x:v>bec:E12:obs:events:trade-90d</x:v>
      </x:c>
      <x:c r="B548" s="63" t="str">
        <x:v>E12</x:v>
      </x:c>
      <x:c r="C548" s="63" t="str">
        <x:v>bank_observed_trade_events_next_90d</x:v>
      </x:c>
      <x:c r="D548" s="63" t="str">
        <x:v>COUNT</x:v>
      </x:c>
      <x:c r="E548" s="63" t="str">
        <x:v>OBSERVED</x:v>
      </x:c>
      <x:c r="F548" s="65"/>
      <x:c r="G548" s="66"/>
      <x:c r="H548" s="67" t="n">
        <x:v>18</x:v>
      </x:c>
      <x:c r="I548" s="63"/>
      <x:c r="J548" s="63"/>
      <x:c r="K548" s="63" t="str">
        <x:v>events</x:v>
      </x:c>
      <x:c r="L548" s="63" t="str">
        <x:v>2025-06-01</x:v>
      </x:c>
      <x:c r="M548" s="63" t="str">
        <x:v>2026-06-30</x:v>
      </x:c>
      <x:c r="N548" s="63" t="str">
        <x:v>2026-06-30</x:v>
      </x:c>
      <x:c r="O548" s="63" t="str">
        <x:v>E0</x:v>
      </x:c>
      <x:c r="P548" s="63" t="str">
        <x:v>APPROVED</x:v>
      </x:c>
      <x:c r="Q548" s="64" t="b">
        <x:v>1</x:v>
      </x:c>
      <x:c r="R548" s="63" t="str">
        <x:v>OPERATING_MODEL, WORKING_CAPITAL_CYCLE</x:v>
      </x:c>
      <x:c r="S548" s="63" t="str">
        <x:v>Syn Bank transaction and relationship simulation</x:v>
      </x:c>
      <x:c r="T548" s="63"/>
      <x:c r="U548" s="63" t="str">
        <x:v>internal://syn-bank/simulation/ltm</x:v>
      </x:c>
      <x:c r="V548" s="63" t="str">
        <x:v>8d892f686cb57916daba32bca52c4e38062becf41ce81fb137f3d51d8d9e1686</x:v>
      </x:c>
    </x:row>
    <x:row r="549">
      <x:c r="A549" s="63" t="str">
        <x:v>bec:E12:obs:events:trade-90d-value</x:v>
      </x:c>
      <x:c r="B549" s="63" t="str">
        <x:v>E12</x:v>
      </x:c>
      <x:c r="C549" s="63" t="str">
        <x:v>bank_observed_trade_events_value_next_90d</x:v>
      </x:c>
      <x:c r="D549" s="63" t="str">
        <x:v>MONEY</x:v>
      </x:c>
      <x:c r="E549" s="63" t="str">
        <x:v>OBSERVED</x:v>
      </x:c>
      <x:c r="F549" s="65" t="n">
        <x:v>19310487.330000002</x:v>
      </x:c>
      <x:c r="G549" s="66"/>
      <x:c r="H549" s="67"/>
      <x:c r="I549" s="63"/>
      <x:c r="J549" s="63" t="str">
        <x:v>ZAR</x:v>
      </x:c>
      <x:c r="K549" s="63" t="str">
        <x:v>ZAR</x:v>
      </x:c>
      <x:c r="L549" s="63" t="str">
        <x:v>2025-06-01</x:v>
      </x:c>
      <x:c r="M549" s="63" t="str">
        <x:v>2026-06-30</x:v>
      </x:c>
      <x:c r="N549" s="63" t="str">
        <x:v>2026-06-30</x:v>
      </x:c>
      <x:c r="O549" s="63" t="str">
        <x:v>E0</x:v>
      </x:c>
      <x:c r="P549" s="63" t="str">
        <x:v>APPROVED</x:v>
      </x:c>
      <x:c r="Q549" s="64" t="b">
        <x:v>0</x:v>
      </x:c>
      <x:c r="R549" s="63" t="str">
        <x:v>WORKING_CAPITAL_CYCLE</x:v>
      </x:c>
      <x:c r="S549" s="63" t="str">
        <x:v>Syn Bank transaction and relationship simulation</x:v>
      </x:c>
      <x:c r="T549" s="63"/>
      <x:c r="U549" s="63" t="str">
        <x:v>internal://syn-bank/simulation/ltm</x:v>
      </x:c>
      <x:c r="V549" s="63" t="str">
        <x:v>3999e83309e3a865e8d523bdd30bb6061cde2500a80cd2fcc51c564e926c7afe</x:v>
      </x:c>
    </x:row>
    <x:row r="550">
      <x:c r="A550" s="63" t="str">
        <x:v>bec:E12:struct:operating-model</x:v>
      </x:c>
      <x:c r="B550" s="63" t="str">
        <x:v>E12</x:v>
      </x:c>
      <x:c r="C550" s="63" t="str">
        <x:v>sector_operating_model</x:v>
      </x:c>
      <x:c r="D550" s="63" t="str">
        <x:v>TEXTUAL</x:v>
      </x:c>
      <x:c r="E550" s="63" t="str">
        <x:v>SCENARIO</x:v>
      </x:c>
      <x:c r="F550" s="65"/>
      <x:c r="G550" s="66"/>
      <x:c r="H550" s="67"/>
      <x:c r="I550" s="63" t="str">
        <x:v>High-frequency retail/distribution operator with dense supplier payment cycles and inventory-led working capital.</x:v>
      </x:c>
      <x:c r="J550" s="63"/>
      <x:c r="K550" s="63" t="str">
        <x:v>statement</x:v>
      </x:c>
      <x:c r="L550" s="63" t="str">
        <x:v>2025-06-01</x:v>
      </x:c>
      <x:c r="M550" s="63" t="str">
        <x:v>2026-06-30</x:v>
      </x:c>
      <x:c r="N550" s="63" t="str">
        <x:v>2026-06-30</x:v>
      </x:c>
      <x:c r="O550" s="63" t="str">
        <x:v>E0</x:v>
      </x:c>
      <x:c r="P550" s="63" t="str">
        <x:v>APPROVED</x:v>
      </x:c>
      <x:c r="Q550" s="64" t="b">
        <x:v>0</x:v>
      </x:c>
      <x:c r="R550" s="63" t="str">
        <x:v>OPERATING_MODEL</x:v>
      </x:c>
      <x:c r="S550" s="63" t="str">
        <x:v>Governed sector operating-model and responsibility policy</x:v>
      </x:c>
      <x:c r="T550" s="63"/>
      <x:c r="U550" s="63" t="str">
        <x:v>internal://v31/governed-policy</x:v>
      </x:c>
      <x:c r="V550" s="63" t="str">
        <x:v>d10cd695a9da1babf25ed54ce3d14858119c4400cac5111b4c2e55c7163ea602</x:v>
      </x:c>
    </x:row>
    <x:row r="551">
      <x:c r="A551" s="63" t="str">
        <x:v>bec:E12:struct:risk:0</x:v>
      </x:c>
      <x:c r="B551" s="63" t="str">
        <x:v>E12</x:v>
      </x:c>
      <x:c r="C551" s="63" t="str">
        <x:v>sector_primary_risk</x:v>
      </x:c>
      <x:c r="D551" s="63" t="str">
        <x:v>CATEGORICAL</x:v>
      </x:c>
      <x:c r="E551" s="63" t="str">
        <x:v>SCENARIO</x:v>
      </x:c>
      <x:c r="F551" s="65"/>
      <x:c r="G551" s="66"/>
      <x:c r="H551" s="67"/>
      <x:c r="I551" s="63" t="str">
        <x:v>supplier concentration</x:v>
      </x:c>
      <x:c r="J551" s="63"/>
      <x:c r="K551" s="63" t="str">
        <x:v>statement</x:v>
      </x:c>
      <x:c r="L551" s="63" t="str">
        <x:v>2025-06-01</x:v>
      </x:c>
      <x:c r="M551" s="63" t="str">
        <x:v>2026-06-30</x:v>
      </x:c>
      <x:c r="N551" s="63" t="str">
        <x:v>2026-06-30</x:v>
      </x:c>
      <x:c r="O551" s="63" t="str">
        <x:v>E0</x:v>
      </x:c>
      <x:c r="P551" s="63" t="str">
        <x:v>APPROVED</x:v>
      </x:c>
      <x:c r="Q551" s="64" t="b">
        <x:v>0</x:v>
      </x:c>
      <x:c r="R551" s="63" t="str">
        <x:v>BUSINESS_AND_FINANCIAL_RISKS</x:v>
      </x:c>
      <x:c r="S551" s="63" t="str">
        <x:v>Governed sector operating-model and responsibility policy</x:v>
      </x:c>
      <x:c r="T551" s="63"/>
      <x:c r="U551" s="63" t="str">
        <x:v>internal://v31/governed-policy</x:v>
      </x:c>
      <x:c r="V551" s="63" t="str">
        <x:v>2b9c239e4e2cea65922617e45dc9a129d4caf26a338ae2cb79a464d3a7c6549a</x:v>
      </x:c>
    </x:row>
    <x:row r="552">
      <x:c r="A552" s="63" t="str">
        <x:v>bec:E12:struct:risk:1</x:v>
      </x:c>
      <x:c r="B552" s="63" t="str">
        <x:v>E12</x:v>
      </x:c>
      <x:c r="C552" s="63" t="str">
        <x:v>sector_primary_risk</x:v>
      </x:c>
      <x:c r="D552" s="63" t="str">
        <x:v>CATEGORICAL</x:v>
      </x:c>
      <x:c r="E552" s="63" t="str">
        <x:v>SCENARIO</x:v>
      </x:c>
      <x:c r="F552" s="65"/>
      <x:c r="G552" s="66"/>
      <x:c r="H552" s="67"/>
      <x:c r="I552" s="63" t="str">
        <x:v>consumer demand cyclicality</x:v>
      </x:c>
      <x:c r="J552" s="63"/>
      <x:c r="K552" s="63" t="str">
        <x:v>statement</x:v>
      </x:c>
      <x:c r="L552" s="63" t="str">
        <x:v>2025-06-01</x:v>
      </x:c>
      <x:c r="M552" s="63" t="str">
        <x:v>2026-06-30</x:v>
      </x:c>
      <x:c r="N552" s="63" t="str">
        <x:v>2026-06-30</x:v>
      </x:c>
      <x:c r="O552" s="63" t="str">
        <x:v>E0</x:v>
      </x:c>
      <x:c r="P552" s="63" t="str">
        <x:v>APPROVED</x:v>
      </x:c>
      <x:c r="Q552" s="64" t="b">
        <x:v>0</x:v>
      </x:c>
      <x:c r="R552" s="63" t="str">
        <x:v>BUSINESS_AND_FINANCIAL_RISKS</x:v>
      </x:c>
      <x:c r="S552" s="63" t="str">
        <x:v>Governed sector operating-model and responsibility policy</x:v>
      </x:c>
      <x:c r="T552" s="63"/>
      <x:c r="U552" s="63" t="str">
        <x:v>internal://v31/governed-policy</x:v>
      </x:c>
      <x:c r="V552" s="63" t="str">
        <x:v>bc5f03b5e2afb00fa054937c5347777dcec4212e6c74fa45a7c195c451f4dc50</x:v>
      </x:c>
    </x:row>
    <x:row r="553">
      <x:c r="A553" s="63" t="str">
        <x:v>bec:E12:struct:risk:2</x:v>
      </x:c>
      <x:c r="B553" s="63" t="str">
        <x:v>E12</x:v>
      </x:c>
      <x:c r="C553" s="63" t="str">
        <x:v>sector_primary_risk</x:v>
      </x:c>
      <x:c r="D553" s="63" t="str">
        <x:v>CATEGORICAL</x:v>
      </x:c>
      <x:c r="E553" s="63" t="str">
        <x:v>SCENARIO</x:v>
      </x:c>
      <x:c r="F553" s="65"/>
      <x:c r="G553" s="66"/>
      <x:c r="H553" s="67"/>
      <x:c r="I553" s="63" t="str">
        <x:v>cross-border sourcing cost</x:v>
      </x:c>
      <x:c r="J553" s="63"/>
      <x:c r="K553" s="63" t="str">
        <x:v>statement</x:v>
      </x:c>
      <x:c r="L553" s="63" t="str">
        <x:v>2025-06-01</x:v>
      </x:c>
      <x:c r="M553" s="63" t="str">
        <x:v>2026-06-30</x:v>
      </x:c>
      <x:c r="N553" s="63" t="str">
        <x:v>2026-06-30</x:v>
      </x:c>
      <x:c r="O553" s="63" t="str">
        <x:v>E0</x:v>
      </x:c>
      <x:c r="P553" s="63" t="str">
        <x:v>APPROVED</x:v>
      </x:c>
      <x:c r="Q553" s="64" t="b">
        <x:v>0</x:v>
      </x:c>
      <x:c r="R553" s="63" t="str">
        <x:v>BUSINESS_AND_FINANCIAL_RISKS</x:v>
      </x:c>
      <x:c r="S553" s="63" t="str">
        <x:v>Governed sector operating-model and responsibility policy</x:v>
      </x:c>
      <x:c r="T553" s="63"/>
      <x:c r="U553" s="63" t="str">
        <x:v>internal://v31/governed-policy</x:v>
      </x:c>
      <x:c r="V553" s="63" t="str">
        <x:v>645843ca19c1646b29e23aa12ff5cf9401111b546f258b814a87cbb8c7a3af64</x:v>
      </x:c>
    </x:row>
    <x:row r="554">
      <x:c r="A554" s="63" t="str">
        <x:v>bec:E12:struct:responsibility-model</x:v>
      </x:c>
      <x:c r="B554" s="63" t="str">
        <x:v>E12</x:v>
      </x:c>
      <x:c r="C554" s="63" t="str">
        <x:v>stakeholder_responsibility_model</x:v>
      </x:c>
      <x:c r="D554" s="63" t="str">
        <x:v>TEXTUAL</x:v>
      </x:c>
      <x:c r="E554" s="63" t="str">
        <x:v>SCENARIO</x:v>
      </x:c>
      <x:c r="F554" s="65"/>
      <x:c r="G554" s="66"/>
      <x:c r="H554" s="67"/>
      <x:c r="I554" s="63" t="str">
        <x:v>Responsibility is assigned by role persona using governed matrix v31-stakeholder-responsibility-3.1.0. Named individuals are not resolved in the demonstration and require CRM entitlement checks in production.</x:v>
      </x:c>
      <x:c r="J554" s="63"/>
      <x:c r="K554" s="63" t="str">
        <x:v>statement</x:v>
      </x:c>
      <x:c r="L554" s="63" t="str">
        <x:v>2025-06-01</x:v>
      </x:c>
      <x:c r="M554" s="63" t="str">
        <x:v>2026-06-30</x:v>
      </x:c>
      <x:c r="N554" s="63" t="str">
        <x:v>2026-06-30</x:v>
      </x:c>
      <x:c r="O554" s="63" t="str">
        <x:v>E0</x:v>
      </x:c>
      <x:c r="P554" s="63" t="str">
        <x:v>APPROVED</x:v>
      </x:c>
      <x:c r="Q554" s="64" t="b">
        <x:v>0</x:v>
      </x:c>
      <x:c r="R554" s="63" t="str">
        <x:v>STAKEHOLDER_RESPONSIBILITY</x:v>
      </x:c>
      <x:c r="S554" s="63" t="str">
        <x:v>Governed sector operating-model and responsibility policy</x:v>
      </x:c>
      <x:c r="T554" s="63"/>
      <x:c r="U554" s="63" t="str">
        <x:v>internal://v31/governed-policy</x:v>
      </x:c>
      <x:c r="V554" s="63" t="str">
        <x:v>aca5d161975bd5608d1f9c41746c336017a127d39d4a71605e2917030be62e87</x:v>
      </x:c>
    </x:row>
    <x:row r="555">
      <x:c r="A555" s="63" t="str">
        <x:v>bec:E12:struct:responsibility:fx_exposure</x:v>
      </x:c>
      <x:c r="B555" s="63" t="str">
        <x:v>E12</x:v>
      </x:c>
      <x:c r="C555" s="63" t="str">
        <x:v>problem_role_ownership</x:v>
      </x:c>
      <x:c r="D555" s="63" t="str">
        <x:v>STRUCTURE_RELATIONSHIP</x:v>
      </x:c>
      <x:c r="E555" s="63" t="str">
        <x:v>SCENARIO</x:v>
      </x:c>
      <x:c r="F555" s="65"/>
      <x:c r="G555" s="66"/>
      <x:c r="H555" s="67"/>
      <x:c r="I555" s="63"/>
      <x:c r="J555" s="63"/>
      <x:c r="K555" s="63" t="str">
        <x:v>statement</x:v>
      </x:c>
      <x:c r="L555" s="63" t="str">
        <x:v>2025-06-01</x:v>
      </x:c>
      <x:c r="M555" s="63" t="str">
        <x:v>2026-06-30</x:v>
      </x:c>
      <x:c r="N555" s="63" t="str">
        <x:v>2026-06-30</x:v>
      </x:c>
      <x:c r="O555" s="63" t="str">
        <x:v>E0</x:v>
      </x:c>
      <x:c r="P555" s="63" t="str">
        <x:v>APPROVED</x:v>
      </x:c>
      <x:c r="Q555" s="64" t="b">
        <x:v>0</x:v>
      </x:c>
      <x:c r="R555" s="63" t="str">
        <x:v>STAKEHOLDER_RESPONSIBILITY</x:v>
      </x:c>
      <x:c r="S555" s="63" t="str">
        <x:v>Governed sector operating-model and responsibility policy</x:v>
      </x:c>
      <x:c r="T555" s="63"/>
      <x:c r="U555" s="63" t="str">
        <x:v>internal://v31/governed-policy</x:v>
      </x:c>
      <x:c r="V555" s="63" t="str">
        <x:v>666274292c8bae9869a0d53a6dbff8041cf6b6a8cafe6c16acc757e5bbfa38d4</x:v>
      </x:c>
    </x:row>
    <x:row r="556">
      <x:c r="A556" s="63" t="str">
        <x:v>bec:E12:struct:responsibility:refinancing_cliff</x:v>
      </x:c>
      <x:c r="B556" s="63" t="str">
        <x:v>E12</x:v>
      </x:c>
      <x:c r="C556" s="63" t="str">
        <x:v>problem_role_ownership</x:v>
      </x:c>
      <x:c r="D556" s="63" t="str">
        <x:v>STRUCTURE_RELATIONSHIP</x:v>
      </x:c>
      <x:c r="E556" s="63" t="str">
        <x:v>SCENARIO</x:v>
      </x:c>
      <x:c r="F556" s="65"/>
      <x:c r="G556" s="66"/>
      <x:c r="H556" s="67"/>
      <x:c r="I556" s="63"/>
      <x:c r="J556" s="63"/>
      <x:c r="K556" s="63" t="str">
        <x:v>statement</x:v>
      </x:c>
      <x:c r="L556" s="63" t="str">
        <x:v>2025-06-01</x:v>
      </x:c>
      <x:c r="M556" s="63" t="str">
        <x:v>2026-06-30</x:v>
      </x:c>
      <x:c r="N556" s="63" t="str">
        <x:v>2026-06-30</x:v>
      </x:c>
      <x:c r="O556" s="63" t="str">
        <x:v>E0</x:v>
      </x:c>
      <x:c r="P556" s="63" t="str">
        <x:v>APPROVED</x:v>
      </x:c>
      <x:c r="Q556" s="64" t="b">
        <x:v>0</x:v>
      </x:c>
      <x:c r="R556" s="63" t="str">
        <x:v>STAKEHOLDER_RESPONSIBILITY</x:v>
      </x:c>
      <x:c r="S556" s="63" t="str">
        <x:v>Governed sector operating-model and responsibility policy</x:v>
      </x:c>
      <x:c r="T556" s="63"/>
      <x:c r="U556" s="63" t="str">
        <x:v>internal://v31/governed-policy</x:v>
      </x:c>
      <x:c r="V556" s="63" t="str">
        <x:v>26c0e2526c6b822849c0e788e2a7461d5774b0137169d66628f3c00f2a253dbb</x:v>
      </x:c>
    </x:row>
    <x:row r="557">
      <x:c r="A557" s="63" t="str">
        <x:v>bec:E12:struct:responsibility:working_capital_pressure</x:v>
      </x:c>
      <x:c r="B557" s="63" t="str">
        <x:v>E12</x:v>
      </x:c>
      <x:c r="C557" s="63" t="str">
        <x:v>problem_role_ownership</x:v>
      </x:c>
      <x:c r="D557" s="63" t="str">
        <x:v>STRUCTURE_RELATIONSHIP</x:v>
      </x:c>
      <x:c r="E557" s="63" t="str">
        <x:v>SCENARIO</x:v>
      </x:c>
      <x:c r="F557" s="65"/>
      <x:c r="G557" s="66"/>
      <x:c r="H557" s="67"/>
      <x:c r="I557" s="63"/>
      <x:c r="J557" s="63"/>
      <x:c r="K557" s="63" t="str">
        <x:v>statement</x:v>
      </x:c>
      <x:c r="L557" s="63" t="str">
        <x:v>2025-06-01</x:v>
      </x:c>
      <x:c r="M557" s="63" t="str">
        <x:v>2026-06-30</x:v>
      </x:c>
      <x:c r="N557" s="63" t="str">
        <x:v>2026-06-30</x:v>
      </x:c>
      <x:c r="O557" s="63" t="str">
        <x:v>E0</x:v>
      </x:c>
      <x:c r="P557" s="63" t="str">
        <x:v>APPROVED</x:v>
      </x:c>
      <x:c r="Q557" s="64" t="b">
        <x:v>0</x:v>
      </x:c>
      <x:c r="R557" s="63" t="str">
        <x:v>STAKEHOLDER_RESPONSIBILITY</x:v>
      </x:c>
      <x:c r="S557" s="63" t="str">
        <x:v>Governed sector operating-model and responsibility policy</x:v>
      </x:c>
      <x:c r="T557" s="63"/>
      <x:c r="U557" s="63" t="str">
        <x:v>internal://v31/governed-policy</x:v>
      </x:c>
      <x:c r="V557" s="63" t="str">
        <x:v>f526b15ad88fadc490e6d928dce4b50e7d04265df14ef153b5fbdbfc444fd3c0</x:v>
      </x:c>
    </x:row>
    <x:row r="558">
      <x:c r="A558" s="63" t="str">
        <x:v>bec:NEPI-2025-REV</x:v>
      </x:c>
      <x:c r="B558" s="63" t="str">
        <x:v>E13</x:v>
      </x:c>
      <x:c r="C558" s="63" t="str">
        <x:v>gross_rental_income</x:v>
      </x:c>
      <x:c r="D558" s="63" t="str">
        <x:v>MONEY</x:v>
      </x:c>
      <x:c r="E558" s="63" t="str">
        <x:v>OBSERVED</x:v>
      </x:c>
      <x:c r="F558" s="65" t="n">
        <x:v>624.348</x:v>
      </x:c>
      <x:c r="G558" s="66"/>
      <x:c r="H558" s="67"/>
      <x:c r="I558" s="63"/>
      <x:c r="J558" s="63" t="str">
        <x:v>EUR</x:v>
      </x:c>
      <x:c r="K558" s="63" t="str">
        <x:v>million</x:v>
      </x:c>
      <x:c r="L558" s="63" t="str">
        <x:v>2025-01-01</x:v>
      </x:c>
      <x:c r="M558" s="63" t="str">
        <x:v>2025-12-31</x:v>
      </x:c>
      <x:c r="N558" s="63" t="str">
        <x:v>2026-03-18</x:v>
      </x:c>
      <x:c r="O558" s="63" t="str">
        <x:v>E1</x:v>
      </x:c>
      <x:c r="P558" s="63" t="str">
        <x:v>PENDING_REVIEW</x:v>
      </x:c>
      <x:c r="Q558" s="64" t="b">
        <x:v>1</x:v>
      </x:c>
      <x:c r="R558" s="63" t="str">
        <x:v>REVENUE_ENGINE</x:v>
      </x:c>
      <x:c r="S558" s="63" t="str">
        <x:v>NEPI Rockcastle Annual Report 2025</x:v>
      </x:c>
      <x:c r="T558" s="63" t="n">
        <x:v>311</x:v>
      </x:c>
      <x:c r="U558" s="63" t="str">
        <x:v>https://nepirockcastle.com/wp-content/uploads/2026/03/NEPI_Rockcastle_Annual_Report_2025.pdf</x:v>
      </x:c>
      <x:c r="V558" s="63" t="str">
        <x:v>4124bee2bfb55a181cda56963bd733605a2cc53a7882b1d6108358b33da479f3</x:v>
      </x:c>
    </x:row>
    <x:row r="559">
      <x:c r="A559" s="63" t="str">
        <x:v>bec:NEPI-2025-CASH</x:v>
      </x:c>
      <x:c r="B559" s="63" t="str">
        <x:v>E13</x:v>
      </x:c>
      <x:c r="C559" s="63" t="str">
        <x:v>cash_and_cash_equivalents</x:v>
      </x:c>
      <x:c r="D559" s="63" t="str">
        <x:v>MONEY</x:v>
      </x:c>
      <x:c r="E559" s="63" t="str">
        <x:v>OBSERVED</x:v>
      </x:c>
      <x:c r="F559" s="65" t="n">
        <x:v>313.994</x:v>
      </x:c>
      <x:c r="G559" s="66"/>
      <x:c r="H559" s="67"/>
      <x:c r="I559" s="63"/>
      <x:c r="J559" s="63" t="str">
        <x:v>EUR</x:v>
      </x:c>
      <x:c r="K559" s="63" t="str">
        <x:v>million</x:v>
      </x:c>
      <x:c r="L559" s="63" t="str">
        <x:v>2025-12-31</x:v>
      </x:c>
      <x:c r="M559" s="63" t="str">
        <x:v>2025-12-31</x:v>
      </x:c>
      <x:c r="N559" s="63" t="str">
        <x:v>2026-03-18</x:v>
      </x:c>
      <x:c r="O559" s="63" t="str">
        <x:v>E1</x:v>
      </x:c>
      <x:c r="P559" s="63" t="str">
        <x:v>PENDING_REVIEW</x:v>
      </x:c>
      <x:c r="Q559" s="64" t="b">
        <x:v>1</x:v>
      </x:c>
      <x:c r="R559" s="63" t="str">
        <x:v>LIQUIDITY_AND_BUFFER</x:v>
      </x:c>
      <x:c r="S559" s="63" t="str">
        <x:v>NEPI Rockcastle Annual Report 2025</x:v>
      </x:c>
      <x:c r="T559" s="63" t="n">
        <x:v>310</x:v>
      </x:c>
      <x:c r="U559" s="63" t="str">
        <x:v>https://nepirockcastle.com/wp-content/uploads/2026/03/NEPI_Rockcastle_Annual_Report_2025.pdf</x:v>
      </x:c>
      <x:c r="V559" s="63" t="str">
        <x:v>4124bee2bfb55a181cda56963bd733605a2cc53a7882b1d6108358b33da479f3</x:v>
      </x:c>
    </x:row>
    <x:row r="560">
      <x:c r="A560" s="63" t="str">
        <x:v>bec:NEPI-2025-DEBT</x:v>
      </x:c>
      <x:c r="B560" s="63" t="str">
        <x:v>E13</x:v>
      </x:c>
      <x:c r="C560" s="63" t="str">
        <x:v>current_debt</x:v>
      </x:c>
      <x:c r="D560" s="63" t="str">
        <x:v>MONEY</x:v>
      </x:c>
      <x:c r="E560" s="63" t="str">
        <x:v>OBSERVED</x:v>
      </x:c>
      <x:c r="F560" s="65" t="n">
        <x:v>284.059</x:v>
      </x:c>
      <x:c r="G560" s="66"/>
      <x:c r="H560" s="67"/>
      <x:c r="I560" s="63"/>
      <x:c r="J560" s="63" t="str">
        <x:v>EUR</x:v>
      </x:c>
      <x:c r="K560" s="63" t="str">
        <x:v>million</x:v>
      </x:c>
      <x:c r="L560" s="63" t="str">
        <x:v>2025-12-31</x:v>
      </x:c>
      <x:c r="M560" s="63" t="str">
        <x:v>2025-12-31</x:v>
      </x:c>
      <x:c r="N560" s="63" t="str">
        <x:v>2026-03-18</x:v>
      </x:c>
      <x:c r="O560" s="63" t="str">
        <x:v>E1</x:v>
      </x:c>
      <x:c r="P560" s="63" t="str">
        <x:v>PENDING_REVIEW</x:v>
      </x:c>
      <x:c r="Q560" s="64" t="b">
        <x:v>1</x:v>
      </x:c>
      <x:c r="R560" s="63" t="str">
        <x:v>FUNDING_STRUCTURE</x:v>
      </x:c>
      <x:c r="S560" s="63" t="str">
        <x:v>NEPI Rockcastle Annual Report 2025</x:v>
      </x:c>
      <x:c r="T560" s="63" t="n">
        <x:v>310</x:v>
      </x:c>
      <x:c r="U560" s="63" t="str">
        <x:v>https://nepirockcastle.com/wp-content/uploads/2026/03/NEPI_Rockcastle_Annual_Report_2025.pdf</x:v>
      </x:c>
      <x:c r="V560" s="63" t="str">
        <x:v>4124bee2bfb55a181cda56963bd733605a2cc53a7882b1d6108358b33da479f3</x:v>
      </x:c>
    </x:row>
    <x:row r="561">
      <x:c r="A561" s="63" t="str">
        <x:v>bec:E13:obs:flow:collections</x:v>
      </x:c>
      <x:c r="B561" s="63" t="str">
        <x:v>E13</x:v>
      </x:c>
      <x:c r="C561" s="63" t="str">
        <x:v>bank_observed_collections_ltm</x:v>
      </x:c>
      <x:c r="D561" s="63" t="str">
        <x:v>MONEY</x:v>
      </x:c>
      <x:c r="E561" s="63" t="str">
        <x:v>OBSERVED</x:v>
      </x:c>
      <x:c r="F561" s="65" t="n">
        <x:v>16004453.530000001</x:v>
      </x:c>
      <x:c r="G561" s="66"/>
      <x:c r="H561" s="67"/>
      <x:c r="I561" s="63"/>
      <x:c r="J561" s="63" t="str">
        <x:v>ZAR</x:v>
      </x:c>
      <x:c r="K561" s="63" t="str">
        <x:v>ZAR</x:v>
      </x:c>
      <x:c r="L561" s="63" t="str">
        <x:v>2025-06-01</x:v>
      </x:c>
      <x:c r="M561" s="63" t="str">
        <x:v>2026-06-30</x:v>
      </x:c>
      <x:c r="N561" s="63" t="str">
        <x:v>2026-06-30</x:v>
      </x:c>
      <x:c r="O561" s="63" t="str">
        <x:v>E0</x:v>
      </x:c>
      <x:c r="P561" s="63" t="str">
        <x:v>APPROVED</x:v>
      </x:c>
      <x:c r="Q561" s="64" t="b">
        <x:v>1</x:v>
      </x:c>
      <x:c r="R561" s="63" t="str">
        <x:v>REVENUE_ENGINE, WORKING_CAPITAL_CYCLE</x:v>
      </x:c>
      <x:c r="S561" s="63" t="str">
        <x:v>Syn Bank transaction and relationship simulation</x:v>
      </x:c>
      <x:c r="T561" s="63"/>
      <x:c r="U561" s="63" t="str">
        <x:v>internal://syn-bank/simulation/ltm</x:v>
      </x:c>
      <x:c r="V561" s="63" t="str">
        <x:v>cb38355176933d2fa5c41415dfa39858b22e9e95fea7ab256cfbed3d6170e4d0</x:v>
      </x:c>
    </x:row>
    <x:row r="562">
      <x:c r="A562" s="63" t="str">
        <x:v>bec:E13:obs:trend:collections</x:v>
      </x:c>
      <x:c r="B562" s="63" t="str">
        <x:v>E13</x:v>
      </x:c>
      <x:c r="C562" s="63" t="str">
        <x:v>bank_observed_collections_yoy_change</x:v>
      </x:c>
      <x:c r="D562" s="63" t="str">
        <x:v>RATIO</x:v>
      </x:c>
      <x:c r="E562" s="63" t="str">
        <x:v>OBSERVED</x:v>
      </x:c>
      <x:c r="F562" s="65"/>
      <x:c r="G562" s="66" t="n">
        <x:v>0.163772</x:v>
      </x:c>
      <x:c r="H562" s="67"/>
      <x:c r="I562" s="63"/>
      <x:c r="J562" s="63"/>
      <x:c r="K562" s="63" t="str">
        <x:v>ratio</x:v>
      </x:c>
      <x:c r="L562" s="63" t="str">
        <x:v>2025-06-01</x:v>
      </x:c>
      <x:c r="M562" s="63" t="str">
        <x:v>2026-06-30</x:v>
      </x:c>
      <x:c r="N562" s="63" t="str">
        <x:v>2026-06-30</x:v>
      </x:c>
      <x:c r="O562" s="63" t="str">
        <x:v>E0</x:v>
      </x:c>
      <x:c r="P562" s="63" t="str">
        <x:v>APPROVED</x:v>
      </x:c>
      <x:c r="Q562" s="64" t="b">
        <x:v>0</x:v>
      </x:c>
      <x:c r="R562" s="63" t="str">
        <x:v>REVENUE_ENGINE, WORKING_CAPITAL_CYCLE</x:v>
      </x:c>
      <x:c r="S562" s="63" t="str">
        <x:v>Syn Bank transaction and relationship simulation</x:v>
      </x:c>
      <x:c r="T562" s="63"/>
      <x:c r="U562" s="63" t="str">
        <x:v>internal://syn-bank/simulation/ltm</x:v>
      </x:c>
      <x:c r="V562" s="63" t="str">
        <x:v>39f570f2d7eb51b2474db9ceef1335c5fcfcfdf0c5391c1fec2b58e192e1e37e</x:v>
      </x:c>
    </x:row>
    <x:row r="563">
      <x:c r="A563" s="63" t="str">
        <x:v>bec:E13:obs:flow:payments</x:v>
      </x:c>
      <x:c r="B563" s="63" t="str">
        <x:v>E13</x:v>
      </x:c>
      <x:c r="C563" s="63" t="str">
        <x:v>bank_observed_payments_ltm</x:v>
      </x:c>
      <x:c r="D563" s="63" t="str">
        <x:v>MONEY</x:v>
      </x:c>
      <x:c r="E563" s="63" t="str">
        <x:v>OBSERVED</x:v>
      </x:c>
      <x:c r="F563" s="65" t="n">
        <x:v>31454174.669999998</x:v>
      </x:c>
      <x:c r="G563" s="66"/>
      <x:c r="H563" s="67"/>
      <x:c r="I563" s="63"/>
      <x:c r="J563" s="63" t="str">
        <x:v>ZAR</x:v>
      </x:c>
      <x:c r="K563" s="63" t="str">
        <x:v>ZAR</x:v>
      </x:c>
      <x:c r="L563" s="63" t="str">
        <x:v>2025-06-01</x:v>
      </x:c>
      <x:c r="M563" s="63" t="str">
        <x:v>2026-06-30</x:v>
      </x:c>
      <x:c r="N563" s="63" t="str">
        <x:v>2026-06-30</x:v>
      </x:c>
      <x:c r="O563" s="63" t="str">
        <x:v>E0</x:v>
      </x:c>
      <x:c r="P563" s="63" t="str">
        <x:v>APPROVED</x:v>
      </x:c>
      <x:c r="Q563" s="64" t="b">
        <x:v>1</x:v>
      </x:c>
      <x:c r="R563" s="63" t="str">
        <x:v>COST_ENGINE, WORKING_CAPITAL_CYCLE</x:v>
      </x:c>
      <x:c r="S563" s="63" t="str">
        <x:v>Syn Bank transaction and relationship simulation</x:v>
      </x:c>
      <x:c r="T563" s="63"/>
      <x:c r="U563" s="63" t="str">
        <x:v>internal://syn-bank/simulation/ltm</x:v>
      </x:c>
      <x:c r="V563" s="63" t="str">
        <x:v>8954ee3c631a8315253113d1a1b25a37dbde760c6cb85170503f2f45bc4a2ac4</x:v>
      </x:c>
    </x:row>
    <x:row r="564">
      <x:c r="A564" s="63" t="str">
        <x:v>bec:E13:obs:trend:payments</x:v>
      </x:c>
      <x:c r="B564" s="63" t="str">
        <x:v>E13</x:v>
      </x:c>
      <x:c r="C564" s="63" t="str">
        <x:v>bank_observed_payments_yoy_change</x:v>
      </x:c>
      <x:c r="D564" s="63" t="str">
        <x:v>RATIO</x:v>
      </x:c>
      <x:c r="E564" s="63" t="str">
        <x:v>OBSERVED</x:v>
      </x:c>
      <x:c r="F564" s="65"/>
      <x:c r="G564" s="66" t="n">
        <x:v>0.279762</x:v>
      </x:c>
      <x:c r="H564" s="67"/>
      <x:c r="I564" s="63"/>
      <x:c r="J564" s="63"/>
      <x:c r="K564" s="63" t="str">
        <x:v>ratio</x:v>
      </x:c>
      <x:c r="L564" s="63" t="str">
        <x:v>2025-06-01</x:v>
      </x:c>
      <x:c r="M564" s="63" t="str">
        <x:v>2026-06-30</x:v>
      </x:c>
      <x:c r="N564" s="63" t="str">
        <x:v>2026-06-30</x:v>
      </x:c>
      <x:c r="O564" s="63" t="str">
        <x:v>E0</x:v>
      </x:c>
      <x:c r="P564" s="63" t="str">
        <x:v>APPROVED</x:v>
      </x:c>
      <x:c r="Q564" s="64" t="b">
        <x:v>0</x:v>
      </x:c>
      <x:c r="R564" s="63" t="str">
        <x:v>COST_ENGINE, WORKING_CAPITAL_CYCLE</x:v>
      </x:c>
      <x:c r="S564" s="63" t="str">
        <x:v>Syn Bank transaction and relationship simulation</x:v>
      </x:c>
      <x:c r="T564" s="63"/>
      <x:c r="U564" s="63" t="str">
        <x:v>internal://syn-bank/simulation/ltm</x:v>
      </x:c>
      <x:c r="V564" s="63" t="str">
        <x:v>9e2e5ce30818285738a12a07ddcf70ef2f860fb5d3d5eb1240dd12f0ff2cef40</x:v>
      </x:c>
    </x:row>
    <x:row r="565">
      <x:c r="A565" s="63" t="str">
        <x:v>bec:E13:obs:flow:liquidity</x:v>
      </x:c>
      <x:c r="B565" s="63" t="str">
        <x:v>E13</x:v>
      </x:c>
      <x:c r="C565" s="63" t="str">
        <x:v>bank_observed_liquidity_ltm</x:v>
      </x:c>
      <x:c r="D565" s="63" t="str">
        <x:v>MONEY</x:v>
      </x:c>
      <x:c r="E565" s="63" t="str">
        <x:v>OBSERVED</x:v>
      </x:c>
      <x:c r="F565" s="65" t="n">
        <x:v>23729314.1</x:v>
      </x:c>
      <x:c r="G565" s="66"/>
      <x:c r="H565" s="67"/>
      <x:c r="I565" s="63"/>
      <x:c r="J565" s="63" t="str">
        <x:v>ZAR</x:v>
      </x:c>
      <x:c r="K565" s="63" t="str">
        <x:v>ZAR</x:v>
      </x:c>
      <x:c r="L565" s="63" t="str">
        <x:v>2025-06-01</x:v>
      </x:c>
      <x:c r="M565" s="63" t="str">
        <x:v>2026-06-30</x:v>
      </x:c>
      <x:c r="N565" s="63" t="str">
        <x:v>2026-06-30</x:v>
      </x:c>
      <x:c r="O565" s="63" t="str">
        <x:v>E0</x:v>
      </x:c>
      <x:c r="P565" s="63" t="str">
        <x:v>APPROVED</x:v>
      </x:c>
      <x:c r="Q565" s="64" t="b">
        <x:v>1</x:v>
      </x:c>
      <x:c r="R565" s="63" t="str">
        <x:v>LIQUIDITY_AND_BUFFER</x:v>
      </x:c>
      <x:c r="S565" s="63" t="str">
        <x:v>Syn Bank transaction and relationship simulation</x:v>
      </x:c>
      <x:c r="T565" s="63"/>
      <x:c r="U565" s="63" t="str">
        <x:v>internal://syn-bank/simulation/ltm</x:v>
      </x:c>
      <x:c r="V565" s="63" t="str">
        <x:v>dbb7b7e6dc281be4d4c2549069deb635e2c86cc991145f358df2d38d47f1b5f7</x:v>
      </x:c>
    </x:row>
    <x:row r="566">
      <x:c r="A566" s="63" t="str">
        <x:v>bec:E13:obs:trend:liquidity</x:v>
      </x:c>
      <x:c r="B566" s="63" t="str">
        <x:v>E13</x:v>
      </x:c>
      <x:c r="C566" s="63" t="str">
        <x:v>bank_observed_liquidity_yoy_change</x:v>
      </x:c>
      <x:c r="D566" s="63" t="str">
        <x:v>RATIO</x:v>
      </x:c>
      <x:c r="E566" s="63" t="str">
        <x:v>OBSERVED</x:v>
      </x:c>
      <x:c r="F566" s="65"/>
      <x:c r="G566" s="66" t="n">
        <x:v>0.238147</x:v>
      </x:c>
      <x:c r="H566" s="67"/>
      <x:c r="I566" s="63"/>
      <x:c r="J566" s="63"/>
      <x:c r="K566" s="63" t="str">
        <x:v>ratio</x:v>
      </x:c>
      <x:c r="L566" s="63" t="str">
        <x:v>2025-06-01</x:v>
      </x:c>
      <x:c r="M566" s="63" t="str">
        <x:v>2026-06-30</x:v>
      </x:c>
      <x:c r="N566" s="63" t="str">
        <x:v>2026-06-30</x:v>
      </x:c>
      <x:c r="O566" s="63" t="str">
        <x:v>E0</x:v>
      </x:c>
      <x:c r="P566" s="63" t="str">
        <x:v>APPROVED</x:v>
      </x:c>
      <x:c r="Q566" s="64" t="b">
        <x:v>0</x:v>
      </x:c>
      <x:c r="R566" s="63" t="str">
        <x:v>LIQUIDITY_AND_BUFFER</x:v>
      </x:c>
      <x:c r="S566" s="63" t="str">
        <x:v>Syn Bank transaction and relationship simulation</x:v>
      </x:c>
      <x:c r="T566" s="63"/>
      <x:c r="U566" s="63" t="str">
        <x:v>internal://syn-bank/simulation/ltm</x:v>
      </x:c>
      <x:c r="V566" s="63" t="str">
        <x:v>28bb957bc111e21d5594016f33610cde65f06a5d380196402a4e82dfce72aca9</x:v>
      </x:c>
    </x:row>
    <x:row r="567">
      <x:c r="A567" s="63" t="str">
        <x:v>bec:E13:obs:flow:cross-border-fx</x:v>
      </x:c>
      <x:c r="B567" s="63" t="str">
        <x:v>E13</x:v>
      </x:c>
      <x:c r="C567" s="63" t="str">
        <x:v>bank_observed_cross_border_fx_ltm</x:v>
      </x:c>
      <x:c r="D567" s="63" t="str">
        <x:v>MONEY</x:v>
      </x:c>
      <x:c r="E567" s="63" t="str">
        <x:v>OBSERVED</x:v>
      </x:c>
      <x:c r="F567" s="65" t="n">
        <x:v>303281526.08</x:v>
      </x:c>
      <x:c r="G567" s="66"/>
      <x:c r="H567" s="67"/>
      <x:c r="I567" s="63"/>
      <x:c r="J567" s="63" t="str">
        <x:v>ZAR</x:v>
      </x:c>
      <x:c r="K567" s="63" t="str">
        <x:v>ZAR</x:v>
      </x:c>
      <x:c r="L567" s="63" t="str">
        <x:v>2025-06-01</x:v>
      </x:c>
      <x:c r="M567" s="63" t="str">
        <x:v>2026-06-30</x:v>
      </x:c>
      <x:c r="N567" s="63" t="str">
        <x:v>2026-06-30</x:v>
      </x:c>
      <x:c r="O567" s="63" t="str">
        <x:v>E0</x:v>
      </x:c>
      <x:c r="P567" s="63" t="str">
        <x:v>APPROVED</x:v>
      </x:c>
      <x:c r="Q567" s="64" t="b">
        <x:v>1</x:v>
      </x:c>
      <x:c r="R567" s="63" t="str">
        <x:v>CURRENCY_AND_COMMODITY_EXPOSURE, GEOGRAPHIC_EXPOSURE</x:v>
      </x:c>
      <x:c r="S567" s="63" t="str">
        <x:v>Syn Bank transaction and relationship simulation</x:v>
      </x:c>
      <x:c r="T567" s="63"/>
      <x:c r="U567" s="63" t="str">
        <x:v>internal://syn-bank/simulation/ltm</x:v>
      </x:c>
      <x:c r="V567" s="63" t="str">
        <x:v>753e0ad3f33cd4c0e03793930926f54bf25bc268ebd4533b85f3d7f6a27c8216</x:v>
      </x:c>
    </x:row>
    <x:row r="568">
      <x:c r="A568" s="63" t="str">
        <x:v>bec:E13:obs:trend:cross-border-fx</x:v>
      </x:c>
      <x:c r="B568" s="63" t="str">
        <x:v>E13</x:v>
      </x:c>
      <x:c r="C568" s="63" t="str">
        <x:v>bank_observed_cross_border_fx_yoy_change</x:v>
      </x:c>
      <x:c r="D568" s="63" t="str">
        <x:v>RATIO</x:v>
      </x:c>
      <x:c r="E568" s="63" t="str">
        <x:v>OBSERVED</x:v>
      </x:c>
      <x:c r="F568" s="65"/>
      <x:c r="G568" s="66" t="n">
        <x:v>0.183809</x:v>
      </x:c>
      <x:c r="H568" s="67"/>
      <x:c r="I568" s="63"/>
      <x:c r="J568" s="63"/>
      <x:c r="K568" s="63" t="str">
        <x:v>ratio</x:v>
      </x:c>
      <x:c r="L568" s="63" t="str">
        <x:v>2025-06-01</x:v>
      </x:c>
      <x:c r="M568" s="63" t="str">
        <x:v>2026-06-30</x:v>
      </x:c>
      <x:c r="N568" s="63" t="str">
        <x:v>2026-06-30</x:v>
      </x:c>
      <x:c r="O568" s="63" t="str">
        <x:v>E0</x:v>
      </x:c>
      <x:c r="P568" s="63" t="str">
        <x:v>APPROVED</x:v>
      </x:c>
      <x:c r="Q568" s="64" t="b">
        <x:v>0</x:v>
      </x:c>
      <x:c r="R568" s="63" t="str">
        <x:v>CURRENCY_AND_COMMODITY_EXPOSURE, GEOGRAPHIC_EXPOSURE</x:v>
      </x:c>
      <x:c r="S568" s="63" t="str">
        <x:v>Syn Bank transaction and relationship simulation</x:v>
      </x:c>
      <x:c r="T568" s="63"/>
      <x:c r="U568" s="63" t="str">
        <x:v>internal://syn-bank/simulation/ltm</x:v>
      </x:c>
      <x:c r="V568" s="63" t="str">
        <x:v>8bd005fa1ecc4fc1a809be357a3f6e6ca5c909634cc3e977fc81b9ca53ed3080</x:v>
      </x:c>
    </x:row>
    <x:row r="569">
      <x:c r="A569" s="63" t="str">
        <x:v>bec:E13:obs:flow:trade-finance</x:v>
      </x:c>
      <x:c r="B569" s="63" t="str">
        <x:v>E13</x:v>
      </x:c>
      <x:c r="C569" s="63" t="str">
        <x:v>bank_observed_trade_finance_ltm</x:v>
      </x:c>
      <x:c r="D569" s="63" t="str">
        <x:v>MONEY</x:v>
      </x:c>
      <x:c r="E569" s="63" t="str">
        <x:v>OBSERVED</x:v>
      </x:c>
      <x:c r="F569" s="65" t="n">
        <x:v>3904356.82</x:v>
      </x:c>
      <x:c r="G569" s="66"/>
      <x:c r="H569" s="67"/>
      <x:c r="I569" s="63"/>
      <x:c r="J569" s="63" t="str">
        <x:v>ZAR</x:v>
      </x:c>
      <x:c r="K569" s="63" t="str">
        <x:v>ZAR</x:v>
      </x:c>
      <x:c r="L569" s="63" t="str">
        <x:v>2025-06-01</x:v>
      </x:c>
      <x:c r="M569" s="63" t="str">
        <x:v>2026-06-30</x:v>
      </x:c>
      <x:c r="N569" s="63" t="str">
        <x:v>2026-06-30</x:v>
      </x:c>
      <x:c r="O569" s="63" t="str">
        <x:v>E0</x:v>
      </x:c>
      <x:c r="P569" s="63" t="str">
        <x:v>APPROVED</x:v>
      </x:c>
      <x:c r="Q569" s="64" t="b">
        <x:v>1</x:v>
      </x:c>
      <x:c r="R569" s="63" t="str">
        <x:v>WORKING_CAPITAL_CYCLE, OPERATING_MODEL</x:v>
      </x:c>
      <x:c r="S569" s="63" t="str">
        <x:v>Syn Bank transaction and relationship simulation</x:v>
      </x:c>
      <x:c r="T569" s="63"/>
      <x:c r="U569" s="63" t="str">
        <x:v>internal://syn-bank/simulation/ltm</x:v>
      </x:c>
      <x:c r="V569" s="63" t="str">
        <x:v>f3f2648ad6cb8645b1438e23bf65e965b3bf801b38e2a89d2f0deb15464d51a4</x:v>
      </x:c>
    </x:row>
    <x:row r="570">
      <x:c r="A570" s="63" t="str">
        <x:v>bec:E13:obs:trend:trade-finance</x:v>
      </x:c>
      <x:c r="B570" s="63" t="str">
        <x:v>E13</x:v>
      </x:c>
      <x:c r="C570" s="63" t="str">
        <x:v>bank_observed_trade_finance_yoy_change</x:v>
      </x:c>
      <x:c r="D570" s="63" t="str">
        <x:v>RATIO</x:v>
      </x:c>
      <x:c r="E570" s="63" t="str">
        <x:v>OBSERVED</x:v>
      </x:c>
      <x:c r="F570" s="65"/>
      <x:c r="G570" s="66" t="n">
        <x:v>0.665195</x:v>
      </x:c>
      <x:c r="H570" s="67"/>
      <x:c r="I570" s="63"/>
      <x:c r="J570" s="63"/>
      <x:c r="K570" s="63" t="str">
        <x:v>ratio</x:v>
      </x:c>
      <x:c r="L570" s="63" t="str">
        <x:v>2025-06-01</x:v>
      </x:c>
      <x:c r="M570" s="63" t="str">
        <x:v>2026-06-30</x:v>
      </x:c>
      <x:c r="N570" s="63" t="str">
        <x:v>2026-06-30</x:v>
      </x:c>
      <x:c r="O570" s="63" t="str">
        <x:v>E0</x:v>
      </x:c>
      <x:c r="P570" s="63" t="str">
        <x:v>APPROVED</x:v>
      </x:c>
      <x:c r="Q570" s="64" t="b">
        <x:v>0</x:v>
      </x:c>
      <x:c r="R570" s="63" t="str">
        <x:v>WORKING_CAPITAL_CYCLE, OPERATING_MODEL</x:v>
      </x:c>
      <x:c r="S570" s="63" t="str">
        <x:v>Syn Bank transaction and relationship simulation</x:v>
      </x:c>
      <x:c r="T570" s="63"/>
      <x:c r="U570" s="63" t="str">
        <x:v>internal://syn-bank/simulation/ltm</x:v>
      </x:c>
      <x:c r="V570" s="63" t="str">
        <x:v>6550c5878ef30de16e3bb0622b0548f4f4646381dc94382548a48dee710b8c7c</x:v>
      </x:c>
    </x:row>
    <x:row r="571">
      <x:c r="A571" s="63" t="str">
        <x:v>bec:E13:obs:corridor:0</x:v>
      </x:c>
      <x:c r="B571" s="63" t="str">
        <x:v>E13</x:v>
      </x:c>
      <x:c r="C571" s="63" t="str">
        <x:v>bank_observed_corridor_value</x:v>
      </x:c>
      <x:c r="D571" s="63" t="str">
        <x:v>MONEY</x:v>
      </x:c>
      <x:c r="E571" s="63" t="str">
        <x:v>OBSERVED</x:v>
      </x:c>
      <x:c r="F571" s="65" t="n">
        <x:v>81402509.79999997</x:v>
      </x:c>
      <x:c r="G571" s="66"/>
      <x:c r="H571" s="67"/>
      <x:c r="I571" s="63"/>
      <x:c r="J571" s="63" t="str">
        <x:v>ZAR</x:v>
      </x:c>
      <x:c r="K571" s="63" t="str">
        <x:v>ZAR</x:v>
      </x:c>
      <x:c r="L571" s="63" t="str">
        <x:v>2025-06-01</x:v>
      </x:c>
      <x:c r="M571" s="63" t="str">
        <x:v>2026-06-30</x:v>
      </x:c>
      <x:c r="N571" s="63" t="str">
        <x:v>2026-06-30</x:v>
      </x:c>
      <x:c r="O571" s="63" t="str">
        <x:v>E0</x:v>
      </x:c>
      <x:c r="P571" s="63" t="str">
        <x:v>APPROVED</x:v>
      </x:c>
      <x:c r="Q571" s="64" t="b">
        <x:v>1</x:v>
      </x:c>
      <x:c r="R571" s="63" t="str">
        <x:v>GEOGRAPHIC_EXPOSURE</x:v>
      </x:c>
      <x:c r="S571" s="63" t="str">
        <x:v>Syn Bank transaction and relationship simulation</x:v>
      </x:c>
      <x:c r="T571" s="63"/>
      <x:c r="U571" s="63" t="str">
        <x:v>internal://syn-bank/simulation/ltm</x:v>
      </x:c>
      <x:c r="V571" s="63" t="str">
        <x:v>99720d29a09d52972735ba8346b530cb77e1c19660b3bea0345ebe0674797a83</x:v>
      </x:c>
    </x:row>
    <x:row r="572">
      <x:c r="A572" s="63" t="str">
        <x:v>bec:E13:obs:corridor-name:0</x:v>
      </x:c>
      <x:c r="B572" s="63" t="str">
        <x:v>E13</x:v>
      </x:c>
      <x:c r="C572" s="63" t="str">
        <x:v>bank_observed_corridor_country</x:v>
      </x:c>
      <x:c r="D572" s="63" t="str">
        <x:v>CATEGORICAL</x:v>
      </x:c>
      <x:c r="E572" s="63" t="str">
        <x:v>OBSERVED</x:v>
      </x:c>
      <x:c r="F572" s="65"/>
      <x:c r="G572" s="66"/>
      <x:c r="H572" s="67"/>
      <x:c r="I572" s="63" t="str">
        <x:v>China</x:v>
      </x:c>
      <x:c r="J572" s="63"/>
      <x:c r="K572" s="63" t="str">
        <x:v>country</x:v>
      </x:c>
      <x:c r="L572" s="63" t="str">
        <x:v>2025-06-01</x:v>
      </x:c>
      <x:c r="M572" s="63" t="str">
        <x:v>2026-06-30</x:v>
      </x:c>
      <x:c r="N572" s="63" t="str">
        <x:v>2026-06-30</x:v>
      </x:c>
      <x:c r="O572" s="63" t="str">
        <x:v>E0</x:v>
      </x:c>
      <x:c r="P572" s="63" t="str">
        <x:v>APPROVED</x:v>
      </x:c>
      <x:c r="Q572" s="64" t="b">
        <x:v>0</x:v>
      </x:c>
      <x:c r="R572" s="63" t="str">
        <x:v>GEOGRAPHIC_EXPOSURE</x:v>
      </x:c>
      <x:c r="S572" s="63" t="str">
        <x:v>Syn Bank transaction and relationship simulation</x:v>
      </x:c>
      <x:c r="T572" s="63"/>
      <x:c r="U572" s="63" t="str">
        <x:v>internal://syn-bank/simulation/ltm</x:v>
      </x:c>
      <x:c r="V572" s="63" t="str">
        <x:v>62e99e107d8c6c54bc3438fb127622a09eaf1b1cead2229c142dd2ef83693112</x:v>
      </x:c>
    </x:row>
    <x:row r="573">
      <x:c r="A573" s="63" t="str">
        <x:v>bec:E13:obs:corridor:1</x:v>
      </x:c>
      <x:c r="B573" s="63" t="str">
        <x:v>E13</x:v>
      </x:c>
      <x:c r="C573" s="63" t="str">
        <x:v>bank_observed_corridor_value</x:v>
      </x:c>
      <x:c r="D573" s="63" t="str">
        <x:v>MONEY</x:v>
      </x:c>
      <x:c r="E573" s="63" t="str">
        <x:v>OBSERVED</x:v>
      </x:c>
      <x:c r="F573" s="65" t="n">
        <x:v>77178436.86999996</x:v>
      </x:c>
      <x:c r="G573" s="66"/>
      <x:c r="H573" s="67"/>
      <x:c r="I573" s="63"/>
      <x:c r="J573" s="63" t="str">
        <x:v>ZAR</x:v>
      </x:c>
      <x:c r="K573" s="63" t="str">
        <x:v>ZAR</x:v>
      </x:c>
      <x:c r="L573" s="63" t="str">
        <x:v>2025-06-01</x:v>
      </x:c>
      <x:c r="M573" s="63" t="str">
        <x:v>2026-06-30</x:v>
      </x:c>
      <x:c r="N573" s="63" t="str">
        <x:v>2026-06-30</x:v>
      </x:c>
      <x:c r="O573" s="63" t="str">
        <x:v>E0</x:v>
      </x:c>
      <x:c r="P573" s="63" t="str">
        <x:v>APPROVED</x:v>
      </x:c>
      <x:c r="Q573" s="64" t="b">
        <x:v>0</x:v>
      </x:c>
      <x:c r="R573" s="63" t="str">
        <x:v>GEOGRAPHIC_EXPOSURE</x:v>
      </x:c>
      <x:c r="S573" s="63" t="str">
        <x:v>Syn Bank transaction and relationship simulation</x:v>
      </x:c>
      <x:c r="T573" s="63"/>
      <x:c r="U573" s="63" t="str">
        <x:v>internal://syn-bank/simulation/ltm</x:v>
      </x:c>
      <x:c r="V573" s="63" t="str">
        <x:v>84f9ddff3ec24ad0da400c5376f91e32266c2021b6bbf33e6c7157b871a82546</x:v>
      </x:c>
    </x:row>
    <x:row r="574">
      <x:c r="A574" s="63" t="str">
        <x:v>bec:E13:obs:corridor-name:1</x:v>
      </x:c>
      <x:c r="B574" s="63" t="str">
        <x:v>E13</x:v>
      </x:c>
      <x:c r="C574" s="63" t="str">
        <x:v>bank_observed_corridor_country</x:v>
      </x:c>
      <x:c r="D574" s="63" t="str">
        <x:v>CATEGORICAL</x:v>
      </x:c>
      <x:c r="E574" s="63" t="str">
        <x:v>OBSERVED</x:v>
      </x:c>
      <x:c r="F574" s="65"/>
      <x:c r="G574" s="66"/>
      <x:c r="H574" s="67"/>
      <x:c r="I574" s="63" t="str">
        <x:v>India</x:v>
      </x:c>
      <x:c r="J574" s="63"/>
      <x:c r="K574" s="63" t="str">
        <x:v>country</x:v>
      </x:c>
      <x:c r="L574" s="63" t="str">
        <x:v>2025-06-01</x:v>
      </x:c>
      <x:c r="M574" s="63" t="str">
        <x:v>2026-06-30</x:v>
      </x:c>
      <x:c r="N574" s="63" t="str">
        <x:v>2026-06-30</x:v>
      </x:c>
      <x:c r="O574" s="63" t="str">
        <x:v>E0</x:v>
      </x:c>
      <x:c r="P574" s="63" t="str">
        <x:v>APPROVED</x:v>
      </x:c>
      <x:c r="Q574" s="64" t="b">
        <x:v>0</x:v>
      </x:c>
      <x:c r="R574" s="63" t="str">
        <x:v>GEOGRAPHIC_EXPOSURE</x:v>
      </x:c>
      <x:c r="S574" s="63" t="str">
        <x:v>Syn Bank transaction and relationship simulation</x:v>
      </x:c>
      <x:c r="T574" s="63"/>
      <x:c r="U574" s="63" t="str">
        <x:v>internal://syn-bank/simulation/ltm</x:v>
      </x:c>
      <x:c r="V574" s="63" t="str">
        <x:v>b05a863e38300d49eb05d203f827783574bfc430f50bea2e6b6c0d08be693a4b</x:v>
      </x:c>
    </x:row>
    <x:row r="575">
      <x:c r="A575" s="63" t="str">
        <x:v>bec:E13:obs:corridor:2</x:v>
      </x:c>
      <x:c r="B575" s="63" t="str">
        <x:v>E13</x:v>
      </x:c>
      <x:c r="C575" s="63" t="str">
        <x:v>bank_observed_corridor_value</x:v>
      </x:c>
      <x:c r="D575" s="63" t="str">
        <x:v>MONEY</x:v>
      </x:c>
      <x:c r="E575" s="63" t="str">
        <x:v>OBSERVED</x:v>
      </x:c>
      <x:c r="F575" s="65" t="n">
        <x:v>76477224.36999997</x:v>
      </x:c>
      <x:c r="G575" s="66"/>
      <x:c r="H575" s="67"/>
      <x:c r="I575" s="63"/>
      <x:c r="J575" s="63" t="str">
        <x:v>ZAR</x:v>
      </x:c>
      <x:c r="K575" s="63" t="str">
        <x:v>ZAR</x:v>
      </x:c>
      <x:c r="L575" s="63" t="str">
        <x:v>2025-06-01</x:v>
      </x:c>
      <x:c r="M575" s="63" t="str">
        <x:v>2026-06-30</x:v>
      </x:c>
      <x:c r="N575" s="63" t="str">
        <x:v>2026-06-30</x:v>
      </x:c>
      <x:c r="O575" s="63" t="str">
        <x:v>E0</x:v>
      </x:c>
      <x:c r="P575" s="63" t="str">
        <x:v>APPROVED</x:v>
      </x:c>
      <x:c r="Q575" s="64" t="b">
        <x:v>0</x:v>
      </x:c>
      <x:c r="R575" s="63" t="str">
        <x:v>GEOGRAPHIC_EXPOSURE</x:v>
      </x:c>
      <x:c r="S575" s="63" t="str">
        <x:v>Syn Bank transaction and relationship simulation</x:v>
      </x:c>
      <x:c r="T575" s="63"/>
      <x:c r="U575" s="63" t="str">
        <x:v>internal://syn-bank/simulation/ltm</x:v>
      </x:c>
      <x:c r="V575" s="63" t="str">
        <x:v>7f50695dff88f9d44fc2225e02b99e90049122785e45d8faf14344e32dd3b5d4</x:v>
      </x:c>
    </x:row>
    <x:row r="576">
      <x:c r="A576" s="63" t="str">
        <x:v>bec:E13:obs:corridor-name:2</x:v>
      </x:c>
      <x:c r="B576" s="63" t="str">
        <x:v>E13</x:v>
      </x:c>
      <x:c r="C576" s="63" t="str">
        <x:v>bank_observed_corridor_country</x:v>
      </x:c>
      <x:c r="D576" s="63" t="str">
        <x:v>CATEGORICAL</x:v>
      </x:c>
      <x:c r="E576" s="63" t="str">
        <x:v>OBSERVED</x:v>
      </x:c>
      <x:c r="F576" s="65"/>
      <x:c r="G576" s="66"/>
      <x:c r="H576" s="67"/>
      <x:c r="I576" s="63" t="str">
        <x:v>United Kingdom</x:v>
      </x:c>
      <x:c r="J576" s="63"/>
      <x:c r="K576" s="63" t="str">
        <x:v>country</x:v>
      </x:c>
      <x:c r="L576" s="63" t="str">
        <x:v>2025-06-01</x:v>
      </x:c>
      <x:c r="M576" s="63" t="str">
        <x:v>2026-06-30</x:v>
      </x:c>
      <x:c r="N576" s="63" t="str">
        <x:v>2026-06-30</x:v>
      </x:c>
      <x:c r="O576" s="63" t="str">
        <x:v>E0</x:v>
      </x:c>
      <x:c r="P576" s="63" t="str">
        <x:v>APPROVED</x:v>
      </x:c>
      <x:c r="Q576" s="64" t="b">
        <x:v>0</x:v>
      </x:c>
      <x:c r="R576" s="63" t="str">
        <x:v>GEOGRAPHIC_EXPOSURE</x:v>
      </x:c>
      <x:c r="S576" s="63" t="str">
        <x:v>Syn Bank transaction and relationship simulation</x:v>
      </x:c>
      <x:c r="T576" s="63"/>
      <x:c r="U576" s="63" t="str">
        <x:v>internal://syn-bank/simulation/ltm</x:v>
      </x:c>
      <x:c r="V576" s="63" t="str">
        <x:v>124496c8306b02c9a82715753bdd464b5c0240f90bf1817f90971221f94dd6e4</x:v>
      </x:c>
    </x:row>
    <x:row r="577">
      <x:c r="A577" s="63" t="str">
        <x:v>bec:E13:obs:currency:0</x:v>
      </x:c>
      <x:c r="B577" s="63" t="str">
        <x:v>E13</x:v>
      </x:c>
      <x:c r="C577" s="63" t="str">
        <x:v>bank_observed_currency_pair_value</x:v>
      </x:c>
      <x:c r="D577" s="63" t="str">
        <x:v>MONEY</x:v>
      </x:c>
      <x:c r="E577" s="63" t="str">
        <x:v>OBSERVED</x:v>
      </x:c>
      <x:c r="F577" s="65" t="n">
        <x:v>157428593.7600001</x:v>
      </x:c>
      <x:c r="G577" s="66"/>
      <x:c r="H577" s="67"/>
      <x:c r="I577" s="63"/>
      <x:c r="J577" s="63" t="str">
        <x:v>ZAR</x:v>
      </x:c>
      <x:c r="K577" s="63" t="str">
        <x:v>ZAR</x:v>
      </x:c>
      <x:c r="L577" s="63" t="str">
        <x:v>2025-06-01</x:v>
      </x:c>
      <x:c r="M577" s="63" t="str">
        <x:v>2026-06-30</x:v>
      </x:c>
      <x:c r="N577" s="63" t="str">
        <x:v>2026-06-30</x:v>
      </x:c>
      <x:c r="O577" s="63" t="str">
        <x:v>E0</x:v>
      </x:c>
      <x:c r="P577" s="63" t="str">
        <x:v>APPROVED</x:v>
      </x:c>
      <x:c r="Q577" s="64" t="b">
        <x:v>1</x:v>
      </x:c>
      <x:c r="R577" s="63" t="str">
        <x:v>CURRENCY_AND_COMMODITY_EXPOSURE</x:v>
      </x:c>
      <x:c r="S577" s="63" t="str">
        <x:v>Syn Bank transaction and relationship simulation</x:v>
      </x:c>
      <x:c r="T577" s="63"/>
      <x:c r="U577" s="63" t="str">
        <x:v>internal://syn-bank/simulation/ltm</x:v>
      </x:c>
      <x:c r="V577" s="63" t="str">
        <x:v>560305466323d2a2286184686697fad1ee34d0508eda457563049f10e2157fad</x:v>
      </x:c>
    </x:row>
    <x:row r="578">
      <x:c r="A578" s="63" t="str">
        <x:v>bec:E13:obs:currency-pair:0</x:v>
      </x:c>
      <x:c r="B578" s="63" t="str">
        <x:v>E13</x:v>
      </x:c>
      <x:c r="C578" s="63" t="str">
        <x:v>bank_observed_currency_pair</x:v>
      </x:c>
      <x:c r="D578" s="63" t="str">
        <x:v>CATEGORICAL</x:v>
      </x:c>
      <x:c r="E578" s="63" t="str">
        <x:v>OBSERVED</x:v>
      </x:c>
      <x:c r="F578" s="65"/>
      <x:c r="G578" s="66"/>
      <x:c r="H578" s="67"/>
      <x:c r="I578" s="63" t="str">
        <x:v>AED/ZAR</x:v>
      </x:c>
      <x:c r="J578" s="63"/>
      <x:c r="K578" s="63" t="str">
        <x:v>currency_pair</x:v>
      </x:c>
      <x:c r="L578" s="63" t="str">
        <x:v>2025-06-01</x:v>
      </x:c>
      <x:c r="M578" s="63" t="str">
        <x:v>2026-06-30</x:v>
      </x:c>
      <x:c r="N578" s="63" t="str">
        <x:v>2026-06-30</x:v>
      </x:c>
      <x:c r="O578" s="63" t="str">
        <x:v>E0</x:v>
      </x:c>
      <x:c r="P578" s="63" t="str">
        <x:v>APPROVED</x:v>
      </x:c>
      <x:c r="Q578" s="64" t="b">
        <x:v>0</x:v>
      </x:c>
      <x:c r="R578" s="63" t="str">
        <x:v>CURRENCY_AND_COMMODITY_EXPOSURE</x:v>
      </x:c>
      <x:c r="S578" s="63" t="str">
        <x:v>Syn Bank transaction and relationship simulation</x:v>
      </x:c>
      <x:c r="T578" s="63"/>
      <x:c r="U578" s="63" t="str">
        <x:v>internal://syn-bank/simulation/ltm</x:v>
      </x:c>
      <x:c r="V578" s="63" t="str">
        <x:v>b2e54d79aa386f1d257af041df3a8c6e9a72054f3e8b8a1e06d3c3f18f32a2bf</x:v>
      </x:c>
    </x:row>
    <x:row r="579">
      <x:c r="A579" s="63" t="str">
        <x:v>bec:E13:obs:currency:1</x:v>
      </x:c>
      <x:c r="B579" s="63" t="str">
        <x:v>E13</x:v>
      </x:c>
      <x:c r="C579" s="63" t="str">
        <x:v>bank_observed_currency_pair_value</x:v>
      </x:c>
      <x:c r="D579" s="63" t="str">
        <x:v>MONEY</x:v>
      </x:c>
      <x:c r="E579" s="63" t="str">
        <x:v>OBSERVED</x:v>
      </x:c>
      <x:c r="F579" s="65" t="n">
        <x:v>149692150.70000002</x:v>
      </x:c>
      <x:c r="G579" s="66"/>
      <x:c r="H579" s="67"/>
      <x:c r="I579" s="63"/>
      <x:c r="J579" s="63" t="str">
        <x:v>ZAR</x:v>
      </x:c>
      <x:c r="K579" s="63" t="str">
        <x:v>ZAR</x:v>
      </x:c>
      <x:c r="L579" s="63" t="str">
        <x:v>2025-06-01</x:v>
      </x:c>
      <x:c r="M579" s="63" t="str">
        <x:v>2026-06-30</x:v>
      </x:c>
      <x:c r="N579" s="63" t="str">
        <x:v>2026-06-30</x:v>
      </x:c>
      <x:c r="O579" s="63" t="str">
        <x:v>E0</x:v>
      </x:c>
      <x:c r="P579" s="63" t="str">
        <x:v>APPROVED</x:v>
      </x:c>
      <x:c r="Q579" s="64" t="b">
        <x:v>0</x:v>
      </x:c>
      <x:c r="R579" s="63" t="str">
        <x:v>CURRENCY_AND_COMMODITY_EXPOSURE</x:v>
      </x:c>
      <x:c r="S579" s="63" t="str">
        <x:v>Syn Bank transaction and relationship simulation</x:v>
      </x:c>
      <x:c r="T579" s="63"/>
      <x:c r="U579" s="63" t="str">
        <x:v>internal://syn-bank/simulation/ltm</x:v>
      </x:c>
      <x:c r="V579" s="63" t="str">
        <x:v>2c20b7eeb66871b9ca075cec5063c3bd469fcc22e97c20619224666b5b1037f4</x:v>
      </x:c>
    </x:row>
    <x:row r="580">
      <x:c r="A580" s="63" t="str">
        <x:v>bec:E13:obs:currency-pair:1</x:v>
      </x:c>
      <x:c r="B580" s="63" t="str">
        <x:v>E13</x:v>
      </x:c>
      <x:c r="C580" s="63" t="str">
        <x:v>bank_observed_currency_pair</x:v>
      </x:c>
      <x:c r="D580" s="63" t="str">
        <x:v>CATEGORICAL</x:v>
      </x:c>
      <x:c r="E580" s="63" t="str">
        <x:v>OBSERVED</x:v>
      </x:c>
      <x:c r="F580" s="65"/>
      <x:c r="G580" s="66"/>
      <x:c r="H580" s="67"/>
      <x:c r="I580" s="63" t="str">
        <x:v>USD/ZAR</x:v>
      </x:c>
      <x:c r="J580" s="63"/>
      <x:c r="K580" s="63" t="str">
        <x:v>currency_pair</x:v>
      </x:c>
      <x:c r="L580" s="63" t="str">
        <x:v>2025-06-01</x:v>
      </x:c>
      <x:c r="M580" s="63" t="str">
        <x:v>2026-06-30</x:v>
      </x:c>
      <x:c r="N580" s="63" t="str">
        <x:v>2026-06-30</x:v>
      </x:c>
      <x:c r="O580" s="63" t="str">
        <x:v>E0</x:v>
      </x:c>
      <x:c r="P580" s="63" t="str">
        <x:v>APPROVED</x:v>
      </x:c>
      <x:c r="Q580" s="64" t="b">
        <x:v>0</x:v>
      </x:c>
      <x:c r="R580" s="63" t="str">
        <x:v>CURRENCY_AND_COMMODITY_EXPOSURE</x:v>
      </x:c>
      <x:c r="S580" s="63" t="str">
        <x:v>Syn Bank transaction and relationship simulation</x:v>
      </x:c>
      <x:c r="T580" s="63"/>
      <x:c r="U580" s="63" t="str">
        <x:v>internal://syn-bank/simulation/ltm</x:v>
      </x:c>
      <x:c r="V580" s="63" t="str">
        <x:v>39eb76a20ec43a757ab0c2a5f48b55725a9873b7c0ca27c48773b8b4e4fb82f5</x:v>
      </x:c>
    </x:row>
    <x:row r="581">
      <x:c r="A581" s="63" t="str">
        <x:v>bec:E13:obs:currency:2</x:v>
      </x:c>
      <x:c r="B581" s="63" t="str">
        <x:v>E13</x:v>
      </x:c>
      <x:c r="C581" s="63" t="str">
        <x:v>bank_observed_currency_pair_value</x:v>
      </x:c>
      <x:c r="D581" s="63" t="str">
        <x:v>MONEY</x:v>
      </x:c>
      <x:c r="E581" s="63" t="str">
        <x:v>OBSERVED</x:v>
      </x:c>
      <x:c r="F581" s="65" t="n">
        <x:v>147923827.19000003</x:v>
      </x:c>
      <x:c r="G581" s="66"/>
      <x:c r="H581" s="67"/>
      <x:c r="I581" s="63"/>
      <x:c r="J581" s="63" t="str">
        <x:v>ZAR</x:v>
      </x:c>
      <x:c r="K581" s="63" t="str">
        <x:v>ZAR</x:v>
      </x:c>
      <x:c r="L581" s="63" t="str">
        <x:v>2025-06-01</x:v>
      </x:c>
      <x:c r="M581" s="63" t="str">
        <x:v>2026-06-30</x:v>
      </x:c>
      <x:c r="N581" s="63" t="str">
        <x:v>2026-06-30</x:v>
      </x:c>
      <x:c r="O581" s="63" t="str">
        <x:v>E0</x:v>
      </x:c>
      <x:c r="P581" s="63" t="str">
        <x:v>APPROVED</x:v>
      </x:c>
      <x:c r="Q581" s="64" t="b">
        <x:v>0</x:v>
      </x:c>
      <x:c r="R581" s="63" t="str">
        <x:v>CURRENCY_AND_COMMODITY_EXPOSURE</x:v>
      </x:c>
      <x:c r="S581" s="63" t="str">
        <x:v>Syn Bank transaction and relationship simulation</x:v>
      </x:c>
      <x:c r="T581" s="63"/>
      <x:c r="U581" s="63" t="str">
        <x:v>internal://syn-bank/simulation/ltm</x:v>
      </x:c>
      <x:c r="V581" s="63" t="str">
        <x:v>d7ed0f28409dbf5a942e04d44405ac92fd7de84c332357a2b1f073adfee12888</x:v>
      </x:c>
    </x:row>
    <x:row r="582">
      <x:c r="A582" s="63" t="str">
        <x:v>bec:E13:obs:currency-pair:2</x:v>
      </x:c>
      <x:c r="B582" s="63" t="str">
        <x:v>E13</x:v>
      </x:c>
      <x:c r="C582" s="63" t="str">
        <x:v>bank_observed_currency_pair</x:v>
      </x:c>
      <x:c r="D582" s="63" t="str">
        <x:v>CATEGORICAL</x:v>
      </x:c>
      <x:c r="E582" s="63" t="str">
        <x:v>OBSERVED</x:v>
      </x:c>
      <x:c r="F582" s="65"/>
      <x:c r="G582" s="66"/>
      <x:c r="H582" s="67"/>
      <x:c r="I582" s="63" t="str">
        <x:v>EUR/ZAR</x:v>
      </x:c>
      <x:c r="J582" s="63"/>
      <x:c r="K582" s="63" t="str">
        <x:v>currency_pair</x:v>
      </x:c>
      <x:c r="L582" s="63" t="str">
        <x:v>2025-06-01</x:v>
      </x:c>
      <x:c r="M582" s="63" t="str">
        <x:v>2026-06-30</x:v>
      </x:c>
      <x:c r="N582" s="63" t="str">
        <x:v>2026-06-30</x:v>
      </x:c>
      <x:c r="O582" s="63" t="str">
        <x:v>E0</x:v>
      </x:c>
      <x:c r="P582" s="63" t="str">
        <x:v>APPROVED</x:v>
      </x:c>
      <x:c r="Q582" s="64" t="b">
        <x:v>0</x:v>
      </x:c>
      <x:c r="R582" s="63" t="str">
        <x:v>CURRENCY_AND_COMMODITY_EXPOSURE</x:v>
      </x:c>
      <x:c r="S582" s="63" t="str">
        <x:v>Syn Bank transaction and relationship simulation</x:v>
      </x:c>
      <x:c r="T582" s="63"/>
      <x:c r="U582" s="63" t="str">
        <x:v>internal://syn-bank/simulation/ltm</x:v>
      </x:c>
      <x:c r="V582" s="63" t="str">
        <x:v>f9ddc07f61647f6a353d24551b8e9913f98369706a54e5df2cb5bd9e8e9a09e9</x:v>
      </x:c>
    </x:row>
    <x:row r="583">
      <x:c r="A583" s="63" t="str">
        <x:v>bec:E13:obs:country-count</x:v>
      </x:c>
      <x:c r="B583" s="63" t="str">
        <x:v>E13</x:v>
      </x:c>
      <x:c r="C583" s="63" t="str">
        <x:v>bank_observed_active_country_count</x:v>
      </x:c>
      <x:c r="D583" s="63" t="str">
        <x:v>COUNT</x:v>
      </x:c>
      <x:c r="E583" s="63" t="str">
        <x:v>OBSERVED</x:v>
      </x:c>
      <x:c r="F583" s="65"/>
      <x:c r="G583" s="66"/>
      <x:c r="H583" s="67" t="n">
        <x:v>10</x:v>
      </x:c>
      <x:c r="I583" s="63"/>
      <x:c r="J583" s="63"/>
      <x:c r="K583" s="63" t="str">
        <x:v>countries</x:v>
      </x:c>
      <x:c r="L583" s="63" t="str">
        <x:v>2025-06-01</x:v>
      </x:c>
      <x:c r="M583" s="63" t="str">
        <x:v>2026-06-30</x:v>
      </x:c>
      <x:c r="N583" s="63" t="str">
        <x:v>2026-06-30</x:v>
      </x:c>
      <x:c r="O583" s="63" t="str">
        <x:v>E0</x:v>
      </x:c>
      <x:c r="P583" s="63" t="str">
        <x:v>APPROVED</x:v>
      </x:c>
      <x:c r="Q583" s="64" t="b">
        <x:v>1</x:v>
      </x:c>
      <x:c r="R583" s="63" t="str">
        <x:v>GEOGRAPHIC_EXPOSURE</x:v>
      </x:c>
      <x:c r="S583" s="63" t="str">
        <x:v>Syn Bank transaction and relationship simulation</x:v>
      </x:c>
      <x:c r="T583" s="63"/>
      <x:c r="U583" s="63" t="str">
        <x:v>internal://syn-bank/simulation/ltm</x:v>
      </x:c>
      <x:c r="V583" s="63" t="str">
        <x:v>d8ca730a3acafa0ab6fdfca3d18dd1e705a5e32135bb9865f632e1418c63c361</x:v>
      </x:c>
    </x:row>
    <x:row r="584">
      <x:c r="A584" s="63" t="str">
        <x:v>bec:E13:obs:relationship-breadth</x:v>
      </x:c>
      <x:c r="B584" s="63" t="str">
        <x:v>E13</x:v>
      </x:c>
      <x:c r="C584" s="63" t="str">
        <x:v>bank_observed_product_relationship_breadth</x:v>
      </x:c>
      <x:c r="D584" s="63" t="str">
        <x:v>COUNT</x:v>
      </x:c>
      <x:c r="E584" s="63" t="str">
        <x:v>OBSERVED</x:v>
      </x:c>
      <x:c r="F584" s="65"/>
      <x:c r="G584" s="66"/>
      <x:c r="H584" s="67" t="n">
        <x:v>5</x:v>
      </x:c>
      <x:c r="I584" s="63"/>
      <x:c r="J584" s="63"/>
      <x:c r="K584" s="63" t="str">
        <x:v>products</x:v>
      </x:c>
      <x:c r="L584" s="63" t="str">
        <x:v>2025-06-01</x:v>
      </x:c>
      <x:c r="M584" s="63" t="str">
        <x:v>2026-06-30</x:v>
      </x:c>
      <x:c r="N584" s="63" t="str">
        <x:v>2026-06-30</x:v>
      </x:c>
      <x:c r="O584" s="63" t="str">
        <x:v>E0</x:v>
      </x:c>
      <x:c r="P584" s="63" t="str">
        <x:v>APPROVED</x:v>
      </x:c>
      <x:c r="Q584" s="64" t="b">
        <x:v>1</x:v>
      </x:c>
      <x:c r="R584" s="63" t="str">
        <x:v>OPERATING_MODEL</x:v>
      </x:c>
      <x:c r="S584" s="63" t="str">
        <x:v>Syn Bank transaction and relationship simulation</x:v>
      </x:c>
      <x:c r="T584" s="63"/>
      <x:c r="U584" s="63" t="str">
        <x:v>internal://syn-bank/simulation/ltm</x:v>
      </x:c>
      <x:c r="V584" s="63" t="str">
        <x:v>3704e0214e6a846724d2f86290d9cef429f8a68983852e451f2d3bedd29c1d9b</x:v>
      </x:c>
    </x:row>
    <x:row r="585">
      <x:c r="A585" s="63" t="str">
        <x:v>bec:E13:obs:latent:operating_scale</x:v>
      </x:c>
      <x:c r="B585" s="63" t="str">
        <x:v>E13</x:v>
      </x:c>
      <x:c r="C585" s="63" t="str">
        <x:v>bank_observed_operating_scale_index</x:v>
      </x:c>
      <x:c r="D585" s="63" t="str">
        <x:v>RATIO</x:v>
      </x:c>
      <x:c r="E585" s="63" t="str">
        <x:v>OBSERVED</x:v>
      </x:c>
      <x:c r="F585" s="65"/>
      <x:c r="G585" s="66" t="n">
        <x:v>0.1</x:v>
      </x:c>
      <x:c r="H585" s="67"/>
      <x:c r="I585" s="63"/>
      <x:c r="J585" s="63"/>
      <x:c r="K585" s="63" t="str">
        <x:v>index_0_1</x:v>
      </x:c>
      <x:c r="L585" s="63" t="str">
        <x:v>2025-06-01</x:v>
      </x:c>
      <x:c r="M585" s="63" t="str">
        <x:v>2026-06-30</x:v>
      </x:c>
      <x:c r="N585" s="63" t="str">
        <x:v>2026-06-30</x:v>
      </x:c>
      <x:c r="O585" s="63" t="str">
        <x:v>E0</x:v>
      </x:c>
      <x:c r="P585" s="63" t="str">
        <x:v>APPROVED</x:v>
      </x:c>
      <x:c r="Q585" s="64" t="b">
        <x:v>0</x:v>
      </x:c>
      <x:c r="R585" s="63" t="str">
        <x:v>OPERATING_MODEL</x:v>
      </x:c>
      <x:c r="S585" s="63" t="str">
        <x:v>Syn Bank transaction and relationship simulation</x:v>
      </x:c>
      <x:c r="T585" s="63"/>
      <x:c r="U585" s="63" t="str">
        <x:v>internal://syn-bank/simulation/ltm</x:v>
      </x:c>
      <x:c r="V585" s="63" t="str">
        <x:v>74d8faf019f6ea9846701f3abae05250e4daba698a0ae8808614ffccf8b1b744</x:v>
      </x:c>
    </x:row>
    <x:row r="586">
      <x:c r="A586" s="63" t="str">
        <x:v>bec:E13:obs:latent:working_capital_intensity</x:v>
      </x:c>
      <x:c r="B586" s="63" t="str">
        <x:v>E13</x:v>
      </x:c>
      <x:c r="C586" s="63" t="str">
        <x:v>bank_observed_working_capital_intensity_index</x:v>
      </x:c>
      <x:c r="D586" s="63" t="str">
        <x:v>RATIO</x:v>
      </x:c>
      <x:c r="E586" s="63" t="str">
        <x:v>OBSERVED</x:v>
      </x:c>
      <x:c r="F586" s="65"/>
      <x:c r="G586" s="66" t="n">
        <x:v>0.134</x:v>
      </x:c>
      <x:c r="H586" s="67"/>
      <x:c r="I586" s="63"/>
      <x:c r="J586" s="63"/>
      <x:c r="K586" s="63" t="str">
        <x:v>index_0_1</x:v>
      </x:c>
      <x:c r="L586" s="63" t="str">
        <x:v>2025-06-01</x:v>
      </x:c>
      <x:c r="M586" s="63" t="str">
        <x:v>2026-06-30</x:v>
      </x:c>
      <x:c r="N586" s="63" t="str">
        <x:v>2026-06-30</x:v>
      </x:c>
      <x:c r="O586" s="63" t="str">
        <x:v>E0</x:v>
      </x:c>
      <x:c r="P586" s="63" t="str">
        <x:v>APPROVED</x:v>
      </x:c>
      <x:c r="Q586" s="64" t="b">
        <x:v>0</x:v>
      </x:c>
      <x:c r="R586" s="63" t="str">
        <x:v>WORKING_CAPITAL_CYCLE</x:v>
      </x:c>
      <x:c r="S586" s="63" t="str">
        <x:v>Syn Bank transaction and relationship simulation</x:v>
      </x:c>
      <x:c r="T586" s="63"/>
      <x:c r="U586" s="63" t="str">
        <x:v>internal://syn-bank/simulation/ltm</x:v>
      </x:c>
      <x:c r="V586" s="63" t="str">
        <x:v>f262f7e55b8601c682120f4def7108313fde58fd71c1e33dd8092d9a66ccb527</x:v>
      </x:c>
    </x:row>
    <x:row r="587">
      <x:c r="A587" s="63" t="str">
        <x:v>bec:E13:obs:latent:liquidity_volatility</x:v>
      </x:c>
      <x:c r="B587" s="63" t="str">
        <x:v>E13</x:v>
      </x:c>
      <x:c r="C587" s="63" t="str">
        <x:v>bank_observed_liquidity_volatility_index</x:v>
      </x:c>
      <x:c r="D587" s="63" t="str">
        <x:v>RATIO</x:v>
      </x:c>
      <x:c r="E587" s="63" t="str">
        <x:v>OBSERVED</x:v>
      </x:c>
      <x:c r="F587" s="65"/>
      <x:c r="G587" s="66" t="n">
        <x:v>0.174</x:v>
      </x:c>
      <x:c r="H587" s="67"/>
      <x:c r="I587" s="63"/>
      <x:c r="J587" s="63"/>
      <x:c r="K587" s="63" t="str">
        <x:v>index_0_1</x:v>
      </x:c>
      <x:c r="L587" s="63" t="str">
        <x:v>2025-06-01</x:v>
      </x:c>
      <x:c r="M587" s="63" t="str">
        <x:v>2026-06-30</x:v>
      </x:c>
      <x:c r="N587" s="63" t="str">
        <x:v>2026-06-30</x:v>
      </x:c>
      <x:c r="O587" s="63" t="str">
        <x:v>E0</x:v>
      </x:c>
      <x:c r="P587" s="63" t="str">
        <x:v>APPROVED</x:v>
      </x:c>
      <x:c r="Q587" s="64" t="b">
        <x:v>0</x:v>
      </x:c>
      <x:c r="R587" s="63" t="str">
        <x:v>LIQUIDITY_AND_BUFFER</x:v>
      </x:c>
      <x:c r="S587" s="63" t="str">
        <x:v>Syn Bank transaction and relationship simulation</x:v>
      </x:c>
      <x:c r="T587" s="63"/>
      <x:c r="U587" s="63" t="str">
        <x:v>internal://syn-bank/simulation/ltm</x:v>
      </x:c>
      <x:c r="V587" s="63" t="str">
        <x:v>ac166a85e60118a2c184da8efd2ba2498c5a87a000b763d20f44ad4a8f15d3fa</x:v>
      </x:c>
    </x:row>
    <x:row r="588">
      <x:c r="A588" s="63" t="str">
        <x:v>bec:E13:obs:latent:international_exposure</x:v>
      </x:c>
      <x:c r="B588" s="63" t="str">
        <x:v>E13</x:v>
      </x:c>
      <x:c r="C588" s="63" t="str">
        <x:v>bank_observed_international_exposure_index</x:v>
      </x:c>
      <x:c r="D588" s="63" t="str">
        <x:v>RATIO</x:v>
      </x:c>
      <x:c r="E588" s="63" t="str">
        <x:v>OBSERVED</x:v>
      </x:c>
      <x:c r="F588" s="65"/>
      <x:c r="G588" s="66" t="n">
        <x:v>0.866</x:v>
      </x:c>
      <x:c r="H588" s="67"/>
      <x:c r="I588" s="63"/>
      <x:c r="J588" s="63"/>
      <x:c r="K588" s="63" t="str">
        <x:v>index_0_1</x:v>
      </x:c>
      <x:c r="L588" s="63" t="str">
        <x:v>2025-06-01</x:v>
      </x:c>
      <x:c r="M588" s="63" t="str">
        <x:v>2026-06-30</x:v>
      </x:c>
      <x:c r="N588" s="63" t="str">
        <x:v>2026-06-30</x:v>
      </x:c>
      <x:c r="O588" s="63" t="str">
        <x:v>E0</x:v>
      </x:c>
      <x:c r="P588" s="63" t="str">
        <x:v>APPROVED</x:v>
      </x:c>
      <x:c r="Q588" s="64" t="b">
        <x:v>0</x:v>
      </x:c>
      <x:c r="R588" s="63" t="str">
        <x:v>GEOGRAPHIC_EXPOSURE</x:v>
      </x:c>
      <x:c r="S588" s="63" t="str">
        <x:v>Syn Bank transaction and relationship simulation</x:v>
      </x:c>
      <x:c r="T588" s="63"/>
      <x:c r="U588" s="63" t="str">
        <x:v>internal://syn-bank/simulation/ltm</x:v>
      </x:c>
      <x:c r="V588" s="63" t="str">
        <x:v>4431006cefcdd68844954cbd2c1f8a7e6b2edb7a965e47061c4d21d4e2698448</x:v>
      </x:c>
    </x:row>
    <x:row r="589">
      <x:c r="A589" s="63" t="str">
        <x:v>bec:E13:obs:latent:financing_need</x:v>
      </x:c>
      <x:c r="B589" s="63" t="str">
        <x:v>E13</x:v>
      </x:c>
      <x:c r="C589" s="63" t="str">
        <x:v>bank_observed_financing_need_index</x:v>
      </x:c>
      <x:c r="D589" s="63" t="str">
        <x:v>RATIO</x:v>
      </x:c>
      <x:c r="E589" s="63" t="str">
        <x:v>OBSERVED</x:v>
      </x:c>
      <x:c r="F589" s="65"/>
      <x:c r="G589" s="66" t="n">
        <x:v>0.057</x:v>
      </x:c>
      <x:c r="H589" s="67"/>
      <x:c r="I589" s="63"/>
      <x:c r="J589" s="63"/>
      <x:c r="K589" s="63" t="str">
        <x:v>index_0_1</x:v>
      </x:c>
      <x:c r="L589" s="63" t="str">
        <x:v>2025-06-01</x:v>
      </x:c>
      <x:c r="M589" s="63" t="str">
        <x:v>2026-06-30</x:v>
      </x:c>
      <x:c r="N589" s="63" t="str">
        <x:v>2026-06-30</x:v>
      </x:c>
      <x:c r="O589" s="63" t="str">
        <x:v>E0</x:v>
      </x:c>
      <x:c r="P589" s="63" t="str">
        <x:v>APPROVED</x:v>
      </x:c>
      <x:c r="Q589" s="64" t="b">
        <x:v>0</x:v>
      </x:c>
      <x:c r="R589" s="63" t="str">
        <x:v>FUNDING_STRUCTURE</x:v>
      </x:c>
      <x:c r="S589" s="63" t="str">
        <x:v>Syn Bank transaction and relationship simulation</x:v>
      </x:c>
      <x:c r="T589" s="63"/>
      <x:c r="U589" s="63" t="str">
        <x:v>internal://syn-bank/simulation/ltm</x:v>
      </x:c>
      <x:c r="V589" s="63" t="str">
        <x:v>e694d1fa4207ae2958bb9274d87266ff8b4678917ddf505b5dc40b8846d79c16</x:v>
      </x:c>
    </x:row>
    <x:row r="590">
      <x:c r="A590" s="63" t="str">
        <x:v>bec:E13:obs:latent:event_intensity</x:v>
      </x:c>
      <x:c r="B590" s="63" t="str">
        <x:v>E13</x:v>
      </x:c>
      <x:c r="C590" s="63" t="str">
        <x:v>bank_observed_event_intensity_index</x:v>
      </x:c>
      <x:c r="D590" s="63" t="str">
        <x:v>RATIO</x:v>
      </x:c>
      <x:c r="E590" s="63" t="str">
        <x:v>OBSERVED</x:v>
      </x:c>
      <x:c r="F590" s="65"/>
      <x:c r="G590" s="66" t="n">
        <x:v>0.179</x:v>
      </x:c>
      <x:c r="H590" s="67"/>
      <x:c r="I590" s="63"/>
      <x:c r="J590" s="63"/>
      <x:c r="K590" s="63" t="str">
        <x:v>index_0_1</x:v>
      </x:c>
      <x:c r="L590" s="63" t="str">
        <x:v>2025-06-01</x:v>
      </x:c>
      <x:c r="M590" s="63" t="str">
        <x:v>2026-06-30</x:v>
      </x:c>
      <x:c r="N590" s="63" t="str">
        <x:v>2026-06-30</x:v>
      </x:c>
      <x:c r="O590" s="63" t="str">
        <x:v>E0</x:v>
      </x:c>
      <x:c r="P590" s="63" t="str">
        <x:v>APPROVED</x:v>
      </x:c>
      <x:c r="Q590" s="64" t="b">
        <x:v>0</x:v>
      </x:c>
      <x:c r="R590" s="63" t="str">
        <x:v>STRATEGY_ACTIONS_AND_ESG</x:v>
      </x:c>
      <x:c r="S590" s="63" t="str">
        <x:v>Syn Bank transaction and relationship simulation</x:v>
      </x:c>
      <x:c r="T590" s="63"/>
      <x:c r="U590" s="63" t="str">
        <x:v>internal://syn-bank/simulation/ltm</x:v>
      </x:c>
      <x:c r="V590" s="63" t="str">
        <x:v>55f9dbebaec55b8a27de49718168edf3957c460e569af350956d90c944f15704</x:v>
      </x:c>
    </x:row>
    <x:row r="591">
      <x:c r="A591" s="63" t="str">
        <x:v>bec:E13:obs:latent:relationship_complexity</x:v>
      </x:c>
      <x:c r="B591" s="63" t="str">
        <x:v>E13</x:v>
      </x:c>
      <x:c r="C591" s="63" t="str">
        <x:v>bank_observed_relationship_complexity_index</x:v>
      </x:c>
      <x:c r="D591" s="63" t="str">
        <x:v>RATIO</x:v>
      </x:c>
      <x:c r="E591" s="63" t="str">
        <x:v>OBSERVED</x:v>
      </x:c>
      <x:c r="F591" s="65"/>
      <x:c r="G591" s="66" t="n">
        <x:v>0.942</x:v>
      </x:c>
      <x:c r="H591" s="67"/>
      <x:c r="I591" s="63"/>
      <x:c r="J591" s="63"/>
      <x:c r="K591" s="63" t="str">
        <x:v>index_0_1</x:v>
      </x:c>
      <x:c r="L591" s="63" t="str">
        <x:v>2025-06-01</x:v>
      </x:c>
      <x:c r="M591" s="63" t="str">
        <x:v>2026-06-30</x:v>
      </x:c>
      <x:c r="N591" s="63" t="str">
        <x:v>2026-06-30</x:v>
      </x:c>
      <x:c r="O591" s="63" t="str">
        <x:v>E0</x:v>
      </x:c>
      <x:c r="P591" s="63" t="str">
        <x:v>APPROVED</x:v>
      </x:c>
      <x:c r="Q591" s="64" t="b">
        <x:v>0</x:v>
      </x:c>
      <x:c r="R591" s="63" t="str">
        <x:v>OPERATING_MODEL</x:v>
      </x:c>
      <x:c r="S591" s="63" t="str">
        <x:v>Syn Bank transaction and relationship simulation</x:v>
      </x:c>
      <x:c r="T591" s="63"/>
      <x:c r="U591" s="63" t="str">
        <x:v>internal://syn-bank/simulation/ltm</x:v>
      </x:c>
      <x:c r="V591" s="63" t="str">
        <x:v>195db7b427ce25500cc95e733fa0225d09cd0c9d63833567e7f9d5b2c5cc70aa</x:v>
      </x:c>
    </x:row>
    <x:row r="592">
      <x:c r="A592" s="63" t="str">
        <x:v>bec:E13:obs:events:trade-90d</x:v>
      </x:c>
      <x:c r="B592" s="63" t="str">
        <x:v>E13</x:v>
      </x:c>
      <x:c r="C592" s="63" t="str">
        <x:v>bank_observed_trade_events_next_90d</x:v>
      </x:c>
      <x:c r="D592" s="63" t="str">
        <x:v>COUNT</x:v>
      </x:c>
      <x:c r="E592" s="63" t="str">
        <x:v>OBSERVED</x:v>
      </x:c>
      <x:c r="F592" s="65"/>
      <x:c r="G592" s="66"/>
      <x:c r="H592" s="67" t="n">
        <x:v>1</x:v>
      </x:c>
      <x:c r="I592" s="63"/>
      <x:c r="J592" s="63"/>
      <x:c r="K592" s="63" t="str">
        <x:v>events</x:v>
      </x:c>
      <x:c r="L592" s="63" t="str">
        <x:v>2025-06-01</x:v>
      </x:c>
      <x:c r="M592" s="63" t="str">
        <x:v>2026-06-30</x:v>
      </x:c>
      <x:c r="N592" s="63" t="str">
        <x:v>2026-06-30</x:v>
      </x:c>
      <x:c r="O592" s="63" t="str">
        <x:v>E0</x:v>
      </x:c>
      <x:c r="P592" s="63" t="str">
        <x:v>APPROVED</x:v>
      </x:c>
      <x:c r="Q592" s="64" t="b">
        <x:v>1</x:v>
      </x:c>
      <x:c r="R592" s="63" t="str">
        <x:v>OPERATING_MODEL, WORKING_CAPITAL_CYCLE</x:v>
      </x:c>
      <x:c r="S592" s="63" t="str">
        <x:v>Syn Bank transaction and relationship simulation</x:v>
      </x:c>
      <x:c r="T592" s="63"/>
      <x:c r="U592" s="63" t="str">
        <x:v>internal://syn-bank/simulation/ltm</x:v>
      </x:c>
      <x:c r="V592" s="63" t="str">
        <x:v>ae9601334c3faf5d0eb99459a5a5e590ce6a92083dd27a2ad79243f92cb66692</x:v>
      </x:c>
    </x:row>
    <x:row r="593">
      <x:c r="A593" s="63" t="str">
        <x:v>bec:E13:obs:events:trade-90d-value</x:v>
      </x:c>
      <x:c r="B593" s="63" t="str">
        <x:v>E13</x:v>
      </x:c>
      <x:c r="C593" s="63" t="str">
        <x:v>bank_observed_trade_events_value_next_90d</x:v>
      </x:c>
      <x:c r="D593" s="63" t="str">
        <x:v>MONEY</x:v>
      </x:c>
      <x:c r="E593" s="63" t="str">
        <x:v>OBSERVED</x:v>
      </x:c>
      <x:c r="F593" s="65" t="n">
        <x:v>309304.1</x:v>
      </x:c>
      <x:c r="G593" s="66"/>
      <x:c r="H593" s="67"/>
      <x:c r="I593" s="63"/>
      <x:c r="J593" s="63" t="str">
        <x:v>ZAR</x:v>
      </x:c>
      <x:c r="K593" s="63" t="str">
        <x:v>ZAR</x:v>
      </x:c>
      <x:c r="L593" s="63" t="str">
        <x:v>2025-06-01</x:v>
      </x:c>
      <x:c r="M593" s="63" t="str">
        <x:v>2026-06-30</x:v>
      </x:c>
      <x:c r="N593" s="63" t="str">
        <x:v>2026-06-30</x:v>
      </x:c>
      <x:c r="O593" s="63" t="str">
        <x:v>E0</x:v>
      </x:c>
      <x:c r="P593" s="63" t="str">
        <x:v>APPROVED</x:v>
      </x:c>
      <x:c r="Q593" s="64" t="b">
        <x:v>0</x:v>
      </x:c>
      <x:c r="R593" s="63" t="str">
        <x:v>WORKING_CAPITAL_CYCLE</x:v>
      </x:c>
      <x:c r="S593" s="63" t="str">
        <x:v>Syn Bank transaction and relationship simulation</x:v>
      </x:c>
      <x:c r="T593" s="63"/>
      <x:c r="U593" s="63" t="str">
        <x:v>internal://syn-bank/simulation/ltm</x:v>
      </x:c>
      <x:c r="V593" s="63" t="str">
        <x:v>03351f9a3746c48d233bd7018bf421c3291f85af2b8f2a95c9532c925dd5833c</x:v>
      </x:c>
    </x:row>
    <x:row r="594">
      <x:c r="A594" s="63" t="str">
        <x:v>bec:E13:struct:operating-model</x:v>
      </x:c>
      <x:c r="B594" s="63" t="str">
        <x:v>E13</x:v>
      </x:c>
      <x:c r="C594" s="63" t="str">
        <x:v>sector_operating_model</x:v>
      </x:c>
      <x:c r="D594" s="63" t="str">
        <x:v>TEXTUAL</x:v>
      </x:c>
      <x:c r="E594" s="63" t="str">
        <x:v>SCENARIO</x:v>
      </x:c>
      <x:c r="F594" s="65"/>
      <x:c r="G594" s="66"/>
      <x:c r="H594" s="67"/>
      <x:c r="I594" s="63" t="str">
        <x:v>Property owner-operator with rental collections, asset-level debt and development capex cycles.</x:v>
      </x:c>
      <x:c r="J594" s="63"/>
      <x:c r="K594" s="63" t="str">
        <x:v>statement</x:v>
      </x:c>
      <x:c r="L594" s="63" t="str">
        <x:v>2025-06-01</x:v>
      </x:c>
      <x:c r="M594" s="63" t="str">
        <x:v>2026-06-30</x:v>
      </x:c>
      <x:c r="N594" s="63" t="str">
        <x:v>2026-06-30</x:v>
      </x:c>
      <x:c r="O594" s="63" t="str">
        <x:v>E0</x:v>
      </x:c>
      <x:c r="P594" s="63" t="str">
        <x:v>APPROVED</x:v>
      </x:c>
      <x:c r="Q594" s="64" t="b">
        <x:v>0</x:v>
      </x:c>
      <x:c r="R594" s="63" t="str">
        <x:v>OPERATING_MODEL</x:v>
      </x:c>
      <x:c r="S594" s="63" t="str">
        <x:v>Governed sector operating-model and responsibility policy</x:v>
      </x:c>
      <x:c r="T594" s="63"/>
      <x:c r="U594" s="63" t="str">
        <x:v>internal://v31/governed-policy</x:v>
      </x:c>
      <x:c r="V594" s="63" t="str">
        <x:v>16dd8071f00b9f2bfdcfe1ba763815f23c16fcf7d83d832359b4bd43a8495f99</x:v>
      </x:c>
    </x:row>
    <x:row r="595">
      <x:c r="A595" s="63" t="str">
        <x:v>bec:E13:struct:risk:0</x:v>
      </x:c>
      <x:c r="B595" s="63" t="str">
        <x:v>E13</x:v>
      </x:c>
      <x:c r="C595" s="63" t="str">
        <x:v>sector_primary_risk</x:v>
      </x:c>
      <x:c r="D595" s="63" t="str">
        <x:v>CATEGORICAL</x:v>
      </x:c>
      <x:c r="E595" s="63" t="str">
        <x:v>SCENARIO</x:v>
      </x:c>
      <x:c r="F595" s="65"/>
      <x:c r="G595" s="66"/>
      <x:c r="H595" s="67"/>
      <x:c r="I595" s="63" t="str">
        <x:v>interest-rate sensitivity of asset-level debt</x:v>
      </x:c>
      <x:c r="J595" s="63"/>
      <x:c r="K595" s="63" t="str">
        <x:v>statement</x:v>
      </x:c>
      <x:c r="L595" s="63" t="str">
        <x:v>2025-06-01</x:v>
      </x:c>
      <x:c r="M595" s="63" t="str">
        <x:v>2026-06-30</x:v>
      </x:c>
      <x:c r="N595" s="63" t="str">
        <x:v>2026-06-30</x:v>
      </x:c>
      <x:c r="O595" s="63" t="str">
        <x:v>E0</x:v>
      </x:c>
      <x:c r="P595" s="63" t="str">
        <x:v>APPROVED</x:v>
      </x:c>
      <x:c r="Q595" s="64" t="b">
        <x:v>0</x:v>
      </x:c>
      <x:c r="R595" s="63" t="str">
        <x:v>BUSINESS_AND_FINANCIAL_RISKS</x:v>
      </x:c>
      <x:c r="S595" s="63" t="str">
        <x:v>Governed sector operating-model and responsibility policy</x:v>
      </x:c>
      <x:c r="T595" s="63"/>
      <x:c r="U595" s="63" t="str">
        <x:v>internal://v31/governed-policy</x:v>
      </x:c>
      <x:c r="V595" s="63" t="str">
        <x:v>fe55a5380ad968acdbfee30296fc3589b9028b550f02338bb4dedd4d1b34648c</x:v>
      </x:c>
    </x:row>
    <x:row r="596">
      <x:c r="A596" s="63" t="str">
        <x:v>bec:E13:struct:risk:1</x:v>
      </x:c>
      <x:c r="B596" s="63" t="str">
        <x:v>E13</x:v>
      </x:c>
      <x:c r="C596" s="63" t="str">
        <x:v>sector_primary_risk</x:v>
      </x:c>
      <x:c r="D596" s="63" t="str">
        <x:v>CATEGORICAL</x:v>
      </x:c>
      <x:c r="E596" s="63" t="str">
        <x:v>SCENARIO</x:v>
      </x:c>
      <x:c r="F596" s="65"/>
      <x:c r="G596" s="66"/>
      <x:c r="H596" s="67"/>
      <x:c r="I596" s="63" t="str">
        <x:v>tenant concentration</x:v>
      </x:c>
      <x:c r="J596" s="63"/>
      <x:c r="K596" s="63" t="str">
        <x:v>statement</x:v>
      </x:c>
      <x:c r="L596" s="63" t="str">
        <x:v>2025-06-01</x:v>
      </x:c>
      <x:c r="M596" s="63" t="str">
        <x:v>2026-06-30</x:v>
      </x:c>
      <x:c r="N596" s="63" t="str">
        <x:v>2026-06-30</x:v>
      </x:c>
      <x:c r="O596" s="63" t="str">
        <x:v>E0</x:v>
      </x:c>
      <x:c r="P596" s="63" t="str">
        <x:v>APPROVED</x:v>
      </x:c>
      <x:c r="Q596" s="64" t="b">
        <x:v>0</x:v>
      </x:c>
      <x:c r="R596" s="63" t="str">
        <x:v>BUSINESS_AND_FINANCIAL_RISKS</x:v>
      </x:c>
      <x:c r="S596" s="63" t="str">
        <x:v>Governed sector operating-model and responsibility policy</x:v>
      </x:c>
      <x:c r="T596" s="63"/>
      <x:c r="U596" s="63" t="str">
        <x:v>internal://v31/governed-policy</x:v>
      </x:c>
      <x:c r="V596" s="63" t="str">
        <x:v>f172e04652a2fb2dc86fdb2d6f14cd9b472f2e275af47bf4114b4bf3a0ef9bfa</x:v>
      </x:c>
    </x:row>
    <x:row r="597">
      <x:c r="A597" s="63" t="str">
        <x:v>bec:E13:struct:risk:2</x:v>
      </x:c>
      <x:c r="B597" s="63" t="str">
        <x:v>E13</x:v>
      </x:c>
      <x:c r="C597" s="63" t="str">
        <x:v>sector_primary_risk</x:v>
      </x:c>
      <x:c r="D597" s="63" t="str">
        <x:v>CATEGORICAL</x:v>
      </x:c>
      <x:c r="E597" s="63" t="str">
        <x:v>SCENARIO</x:v>
      </x:c>
      <x:c r="F597" s="65"/>
      <x:c r="G597" s="66"/>
      <x:c r="H597" s="67"/>
      <x:c r="I597" s="63" t="str">
        <x:v>development funding</x:v>
      </x:c>
      <x:c r="J597" s="63"/>
      <x:c r="K597" s="63" t="str">
        <x:v>statement</x:v>
      </x:c>
      <x:c r="L597" s="63" t="str">
        <x:v>2025-06-01</x:v>
      </x:c>
      <x:c r="M597" s="63" t="str">
        <x:v>2026-06-30</x:v>
      </x:c>
      <x:c r="N597" s="63" t="str">
        <x:v>2026-06-30</x:v>
      </x:c>
      <x:c r="O597" s="63" t="str">
        <x:v>E0</x:v>
      </x:c>
      <x:c r="P597" s="63" t="str">
        <x:v>APPROVED</x:v>
      </x:c>
      <x:c r="Q597" s="64" t="b">
        <x:v>0</x:v>
      </x:c>
      <x:c r="R597" s="63" t="str">
        <x:v>BUSINESS_AND_FINANCIAL_RISKS</x:v>
      </x:c>
      <x:c r="S597" s="63" t="str">
        <x:v>Governed sector operating-model and responsibility policy</x:v>
      </x:c>
      <x:c r="T597" s="63"/>
      <x:c r="U597" s="63" t="str">
        <x:v>internal://v31/governed-policy</x:v>
      </x:c>
      <x:c r="V597" s="63" t="str">
        <x:v>be4221637cf0a39327463d24d466f3df4e75076540624f4e4ae98e586dd031ca</x:v>
      </x:c>
    </x:row>
    <x:row r="598">
      <x:c r="A598" s="63" t="str">
        <x:v>bec:E13:struct:responsibility-model</x:v>
      </x:c>
      <x:c r="B598" s="63" t="str">
        <x:v>E13</x:v>
      </x:c>
      <x:c r="C598" s="63" t="str">
        <x:v>stakeholder_responsibility_model</x:v>
      </x:c>
      <x:c r="D598" s="63" t="str">
        <x:v>TEXTUAL</x:v>
      </x:c>
      <x:c r="E598" s="63" t="str">
        <x:v>SCENARIO</x:v>
      </x:c>
      <x:c r="F598" s="65"/>
      <x:c r="G598" s="66"/>
      <x:c r="H598" s="67"/>
      <x:c r="I598" s="63" t="str">
        <x:v>Responsibility is assigned by role persona using governed matrix v31-stakeholder-responsibility-3.1.0. Named individuals are not resolved in the demonstration and require CRM entitlement checks in production.</x:v>
      </x:c>
      <x:c r="J598" s="63"/>
      <x:c r="K598" s="63" t="str">
        <x:v>statement</x:v>
      </x:c>
      <x:c r="L598" s="63" t="str">
        <x:v>2025-06-01</x:v>
      </x:c>
      <x:c r="M598" s="63" t="str">
        <x:v>2026-06-30</x:v>
      </x:c>
      <x:c r="N598" s="63" t="str">
        <x:v>2026-06-30</x:v>
      </x:c>
      <x:c r="O598" s="63" t="str">
        <x:v>E0</x:v>
      </x:c>
      <x:c r="P598" s="63" t="str">
        <x:v>APPROVED</x:v>
      </x:c>
      <x:c r="Q598" s="64" t="b">
        <x:v>0</x:v>
      </x:c>
      <x:c r="R598" s="63" t="str">
        <x:v>STAKEHOLDER_RESPONSIBILITY</x:v>
      </x:c>
      <x:c r="S598" s="63" t="str">
        <x:v>Governed sector operating-model and responsibility policy</x:v>
      </x:c>
      <x:c r="T598" s="63"/>
      <x:c r="U598" s="63" t="str">
        <x:v>internal://v31/governed-policy</x:v>
      </x:c>
      <x:c r="V598" s="63" t="str">
        <x:v>d64d7e7d8bb8844d6b328269dc148d6f7da35af63caecf84843de998bdec0ef2</x:v>
      </x:c>
    </x:row>
    <x:row r="599">
      <x:c r="A599" s="63" t="str">
        <x:v>bec:E13:struct:responsibility:fx_exposure</x:v>
      </x:c>
      <x:c r="B599" s="63" t="str">
        <x:v>E13</x:v>
      </x:c>
      <x:c r="C599" s="63" t="str">
        <x:v>problem_role_ownership</x:v>
      </x:c>
      <x:c r="D599" s="63" t="str">
        <x:v>STRUCTURE_RELATIONSHIP</x:v>
      </x:c>
      <x:c r="E599" s="63" t="str">
        <x:v>SCENARIO</x:v>
      </x:c>
      <x:c r="F599" s="65"/>
      <x:c r="G599" s="66"/>
      <x:c r="H599" s="67"/>
      <x:c r="I599" s="63"/>
      <x:c r="J599" s="63"/>
      <x:c r="K599" s="63" t="str">
        <x:v>statement</x:v>
      </x:c>
      <x:c r="L599" s="63" t="str">
        <x:v>2025-06-01</x:v>
      </x:c>
      <x:c r="M599" s="63" t="str">
        <x:v>2026-06-30</x:v>
      </x:c>
      <x:c r="N599" s="63" t="str">
        <x:v>2026-06-30</x:v>
      </x:c>
      <x:c r="O599" s="63" t="str">
        <x:v>E0</x:v>
      </x:c>
      <x:c r="P599" s="63" t="str">
        <x:v>APPROVED</x:v>
      </x:c>
      <x:c r="Q599" s="64" t="b">
        <x:v>0</x:v>
      </x:c>
      <x:c r="R599" s="63" t="str">
        <x:v>STAKEHOLDER_RESPONSIBILITY</x:v>
      </x:c>
      <x:c r="S599" s="63" t="str">
        <x:v>Governed sector operating-model and responsibility policy</x:v>
      </x:c>
      <x:c r="T599" s="63"/>
      <x:c r="U599" s="63" t="str">
        <x:v>internal://v31/governed-policy</x:v>
      </x:c>
      <x:c r="V599" s="63" t="str">
        <x:v>8b98ca420dba1a8aea6aee5a76710e4ef701aaa17bc56787d8c838c0953e3c84</x:v>
      </x:c>
    </x:row>
    <x:row r="600">
      <x:c r="A600" s="63" t="str">
        <x:v>bec:E13:struct:responsibility:refinancing_cliff</x:v>
      </x:c>
      <x:c r="B600" s="63" t="str">
        <x:v>E13</x:v>
      </x:c>
      <x:c r="C600" s="63" t="str">
        <x:v>problem_role_ownership</x:v>
      </x:c>
      <x:c r="D600" s="63" t="str">
        <x:v>STRUCTURE_RELATIONSHIP</x:v>
      </x:c>
      <x:c r="E600" s="63" t="str">
        <x:v>SCENARIO</x:v>
      </x:c>
      <x:c r="F600" s="65"/>
      <x:c r="G600" s="66"/>
      <x:c r="H600" s="67"/>
      <x:c r="I600" s="63"/>
      <x:c r="J600" s="63"/>
      <x:c r="K600" s="63" t="str">
        <x:v>statement</x:v>
      </x:c>
      <x:c r="L600" s="63" t="str">
        <x:v>2025-06-01</x:v>
      </x:c>
      <x:c r="M600" s="63" t="str">
        <x:v>2026-06-30</x:v>
      </x:c>
      <x:c r="N600" s="63" t="str">
        <x:v>2026-06-30</x:v>
      </x:c>
      <x:c r="O600" s="63" t="str">
        <x:v>E0</x:v>
      </x:c>
      <x:c r="P600" s="63" t="str">
        <x:v>APPROVED</x:v>
      </x:c>
      <x:c r="Q600" s="64" t="b">
        <x:v>0</x:v>
      </x:c>
      <x:c r="R600" s="63" t="str">
        <x:v>STAKEHOLDER_RESPONSIBILITY</x:v>
      </x:c>
      <x:c r="S600" s="63" t="str">
        <x:v>Governed sector operating-model and responsibility policy</x:v>
      </x:c>
      <x:c r="T600" s="63"/>
      <x:c r="U600" s="63" t="str">
        <x:v>internal://v31/governed-policy</x:v>
      </x:c>
      <x:c r="V600" s="63" t="str">
        <x:v>9f4a6b62f698574bc42d2ae788e1da74945bb4218e651cdb11cbbd9a511f6354</x:v>
      </x:c>
    </x:row>
    <x:row r="601">
      <x:c r="A601" s="63" t="str">
        <x:v>bec:E13:struct:responsibility:working_capital_pressure</x:v>
      </x:c>
      <x:c r="B601" s="63" t="str">
        <x:v>E13</x:v>
      </x:c>
      <x:c r="C601" s="63" t="str">
        <x:v>problem_role_ownership</x:v>
      </x:c>
      <x:c r="D601" s="63" t="str">
        <x:v>STRUCTURE_RELATIONSHIP</x:v>
      </x:c>
      <x:c r="E601" s="63" t="str">
        <x:v>SCENARIO</x:v>
      </x:c>
      <x:c r="F601" s="65"/>
      <x:c r="G601" s="66"/>
      <x:c r="H601" s="67"/>
      <x:c r="I601" s="63"/>
      <x:c r="J601" s="63"/>
      <x:c r="K601" s="63" t="str">
        <x:v>statement</x:v>
      </x:c>
      <x:c r="L601" s="63" t="str">
        <x:v>2025-06-01</x:v>
      </x:c>
      <x:c r="M601" s="63" t="str">
        <x:v>2026-06-30</x:v>
      </x:c>
      <x:c r="N601" s="63" t="str">
        <x:v>2026-06-30</x:v>
      </x:c>
      <x:c r="O601" s="63" t="str">
        <x:v>E0</x:v>
      </x:c>
      <x:c r="P601" s="63" t="str">
        <x:v>APPROVED</x:v>
      </x:c>
      <x:c r="Q601" s="64" t="b">
        <x:v>0</x:v>
      </x:c>
      <x:c r="R601" s="63" t="str">
        <x:v>STAKEHOLDER_RESPONSIBILITY</x:v>
      </x:c>
      <x:c r="S601" s="63" t="str">
        <x:v>Governed sector operating-model and responsibility policy</x:v>
      </x:c>
      <x:c r="T601" s="63"/>
      <x:c r="U601" s="63" t="str">
        <x:v>internal://v31/governed-policy</x:v>
      </x:c>
      <x:c r="V601" s="63" t="str">
        <x:v>8ad590d87b17c53bb69c23fe0d9e6188f41e601f67397d9b9965ce4e2130bc6b</x:v>
      </x:c>
    </x:row>
    <x:row r="602">
      <x:c r="A602" s="63" t="str">
        <x:v>bec:PROSUS-2026-REV</x:v>
      </x:c>
      <x:c r="B602" s="63" t="str">
        <x:v>E14</x:v>
      </x:c>
      <x:c r="C602" s="63" t="str">
        <x:v>revenue</x:v>
      </x:c>
      <x:c r="D602" s="63" t="str">
        <x:v>MONEY</x:v>
      </x:c>
      <x:c r="E602" s="63" t="str">
        <x:v>OBSERVED</x:v>
      </x:c>
      <x:c r="F602" s="65" t="n">
        <x:v>9705</x:v>
      </x:c>
      <x:c r="G602" s="66"/>
      <x:c r="H602" s="67"/>
      <x:c r="I602" s="63"/>
      <x:c r="J602" s="63" t="str">
        <x:v>USD</x:v>
      </x:c>
      <x:c r="K602" s="63" t="str">
        <x:v>million</x:v>
      </x:c>
      <x:c r="L602" s="63" t="str">
        <x:v>2025-04-01</x:v>
      </x:c>
      <x:c r="M602" s="63" t="str">
        <x:v>2026-03-31</x:v>
      </x:c>
      <x:c r="N602" s="63" t="str">
        <x:v>2026-06-29</x:v>
      </x:c>
      <x:c r="O602" s="63" t="str">
        <x:v>E1</x:v>
      </x:c>
      <x:c r="P602" s="63" t="str">
        <x:v>PENDING_REVIEW</x:v>
      </x:c>
      <x:c r="Q602" s="64" t="b">
        <x:v>1</x:v>
      </x:c>
      <x:c r="R602" s="63" t="str">
        <x:v>REVENUE_ENGINE</x:v>
      </x:c>
      <x:c r="S602" s="63" t="str">
        <x:v>Prosus Annual Report 2026</x:v>
      </x:c>
      <x:c r="T602" s="63" t="n">
        <x:v>141</x:v>
      </x:c>
      <x:c r="U602" s="63" t="str">
        <x:v>https://www.prosus.com/~/media/Files/P/prosus-corp-v2/results-reports-and-events-archive/annual-report/2026/fy2026-annual-report.pdf</x:v>
      </x:c>
      <x:c r="V602" s="63" t="str">
        <x:v>3ea6278d374118f72fe41ac635d4b622bc1b59be44f5db9c0a7bc321ceabf077</x:v>
      </x:c>
    </x:row>
    <x:row r="603">
      <x:c r="A603" s="63" t="str">
        <x:v>bec:PROSUS-2026-CASH</x:v>
      </x:c>
      <x:c r="B603" s="63" t="str">
        <x:v>E14</x:v>
      </x:c>
      <x:c r="C603" s="63" t="str">
        <x:v>cash_and_cash_equivalents</x:v>
      </x:c>
      <x:c r="D603" s="63" t="str">
        <x:v>MONEY</x:v>
      </x:c>
      <x:c r="E603" s="63" t="str">
        <x:v>OBSERVED</x:v>
      </x:c>
      <x:c r="F603" s="65" t="n">
        <x:v>6682</x:v>
      </x:c>
      <x:c r="G603" s="66"/>
      <x:c r="H603" s="67"/>
      <x:c r="I603" s="63"/>
      <x:c r="J603" s="63" t="str">
        <x:v>USD</x:v>
      </x:c>
      <x:c r="K603" s="63" t="str">
        <x:v>million</x:v>
      </x:c>
      <x:c r="L603" s="63" t="str">
        <x:v>2026-03-31</x:v>
      </x:c>
      <x:c r="M603" s="63" t="str">
        <x:v>2026-03-31</x:v>
      </x:c>
      <x:c r="N603" s="63" t="str">
        <x:v>2026-06-29</x:v>
      </x:c>
      <x:c r="O603" s="63" t="str">
        <x:v>E1</x:v>
      </x:c>
      <x:c r="P603" s="63" t="str">
        <x:v>PENDING_REVIEW</x:v>
      </x:c>
      <x:c r="Q603" s="64" t="b">
        <x:v>1</x:v>
      </x:c>
      <x:c r="R603" s="63" t="str">
        <x:v>LIQUIDITY_AND_BUFFER</x:v>
      </x:c>
      <x:c r="S603" s="63" t="str">
        <x:v>Prosus Annual Report 2026</x:v>
      </x:c>
      <x:c r="T603" s="63" t="n">
        <x:v>140</x:v>
      </x:c>
      <x:c r="U603" s="63" t="str">
        <x:v>https://www.prosus.com/~/media/Files/P/prosus-corp-v2/results-reports-and-events-archive/annual-report/2026/fy2026-annual-report.pdf</x:v>
      </x:c>
      <x:c r="V603" s="63" t="str">
        <x:v>3ea6278d374118f72fe41ac635d4b622bc1b59be44f5db9c0a7bc321ceabf077</x:v>
      </x:c>
    </x:row>
    <x:row r="604">
      <x:c r="A604" s="63" t="str">
        <x:v>bec:PROSUS-2026-DEBT</x:v>
      </x:c>
      <x:c r="B604" s="63" t="str">
        <x:v>E14</x:v>
      </x:c>
      <x:c r="C604" s="63" t="str">
        <x:v>current_debt</x:v>
      </x:c>
      <x:c r="D604" s="63" t="str">
        <x:v>MONEY</x:v>
      </x:c>
      <x:c r="E604" s="63" t="str">
        <x:v>OBSERVED</x:v>
      </x:c>
      <x:c r="F604" s="65" t="n">
        <x:v>1953</x:v>
      </x:c>
      <x:c r="G604" s="66"/>
      <x:c r="H604" s="67"/>
      <x:c r="I604" s="63"/>
      <x:c r="J604" s="63" t="str">
        <x:v>USD</x:v>
      </x:c>
      <x:c r="K604" s="63" t="str">
        <x:v>million</x:v>
      </x:c>
      <x:c r="L604" s="63" t="str">
        <x:v>2026-03-31</x:v>
      </x:c>
      <x:c r="M604" s="63" t="str">
        <x:v>2026-03-31</x:v>
      </x:c>
      <x:c r="N604" s="63" t="str">
        <x:v>2026-06-29</x:v>
      </x:c>
      <x:c r="O604" s="63" t="str">
        <x:v>E1</x:v>
      </x:c>
      <x:c r="P604" s="63" t="str">
        <x:v>PENDING_REVIEW</x:v>
      </x:c>
      <x:c r="Q604" s="64" t="b">
        <x:v>1</x:v>
      </x:c>
      <x:c r="R604" s="63" t="str">
        <x:v>FUNDING_STRUCTURE</x:v>
      </x:c>
      <x:c r="S604" s="63" t="str">
        <x:v>Prosus Annual Report 2026</x:v>
      </x:c>
      <x:c r="T604" s="63" t="n">
        <x:v>140</x:v>
      </x:c>
      <x:c r="U604" s="63" t="str">
        <x:v>https://www.prosus.com/~/media/Files/P/prosus-corp-v2/results-reports-and-events-archive/annual-report/2026/fy2026-annual-report.pdf</x:v>
      </x:c>
      <x:c r="V604" s="63" t="str">
        <x:v>3ea6278d374118f72fe41ac635d4b622bc1b59be44f5db9c0a7bc321ceabf077</x:v>
      </x:c>
    </x:row>
    <x:row r="605">
      <x:c r="A605" s="63" t="str">
        <x:v>bec:E14:obs:flow:collections</x:v>
      </x:c>
      <x:c r="B605" s="63" t="str">
        <x:v>E14</x:v>
      </x:c>
      <x:c r="C605" s="63" t="str">
        <x:v>bank_observed_collections_ltm</x:v>
      </x:c>
      <x:c r="D605" s="63" t="str">
        <x:v>MONEY</x:v>
      </x:c>
      <x:c r="E605" s="63" t="str">
        <x:v>OBSERVED</x:v>
      </x:c>
      <x:c r="F605" s="65" t="n">
        <x:v>503675527.22000027</x:v>
      </x:c>
      <x:c r="G605" s="66"/>
      <x:c r="H605" s="67"/>
      <x:c r="I605" s="63"/>
      <x:c r="J605" s="63" t="str">
        <x:v>ZAR</x:v>
      </x:c>
      <x:c r="K605" s="63" t="str">
        <x:v>ZAR</x:v>
      </x:c>
      <x:c r="L605" s="63" t="str">
        <x:v>2025-06-01</x:v>
      </x:c>
      <x:c r="M605" s="63" t="str">
        <x:v>2026-06-30</x:v>
      </x:c>
      <x:c r="N605" s="63" t="str">
        <x:v>2026-06-30</x:v>
      </x:c>
      <x:c r="O605" s="63" t="str">
        <x:v>E0</x:v>
      </x:c>
      <x:c r="P605" s="63" t="str">
        <x:v>APPROVED</x:v>
      </x:c>
      <x:c r="Q605" s="64" t="b">
        <x:v>1</x:v>
      </x:c>
      <x:c r="R605" s="63" t="str">
        <x:v>REVENUE_ENGINE, WORKING_CAPITAL_CYCLE</x:v>
      </x:c>
      <x:c r="S605" s="63" t="str">
        <x:v>Syn Bank transaction and relationship simulation</x:v>
      </x:c>
      <x:c r="T605" s="63"/>
      <x:c r="U605" s="63" t="str">
        <x:v>internal://syn-bank/simulation/ltm</x:v>
      </x:c>
      <x:c r="V605" s="63" t="str">
        <x:v>291410150f8c5695173a7fbbe6b0020f73379178f4b25974d4ff85bb8fbaf848</x:v>
      </x:c>
    </x:row>
    <x:row r="606">
      <x:c r="A606" s="63" t="str">
        <x:v>bec:E14:obs:trend:collections</x:v>
      </x:c>
      <x:c r="B606" s="63" t="str">
        <x:v>E14</x:v>
      </x:c>
      <x:c r="C606" s="63" t="str">
        <x:v>bank_observed_collections_yoy_change</x:v>
      </x:c>
      <x:c r="D606" s="63" t="str">
        <x:v>RATIO</x:v>
      </x:c>
      <x:c r="E606" s="63" t="str">
        <x:v>OBSERVED</x:v>
      </x:c>
      <x:c r="F606" s="65"/>
      <x:c r="G606" s="66" t="n">
        <x:v>0.009587</x:v>
      </x:c>
      <x:c r="H606" s="67"/>
      <x:c r="I606" s="63"/>
      <x:c r="J606" s="63"/>
      <x:c r="K606" s="63" t="str">
        <x:v>ratio</x:v>
      </x:c>
      <x:c r="L606" s="63" t="str">
        <x:v>2025-06-01</x:v>
      </x:c>
      <x:c r="M606" s="63" t="str">
        <x:v>2026-06-30</x:v>
      </x:c>
      <x:c r="N606" s="63" t="str">
        <x:v>2026-06-30</x:v>
      </x:c>
      <x:c r="O606" s="63" t="str">
        <x:v>E0</x:v>
      </x:c>
      <x:c r="P606" s="63" t="str">
        <x:v>APPROVED</x:v>
      </x:c>
      <x:c r="Q606" s="64" t="b">
        <x:v>0</x:v>
      </x:c>
      <x:c r="R606" s="63" t="str">
        <x:v>REVENUE_ENGINE, WORKING_CAPITAL_CYCLE</x:v>
      </x:c>
      <x:c r="S606" s="63" t="str">
        <x:v>Syn Bank transaction and relationship simulation</x:v>
      </x:c>
      <x:c r="T606" s="63"/>
      <x:c r="U606" s="63" t="str">
        <x:v>internal://syn-bank/simulation/ltm</x:v>
      </x:c>
      <x:c r="V606" s="63" t="str">
        <x:v>fa7ce232a275efea73bc181a477459e2a4952f6a5e861d26e9f77afa08092a78</x:v>
      </x:c>
    </x:row>
    <x:row r="607">
      <x:c r="A607" s="63" t="str">
        <x:v>bec:E14:obs:flow:payments</x:v>
      </x:c>
      <x:c r="B607" s="63" t="str">
        <x:v>E14</x:v>
      </x:c>
      <x:c r="C607" s="63" t="str">
        <x:v>bank_observed_payments_ltm</x:v>
      </x:c>
      <x:c r="D607" s="63" t="str">
        <x:v>MONEY</x:v>
      </x:c>
      <x:c r="E607" s="63" t="str">
        <x:v>OBSERVED</x:v>
      </x:c>
      <x:c r="F607" s="65" t="n">
        <x:v>1381684662.0800002</x:v>
      </x:c>
      <x:c r="G607" s="66"/>
      <x:c r="H607" s="67"/>
      <x:c r="I607" s="63"/>
      <x:c r="J607" s="63" t="str">
        <x:v>ZAR</x:v>
      </x:c>
      <x:c r="K607" s="63" t="str">
        <x:v>ZAR</x:v>
      </x:c>
      <x:c r="L607" s="63" t="str">
        <x:v>2025-06-01</x:v>
      </x:c>
      <x:c r="M607" s="63" t="str">
        <x:v>2026-06-30</x:v>
      </x:c>
      <x:c r="N607" s="63" t="str">
        <x:v>2026-06-30</x:v>
      </x:c>
      <x:c r="O607" s="63" t="str">
        <x:v>E0</x:v>
      </x:c>
      <x:c r="P607" s="63" t="str">
        <x:v>APPROVED</x:v>
      </x:c>
      <x:c r="Q607" s="64" t="b">
        <x:v>1</x:v>
      </x:c>
      <x:c r="R607" s="63" t="str">
        <x:v>COST_ENGINE, WORKING_CAPITAL_CYCLE</x:v>
      </x:c>
      <x:c r="S607" s="63" t="str">
        <x:v>Syn Bank transaction and relationship simulation</x:v>
      </x:c>
      <x:c r="T607" s="63"/>
      <x:c r="U607" s="63" t="str">
        <x:v>internal://syn-bank/simulation/ltm</x:v>
      </x:c>
      <x:c r="V607" s="63" t="str">
        <x:v>7ed818ec7366731cdf4a6052a2d59fa483c8d8f573fa7a8cfeed23dc508a8460</x:v>
      </x:c>
    </x:row>
    <x:row r="608">
      <x:c r="A608" s="63" t="str">
        <x:v>bec:E14:obs:trend:payments</x:v>
      </x:c>
      <x:c r="B608" s="63" t="str">
        <x:v>E14</x:v>
      </x:c>
      <x:c r="C608" s="63" t="str">
        <x:v>bank_observed_payments_yoy_change</x:v>
      </x:c>
      <x:c r="D608" s="63" t="str">
        <x:v>RATIO</x:v>
      </x:c>
      <x:c r="E608" s="63" t="str">
        <x:v>OBSERVED</x:v>
      </x:c>
      <x:c r="F608" s="65"/>
      <x:c r="G608" s="66" t="n">
        <x:v>-0.024472</x:v>
      </x:c>
      <x:c r="H608" s="67"/>
      <x:c r="I608" s="63"/>
      <x:c r="J608" s="63"/>
      <x:c r="K608" s="63" t="str">
        <x:v>ratio</x:v>
      </x:c>
      <x:c r="L608" s="63" t="str">
        <x:v>2025-06-01</x:v>
      </x:c>
      <x:c r="M608" s="63" t="str">
        <x:v>2026-06-30</x:v>
      </x:c>
      <x:c r="N608" s="63" t="str">
        <x:v>2026-06-30</x:v>
      </x:c>
      <x:c r="O608" s="63" t="str">
        <x:v>E0</x:v>
      </x:c>
      <x:c r="P608" s="63" t="str">
        <x:v>APPROVED</x:v>
      </x:c>
      <x:c r="Q608" s="64" t="b">
        <x:v>0</x:v>
      </x:c>
      <x:c r="R608" s="63" t="str">
        <x:v>COST_ENGINE, WORKING_CAPITAL_CYCLE</x:v>
      </x:c>
      <x:c r="S608" s="63" t="str">
        <x:v>Syn Bank transaction and relationship simulation</x:v>
      </x:c>
      <x:c r="T608" s="63"/>
      <x:c r="U608" s="63" t="str">
        <x:v>internal://syn-bank/simulation/ltm</x:v>
      </x:c>
      <x:c r="V608" s="63" t="str">
        <x:v>232faaad75654a0569a8f7cfe6ec1e601f7f2daabd0e274d2554cb267da8e250</x:v>
      </x:c>
    </x:row>
    <x:row r="609">
      <x:c r="A609" s="63" t="str">
        <x:v>bec:E14:obs:flow:liquidity</x:v>
      </x:c>
      <x:c r="B609" s="63" t="str">
        <x:v>E14</x:v>
      </x:c>
      <x:c r="C609" s="63" t="str">
        <x:v>bank_observed_liquidity_ltm</x:v>
      </x:c>
      <x:c r="D609" s="63" t="str">
        <x:v>MONEY</x:v>
      </x:c>
      <x:c r="E609" s="63" t="str">
        <x:v>OBSERVED</x:v>
      </x:c>
      <x:c r="F609" s="65" t="n">
        <x:v>942680094.6499999</x:v>
      </x:c>
      <x:c r="G609" s="66"/>
      <x:c r="H609" s="67"/>
      <x:c r="I609" s="63"/>
      <x:c r="J609" s="63" t="str">
        <x:v>ZAR</x:v>
      </x:c>
      <x:c r="K609" s="63" t="str">
        <x:v>ZAR</x:v>
      </x:c>
      <x:c r="L609" s="63" t="str">
        <x:v>2025-06-01</x:v>
      </x:c>
      <x:c r="M609" s="63" t="str">
        <x:v>2026-06-30</x:v>
      </x:c>
      <x:c r="N609" s="63" t="str">
        <x:v>2026-06-30</x:v>
      </x:c>
      <x:c r="O609" s="63" t="str">
        <x:v>E0</x:v>
      </x:c>
      <x:c r="P609" s="63" t="str">
        <x:v>APPROVED</x:v>
      </x:c>
      <x:c r="Q609" s="64" t="b">
        <x:v>1</x:v>
      </x:c>
      <x:c r="R609" s="63" t="str">
        <x:v>LIQUIDITY_AND_BUFFER</x:v>
      </x:c>
      <x:c r="S609" s="63" t="str">
        <x:v>Syn Bank transaction and relationship simulation</x:v>
      </x:c>
      <x:c r="T609" s="63"/>
      <x:c r="U609" s="63" t="str">
        <x:v>internal://syn-bank/simulation/ltm</x:v>
      </x:c>
      <x:c r="V609" s="63" t="str">
        <x:v>c3ee37ab4444babd616f1a40d048b0d26119f3cc0b37f35f4a6b1133cd1f5131</x:v>
      </x:c>
    </x:row>
    <x:row r="610">
      <x:c r="A610" s="63" t="str">
        <x:v>bec:E14:obs:trend:liquidity</x:v>
      </x:c>
      <x:c r="B610" s="63" t="str">
        <x:v>E14</x:v>
      </x:c>
      <x:c r="C610" s="63" t="str">
        <x:v>bank_observed_liquidity_yoy_change</x:v>
      </x:c>
      <x:c r="D610" s="63" t="str">
        <x:v>RATIO</x:v>
      </x:c>
      <x:c r="E610" s="63" t="str">
        <x:v>OBSERVED</x:v>
      </x:c>
      <x:c r="F610" s="65"/>
      <x:c r="G610" s="66" t="n">
        <x:v>-0.0156</x:v>
      </x:c>
      <x:c r="H610" s="67"/>
      <x:c r="I610" s="63"/>
      <x:c r="J610" s="63"/>
      <x:c r="K610" s="63" t="str">
        <x:v>ratio</x:v>
      </x:c>
      <x:c r="L610" s="63" t="str">
        <x:v>2025-06-01</x:v>
      </x:c>
      <x:c r="M610" s="63" t="str">
        <x:v>2026-06-30</x:v>
      </x:c>
      <x:c r="N610" s="63" t="str">
        <x:v>2026-06-30</x:v>
      </x:c>
      <x:c r="O610" s="63" t="str">
        <x:v>E0</x:v>
      </x:c>
      <x:c r="P610" s="63" t="str">
        <x:v>APPROVED</x:v>
      </x:c>
      <x:c r="Q610" s="64" t="b">
        <x:v>0</x:v>
      </x:c>
      <x:c r="R610" s="63" t="str">
        <x:v>LIQUIDITY_AND_BUFFER</x:v>
      </x:c>
      <x:c r="S610" s="63" t="str">
        <x:v>Syn Bank transaction and relationship simulation</x:v>
      </x:c>
      <x:c r="T610" s="63"/>
      <x:c r="U610" s="63" t="str">
        <x:v>internal://syn-bank/simulation/ltm</x:v>
      </x:c>
      <x:c r="V610" s="63" t="str">
        <x:v>09c8f4949aeab119689c96e812a8d6a89ba9cb548e72c0fde8538c684fcb43d5</x:v>
      </x:c>
    </x:row>
    <x:row r="611">
      <x:c r="A611" s="63" t="str">
        <x:v>bec:E14:obs:flow:cross-border-fx</x:v>
      </x:c>
      <x:c r="B611" s="63" t="str">
        <x:v>E14</x:v>
      </x:c>
      <x:c r="C611" s="63" t="str">
        <x:v>bank_observed_cross_border_fx_ltm</x:v>
      </x:c>
      <x:c r="D611" s="63" t="str">
        <x:v>MONEY</x:v>
      </x:c>
      <x:c r="E611" s="63" t="str">
        <x:v>OBSERVED</x:v>
      </x:c>
      <x:c r="F611" s="65" t="n">
        <x:v>1971289911.8700001</x:v>
      </x:c>
      <x:c r="G611" s="66"/>
      <x:c r="H611" s="67"/>
      <x:c r="I611" s="63"/>
      <x:c r="J611" s="63" t="str">
        <x:v>ZAR</x:v>
      </x:c>
      <x:c r="K611" s="63" t="str">
        <x:v>ZAR</x:v>
      </x:c>
      <x:c r="L611" s="63" t="str">
        <x:v>2025-06-01</x:v>
      </x:c>
      <x:c r="M611" s="63" t="str">
        <x:v>2026-06-30</x:v>
      </x:c>
      <x:c r="N611" s="63" t="str">
        <x:v>2026-06-30</x:v>
      </x:c>
      <x:c r="O611" s="63" t="str">
        <x:v>E0</x:v>
      </x:c>
      <x:c r="P611" s="63" t="str">
        <x:v>APPROVED</x:v>
      </x:c>
      <x:c r="Q611" s="64" t="b">
        <x:v>1</x:v>
      </x:c>
      <x:c r="R611" s="63" t="str">
        <x:v>CURRENCY_AND_COMMODITY_EXPOSURE, GEOGRAPHIC_EXPOSURE</x:v>
      </x:c>
      <x:c r="S611" s="63" t="str">
        <x:v>Syn Bank transaction and relationship simulation</x:v>
      </x:c>
      <x:c r="T611" s="63"/>
      <x:c r="U611" s="63" t="str">
        <x:v>internal://syn-bank/simulation/ltm</x:v>
      </x:c>
      <x:c r="V611" s="63" t="str">
        <x:v>3968aef588e809a1031d6881ec81f5de1fb8a8e9c59f98a25f7af51023fc7881</x:v>
      </x:c>
    </x:row>
    <x:row r="612">
      <x:c r="A612" s="63" t="str">
        <x:v>bec:E14:obs:trend:cross-border-fx</x:v>
      </x:c>
      <x:c r="B612" s="63" t="str">
        <x:v>E14</x:v>
      </x:c>
      <x:c r="C612" s="63" t="str">
        <x:v>bank_observed_cross_border_fx_yoy_change</x:v>
      </x:c>
      <x:c r="D612" s="63" t="str">
        <x:v>RATIO</x:v>
      </x:c>
      <x:c r="E612" s="63" t="str">
        <x:v>OBSERVED</x:v>
      </x:c>
      <x:c r="F612" s="65"/>
      <x:c r="G612" s="66" t="n">
        <x:v>-0.053162</x:v>
      </x:c>
      <x:c r="H612" s="67"/>
      <x:c r="I612" s="63"/>
      <x:c r="J612" s="63"/>
      <x:c r="K612" s="63" t="str">
        <x:v>ratio</x:v>
      </x:c>
      <x:c r="L612" s="63" t="str">
        <x:v>2025-06-01</x:v>
      </x:c>
      <x:c r="M612" s="63" t="str">
        <x:v>2026-06-30</x:v>
      </x:c>
      <x:c r="N612" s="63" t="str">
        <x:v>2026-06-30</x:v>
      </x:c>
      <x:c r="O612" s="63" t="str">
        <x:v>E0</x:v>
      </x:c>
      <x:c r="P612" s="63" t="str">
        <x:v>APPROVED</x:v>
      </x:c>
      <x:c r="Q612" s="64" t="b">
        <x:v>0</x:v>
      </x:c>
      <x:c r="R612" s="63" t="str">
        <x:v>CURRENCY_AND_COMMODITY_EXPOSURE, GEOGRAPHIC_EXPOSURE</x:v>
      </x:c>
      <x:c r="S612" s="63" t="str">
        <x:v>Syn Bank transaction and relationship simulation</x:v>
      </x:c>
      <x:c r="T612" s="63"/>
      <x:c r="U612" s="63" t="str">
        <x:v>internal://syn-bank/simulation/ltm</x:v>
      </x:c>
      <x:c r="V612" s="63" t="str">
        <x:v>4719e53dbe931c6a49407c5282b4f2d9b0c3f804fb672855bbf80d3d83233abf</x:v>
      </x:c>
    </x:row>
    <x:row r="613">
      <x:c r="A613" s="63" t="str">
        <x:v>bec:E14:obs:flow:trade-finance</x:v>
      </x:c>
      <x:c r="B613" s="63" t="str">
        <x:v>E14</x:v>
      </x:c>
      <x:c r="C613" s="63" t="str">
        <x:v>bank_observed_trade_finance_ltm</x:v>
      </x:c>
      <x:c r="D613" s="63" t="str">
        <x:v>MONEY</x:v>
      </x:c>
      <x:c r="E613" s="63" t="str">
        <x:v>OBSERVED</x:v>
      </x:c>
      <x:c r="F613" s="65" t="n">
        <x:v>32376358.75</x:v>
      </x:c>
      <x:c r="G613" s="66"/>
      <x:c r="H613" s="67"/>
      <x:c r="I613" s="63"/>
      <x:c r="J613" s="63" t="str">
        <x:v>ZAR</x:v>
      </x:c>
      <x:c r="K613" s="63" t="str">
        <x:v>ZAR</x:v>
      </x:c>
      <x:c r="L613" s="63" t="str">
        <x:v>2025-06-01</x:v>
      </x:c>
      <x:c r="M613" s="63" t="str">
        <x:v>2026-06-30</x:v>
      </x:c>
      <x:c r="N613" s="63" t="str">
        <x:v>2026-06-30</x:v>
      </x:c>
      <x:c r="O613" s="63" t="str">
        <x:v>E0</x:v>
      </x:c>
      <x:c r="P613" s="63" t="str">
        <x:v>APPROVED</x:v>
      </x:c>
      <x:c r="Q613" s="64" t="b">
        <x:v>1</x:v>
      </x:c>
      <x:c r="R613" s="63" t="str">
        <x:v>WORKING_CAPITAL_CYCLE, OPERATING_MODEL</x:v>
      </x:c>
      <x:c r="S613" s="63" t="str">
        <x:v>Syn Bank transaction and relationship simulation</x:v>
      </x:c>
      <x:c r="T613" s="63"/>
      <x:c r="U613" s="63" t="str">
        <x:v>internal://syn-bank/simulation/ltm</x:v>
      </x:c>
      <x:c r="V613" s="63" t="str">
        <x:v>03b4291d3743954d20a58a7a3c2e1439b392644ceefecd05fc6127ded05d8f3d</x:v>
      </x:c>
    </x:row>
    <x:row r="614">
      <x:c r="A614" s="63" t="str">
        <x:v>bec:E14:obs:trend:trade-finance</x:v>
      </x:c>
      <x:c r="B614" s="63" t="str">
        <x:v>E14</x:v>
      </x:c>
      <x:c r="C614" s="63" t="str">
        <x:v>bank_observed_trade_finance_yoy_change</x:v>
      </x:c>
      <x:c r="D614" s="63" t="str">
        <x:v>RATIO</x:v>
      </x:c>
      <x:c r="E614" s="63" t="str">
        <x:v>OBSERVED</x:v>
      </x:c>
      <x:c r="F614" s="65"/>
      <x:c r="G614" s="66" t="n">
        <x:v>0.975328</x:v>
      </x:c>
      <x:c r="H614" s="67"/>
      <x:c r="I614" s="63"/>
      <x:c r="J614" s="63"/>
      <x:c r="K614" s="63" t="str">
        <x:v>ratio</x:v>
      </x:c>
      <x:c r="L614" s="63" t="str">
        <x:v>2025-06-01</x:v>
      </x:c>
      <x:c r="M614" s="63" t="str">
        <x:v>2026-06-30</x:v>
      </x:c>
      <x:c r="N614" s="63" t="str">
        <x:v>2026-06-30</x:v>
      </x:c>
      <x:c r="O614" s="63" t="str">
        <x:v>E0</x:v>
      </x:c>
      <x:c r="P614" s="63" t="str">
        <x:v>APPROVED</x:v>
      </x:c>
      <x:c r="Q614" s="64" t="b">
        <x:v>0</x:v>
      </x:c>
      <x:c r="R614" s="63" t="str">
        <x:v>WORKING_CAPITAL_CYCLE, OPERATING_MODEL</x:v>
      </x:c>
      <x:c r="S614" s="63" t="str">
        <x:v>Syn Bank transaction and relationship simulation</x:v>
      </x:c>
      <x:c r="T614" s="63"/>
      <x:c r="U614" s="63" t="str">
        <x:v>internal://syn-bank/simulation/ltm</x:v>
      </x:c>
      <x:c r="V614" s="63" t="str">
        <x:v>4c1b7212b65ea33c97454f459da3a5ae29be9cfaa43c20c41f4e66db56e5dbe2</x:v>
      </x:c>
    </x:row>
    <x:row r="615">
      <x:c r="A615" s="63" t="str">
        <x:v>bec:E14:obs:corridor:0</x:v>
      </x:c>
      <x:c r="B615" s="63" t="str">
        <x:v>E14</x:v>
      </x:c>
      <x:c r="C615" s="63" t="str">
        <x:v>bank_observed_corridor_value</x:v>
      </x:c>
      <x:c r="D615" s="63" t="str">
        <x:v>MONEY</x:v>
      </x:c>
      <x:c r="E615" s="63" t="str">
        <x:v>OBSERVED</x:v>
      </x:c>
      <x:c r="F615" s="65" t="n">
        <x:v>656353887.7900007</x:v>
      </x:c>
      <x:c r="G615" s="66"/>
      <x:c r="H615" s="67"/>
      <x:c r="I615" s="63"/>
      <x:c r="J615" s="63" t="str">
        <x:v>ZAR</x:v>
      </x:c>
      <x:c r="K615" s="63" t="str">
        <x:v>ZAR</x:v>
      </x:c>
      <x:c r="L615" s="63" t="str">
        <x:v>2025-06-01</x:v>
      </x:c>
      <x:c r="M615" s="63" t="str">
        <x:v>2026-06-30</x:v>
      </x:c>
      <x:c r="N615" s="63" t="str">
        <x:v>2026-06-30</x:v>
      </x:c>
      <x:c r="O615" s="63" t="str">
        <x:v>E0</x:v>
      </x:c>
      <x:c r="P615" s="63" t="str">
        <x:v>APPROVED</x:v>
      </x:c>
      <x:c r="Q615" s="64" t="b">
        <x:v>1</x:v>
      </x:c>
      <x:c r="R615" s="63" t="str">
        <x:v>GEOGRAPHIC_EXPOSURE</x:v>
      </x:c>
      <x:c r="S615" s="63" t="str">
        <x:v>Syn Bank transaction and relationship simulation</x:v>
      </x:c>
      <x:c r="T615" s="63"/>
      <x:c r="U615" s="63" t="str">
        <x:v>internal://syn-bank/simulation/ltm</x:v>
      </x:c>
      <x:c r="V615" s="63" t="str">
        <x:v>ecddc48a82055350f3656e46df4ec60b824d1020b0b01732711a1c9d108f2838</x:v>
      </x:c>
    </x:row>
    <x:row r="616">
      <x:c r="A616" s="63" t="str">
        <x:v>bec:E14:obs:corridor-name:0</x:v>
      </x:c>
      <x:c r="B616" s="63" t="str">
        <x:v>E14</x:v>
      </x:c>
      <x:c r="C616" s="63" t="str">
        <x:v>bank_observed_corridor_country</x:v>
      </x:c>
      <x:c r="D616" s="63" t="str">
        <x:v>CATEGORICAL</x:v>
      </x:c>
      <x:c r="E616" s="63" t="str">
        <x:v>OBSERVED</x:v>
      </x:c>
      <x:c r="F616" s="65"/>
      <x:c r="G616" s="66"/>
      <x:c r="H616" s="67"/>
      <x:c r="I616" s="63" t="str">
        <x:v>Japan</x:v>
      </x:c>
      <x:c r="J616" s="63"/>
      <x:c r="K616" s="63" t="str">
        <x:v>country</x:v>
      </x:c>
      <x:c r="L616" s="63" t="str">
        <x:v>2025-06-01</x:v>
      </x:c>
      <x:c r="M616" s="63" t="str">
        <x:v>2026-06-30</x:v>
      </x:c>
      <x:c r="N616" s="63" t="str">
        <x:v>2026-06-30</x:v>
      </x:c>
      <x:c r="O616" s="63" t="str">
        <x:v>E0</x:v>
      </x:c>
      <x:c r="P616" s="63" t="str">
        <x:v>APPROVED</x:v>
      </x:c>
      <x:c r="Q616" s="64" t="b">
        <x:v>0</x:v>
      </x:c>
      <x:c r="R616" s="63" t="str">
        <x:v>GEOGRAPHIC_EXPOSURE</x:v>
      </x:c>
      <x:c r="S616" s="63" t="str">
        <x:v>Syn Bank transaction and relationship simulation</x:v>
      </x:c>
      <x:c r="T616" s="63"/>
      <x:c r="U616" s="63" t="str">
        <x:v>internal://syn-bank/simulation/ltm</x:v>
      </x:c>
      <x:c r="V616" s="63" t="str">
        <x:v>4fc991cb4fad0a5025b948618ddba61bf7869df3dbaa2044a6dc02d5d899ef95</x:v>
      </x:c>
    </x:row>
    <x:row r="617">
      <x:c r="A617" s="63" t="str">
        <x:v>bec:E14:obs:corridor:1</x:v>
      </x:c>
      <x:c r="B617" s="63" t="str">
        <x:v>E14</x:v>
      </x:c>
      <x:c r="C617" s="63" t="str">
        <x:v>bank_observed_corridor_value</x:v>
      </x:c>
      <x:c r="D617" s="63" t="str">
        <x:v>MONEY</x:v>
      </x:c>
      <x:c r="E617" s="63" t="str">
        <x:v>OBSERVED</x:v>
      </x:c>
      <x:c r="F617" s="65" t="n">
        <x:v>637727042.8100009</x:v>
      </x:c>
      <x:c r="G617" s="66"/>
      <x:c r="H617" s="67"/>
      <x:c r="I617" s="63"/>
      <x:c r="J617" s="63" t="str">
        <x:v>ZAR</x:v>
      </x:c>
      <x:c r="K617" s="63" t="str">
        <x:v>ZAR</x:v>
      </x:c>
      <x:c r="L617" s="63" t="str">
        <x:v>2025-06-01</x:v>
      </x:c>
      <x:c r="M617" s="63" t="str">
        <x:v>2026-06-30</x:v>
      </x:c>
      <x:c r="N617" s="63" t="str">
        <x:v>2026-06-30</x:v>
      </x:c>
      <x:c r="O617" s="63" t="str">
        <x:v>E0</x:v>
      </x:c>
      <x:c r="P617" s="63" t="str">
        <x:v>APPROVED</x:v>
      </x:c>
      <x:c r="Q617" s="64" t="b">
        <x:v>0</x:v>
      </x:c>
      <x:c r="R617" s="63" t="str">
        <x:v>GEOGRAPHIC_EXPOSURE</x:v>
      </x:c>
      <x:c r="S617" s="63" t="str">
        <x:v>Syn Bank transaction and relationship simulation</x:v>
      </x:c>
      <x:c r="T617" s="63"/>
      <x:c r="U617" s="63" t="str">
        <x:v>internal://syn-bank/simulation/ltm</x:v>
      </x:c>
      <x:c r="V617" s="63" t="str">
        <x:v>39b75539c28fd9ec53478ac8b44b66070c7fbae7c895628afeffb09ff1d4cace</x:v>
      </x:c>
    </x:row>
    <x:row r="618">
      <x:c r="A618" s="63" t="str">
        <x:v>bec:E14:obs:corridor-name:1</x:v>
      </x:c>
      <x:c r="B618" s="63" t="str">
        <x:v>E14</x:v>
      </x:c>
      <x:c r="C618" s="63" t="str">
        <x:v>bank_observed_corridor_country</x:v>
      </x:c>
      <x:c r="D618" s="63" t="str">
        <x:v>CATEGORICAL</x:v>
      </x:c>
      <x:c r="E618" s="63" t="str">
        <x:v>OBSERVED</x:v>
      </x:c>
      <x:c r="F618" s="65"/>
      <x:c r="G618" s="66"/>
      <x:c r="H618" s="67"/>
      <x:c r="I618" s="63" t="str">
        <x:v>India</x:v>
      </x:c>
      <x:c r="J618" s="63"/>
      <x:c r="K618" s="63" t="str">
        <x:v>country</x:v>
      </x:c>
      <x:c r="L618" s="63" t="str">
        <x:v>2025-06-01</x:v>
      </x:c>
      <x:c r="M618" s="63" t="str">
        <x:v>2026-06-30</x:v>
      </x:c>
      <x:c r="N618" s="63" t="str">
        <x:v>2026-06-30</x:v>
      </x:c>
      <x:c r="O618" s="63" t="str">
        <x:v>E0</x:v>
      </x:c>
      <x:c r="P618" s="63" t="str">
        <x:v>APPROVED</x:v>
      </x:c>
      <x:c r="Q618" s="64" t="b">
        <x:v>0</x:v>
      </x:c>
      <x:c r="R618" s="63" t="str">
        <x:v>GEOGRAPHIC_EXPOSURE</x:v>
      </x:c>
      <x:c r="S618" s="63" t="str">
        <x:v>Syn Bank transaction and relationship simulation</x:v>
      </x:c>
      <x:c r="T618" s="63"/>
      <x:c r="U618" s="63" t="str">
        <x:v>internal://syn-bank/simulation/ltm</x:v>
      </x:c>
      <x:c r="V618" s="63" t="str">
        <x:v>a1196f1cf32a507fb3788db5ecbad11d28b9781dc9d558f3df1b007865fb4f92</x:v>
      </x:c>
    </x:row>
    <x:row r="619">
      <x:c r="A619" s="63" t="str">
        <x:v>bec:E14:obs:corridor:2</x:v>
      </x:c>
      <x:c r="B619" s="63" t="str">
        <x:v>E14</x:v>
      </x:c>
      <x:c r="C619" s="63" t="str">
        <x:v>bank_observed_corridor_value</x:v>
      </x:c>
      <x:c r="D619" s="63" t="str">
        <x:v>MONEY</x:v>
      </x:c>
      <x:c r="E619" s="63" t="str">
        <x:v>OBSERVED</x:v>
      </x:c>
      <x:c r="F619" s="65" t="n">
        <x:v>612462309.4200003</x:v>
      </x:c>
      <x:c r="G619" s="66"/>
      <x:c r="H619" s="67"/>
      <x:c r="I619" s="63"/>
      <x:c r="J619" s="63" t="str">
        <x:v>ZAR</x:v>
      </x:c>
      <x:c r="K619" s="63" t="str">
        <x:v>ZAR</x:v>
      </x:c>
      <x:c r="L619" s="63" t="str">
        <x:v>2025-06-01</x:v>
      </x:c>
      <x:c r="M619" s="63" t="str">
        <x:v>2026-06-30</x:v>
      </x:c>
      <x:c r="N619" s="63" t="str">
        <x:v>2026-06-30</x:v>
      </x:c>
      <x:c r="O619" s="63" t="str">
        <x:v>E0</x:v>
      </x:c>
      <x:c r="P619" s="63" t="str">
        <x:v>APPROVED</x:v>
      </x:c>
      <x:c r="Q619" s="64" t="b">
        <x:v>0</x:v>
      </x:c>
      <x:c r="R619" s="63" t="str">
        <x:v>GEOGRAPHIC_EXPOSURE</x:v>
      </x:c>
      <x:c r="S619" s="63" t="str">
        <x:v>Syn Bank transaction and relationship simulation</x:v>
      </x:c>
      <x:c r="T619" s="63"/>
      <x:c r="U619" s="63" t="str">
        <x:v>internal://syn-bank/simulation/ltm</x:v>
      </x:c>
      <x:c r="V619" s="63" t="str">
        <x:v>31d4ed318a9b4e83f19d730aebec170f969b6cf8bb81f519607b7bea66dc383e</x:v>
      </x:c>
    </x:row>
    <x:row r="620">
      <x:c r="A620" s="63" t="str">
        <x:v>bec:E14:obs:corridor-name:2</x:v>
      </x:c>
      <x:c r="B620" s="63" t="str">
        <x:v>E14</x:v>
      </x:c>
      <x:c r="C620" s="63" t="str">
        <x:v>bank_observed_corridor_country</x:v>
      </x:c>
      <x:c r="D620" s="63" t="str">
        <x:v>CATEGORICAL</x:v>
      </x:c>
      <x:c r="E620" s="63" t="str">
        <x:v>OBSERVED</x:v>
      </x:c>
      <x:c r="F620" s="65"/>
      <x:c r="G620" s="66"/>
      <x:c r="H620" s="67"/>
      <x:c r="I620" s="63" t="str">
        <x:v>China</x:v>
      </x:c>
      <x:c r="J620" s="63"/>
      <x:c r="K620" s="63" t="str">
        <x:v>country</x:v>
      </x:c>
      <x:c r="L620" s="63" t="str">
        <x:v>2025-06-01</x:v>
      </x:c>
      <x:c r="M620" s="63" t="str">
        <x:v>2026-06-30</x:v>
      </x:c>
      <x:c r="N620" s="63" t="str">
        <x:v>2026-06-30</x:v>
      </x:c>
      <x:c r="O620" s="63" t="str">
        <x:v>E0</x:v>
      </x:c>
      <x:c r="P620" s="63" t="str">
        <x:v>APPROVED</x:v>
      </x:c>
      <x:c r="Q620" s="64" t="b">
        <x:v>0</x:v>
      </x:c>
      <x:c r="R620" s="63" t="str">
        <x:v>GEOGRAPHIC_EXPOSURE</x:v>
      </x:c>
      <x:c r="S620" s="63" t="str">
        <x:v>Syn Bank transaction and relationship simulation</x:v>
      </x:c>
      <x:c r="T620" s="63"/>
      <x:c r="U620" s="63" t="str">
        <x:v>internal://syn-bank/simulation/ltm</x:v>
      </x:c>
      <x:c r="V620" s="63" t="str">
        <x:v>310c053bfb333936e417669137e5ef750bb1cf605fe2799ad8cb66295c709d89</x:v>
      </x:c>
    </x:row>
    <x:row r="621">
      <x:c r="A621" s="63" t="str">
        <x:v>bec:E14:obs:currency:0</x:v>
      </x:c>
      <x:c r="B621" s="63" t="str">
        <x:v>E14</x:v>
      </x:c>
      <x:c r="C621" s="63" t="str">
        <x:v>bank_observed_currency_pair_value</x:v>
      </x:c>
      <x:c r="D621" s="63" t="str">
        <x:v>MONEY</x:v>
      </x:c>
      <x:c r="E621" s="63" t="str">
        <x:v>OBSERVED</x:v>
      </x:c>
      <x:c r="F621" s="65" t="n">
        <x:v>1247645146.4999998</x:v>
      </x:c>
      <x:c r="G621" s="66"/>
      <x:c r="H621" s="67"/>
      <x:c r="I621" s="63"/>
      <x:c r="J621" s="63" t="str">
        <x:v>ZAR</x:v>
      </x:c>
      <x:c r="K621" s="63" t="str">
        <x:v>ZAR</x:v>
      </x:c>
      <x:c r="L621" s="63" t="str">
        <x:v>2025-06-01</x:v>
      </x:c>
      <x:c r="M621" s="63" t="str">
        <x:v>2026-06-30</x:v>
      </x:c>
      <x:c r="N621" s="63" t="str">
        <x:v>2026-06-30</x:v>
      </x:c>
      <x:c r="O621" s="63" t="str">
        <x:v>E0</x:v>
      </x:c>
      <x:c r="P621" s="63" t="str">
        <x:v>APPROVED</x:v>
      </x:c>
      <x:c r="Q621" s="64" t="b">
        <x:v>1</x:v>
      </x:c>
      <x:c r="R621" s="63" t="str">
        <x:v>CURRENCY_AND_COMMODITY_EXPOSURE</x:v>
      </x:c>
      <x:c r="S621" s="63" t="str">
        <x:v>Syn Bank transaction and relationship simulation</x:v>
      </x:c>
      <x:c r="T621" s="63"/>
      <x:c r="U621" s="63" t="str">
        <x:v>internal://syn-bank/simulation/ltm</x:v>
      </x:c>
      <x:c r="V621" s="63" t="str">
        <x:v>93e050899b9b4ebd08fd800da2f149bd208a61da45b0febe8bbd4861ffd503c4</x:v>
      </x:c>
    </x:row>
    <x:row r="622">
      <x:c r="A622" s="63" t="str">
        <x:v>bec:E14:obs:currency-pair:0</x:v>
      </x:c>
      <x:c r="B622" s="63" t="str">
        <x:v>E14</x:v>
      </x:c>
      <x:c r="C622" s="63" t="str">
        <x:v>bank_observed_currency_pair</x:v>
      </x:c>
      <x:c r="D622" s="63" t="str">
        <x:v>CATEGORICAL</x:v>
      </x:c>
      <x:c r="E622" s="63" t="str">
        <x:v>OBSERVED</x:v>
      </x:c>
      <x:c r="F622" s="65"/>
      <x:c r="G622" s="66"/>
      <x:c r="H622" s="67"/>
      <x:c r="I622" s="63" t="str">
        <x:v>CNY/ZAR</x:v>
      </x:c>
      <x:c r="J622" s="63"/>
      <x:c r="K622" s="63" t="str">
        <x:v>currency_pair</x:v>
      </x:c>
      <x:c r="L622" s="63" t="str">
        <x:v>2025-06-01</x:v>
      </x:c>
      <x:c r="M622" s="63" t="str">
        <x:v>2026-06-30</x:v>
      </x:c>
      <x:c r="N622" s="63" t="str">
        <x:v>2026-06-30</x:v>
      </x:c>
      <x:c r="O622" s="63" t="str">
        <x:v>E0</x:v>
      </x:c>
      <x:c r="P622" s="63" t="str">
        <x:v>APPROVED</x:v>
      </x:c>
      <x:c r="Q622" s="64" t="b">
        <x:v>0</x:v>
      </x:c>
      <x:c r="R622" s="63" t="str">
        <x:v>CURRENCY_AND_COMMODITY_EXPOSURE</x:v>
      </x:c>
      <x:c r="S622" s="63" t="str">
        <x:v>Syn Bank transaction and relationship simulation</x:v>
      </x:c>
      <x:c r="T622" s="63"/>
      <x:c r="U622" s="63" t="str">
        <x:v>internal://syn-bank/simulation/ltm</x:v>
      </x:c>
      <x:c r="V622" s="63" t="str">
        <x:v>15843bfb942585a36c54de51524aafdbf94b3d05984883413f9b2e272290ea96</x:v>
      </x:c>
    </x:row>
    <x:row r="623">
      <x:c r="A623" s="63" t="str">
        <x:v>bec:E14:obs:currency:1</x:v>
      </x:c>
      <x:c r="B623" s="63" t="str">
        <x:v>E14</x:v>
      </x:c>
      <x:c r="C623" s="63" t="str">
        <x:v>bank_observed_currency_pair_value</x:v>
      </x:c>
      <x:c r="D623" s="63" t="str">
        <x:v>MONEY</x:v>
      </x:c>
      <x:c r="E623" s="63" t="str">
        <x:v>OBSERVED</x:v>
      </x:c>
      <x:c r="F623" s="65" t="n">
        <x:v>1215493350.57</x:v>
      </x:c>
      <x:c r="G623" s="66"/>
      <x:c r="H623" s="67"/>
      <x:c r="I623" s="63"/>
      <x:c r="J623" s="63" t="str">
        <x:v>ZAR</x:v>
      </x:c>
      <x:c r="K623" s="63" t="str">
        <x:v>ZAR</x:v>
      </x:c>
      <x:c r="L623" s="63" t="str">
        <x:v>2025-06-01</x:v>
      </x:c>
      <x:c r="M623" s="63" t="str">
        <x:v>2026-06-30</x:v>
      </x:c>
      <x:c r="N623" s="63" t="str">
        <x:v>2026-06-30</x:v>
      </x:c>
      <x:c r="O623" s="63" t="str">
        <x:v>E0</x:v>
      </x:c>
      <x:c r="P623" s="63" t="str">
        <x:v>APPROVED</x:v>
      </x:c>
      <x:c r="Q623" s="64" t="b">
        <x:v>0</x:v>
      </x:c>
      <x:c r="R623" s="63" t="str">
        <x:v>CURRENCY_AND_COMMODITY_EXPOSURE</x:v>
      </x:c>
      <x:c r="S623" s="63" t="str">
        <x:v>Syn Bank transaction and relationship simulation</x:v>
      </x:c>
      <x:c r="T623" s="63"/>
      <x:c r="U623" s="63" t="str">
        <x:v>internal://syn-bank/simulation/ltm</x:v>
      </x:c>
      <x:c r="V623" s="63" t="str">
        <x:v>18f139c3e07033339d01dcc6e2f3c7c7e3d7b135ed204ee43a9054c74573b3a3</x:v>
      </x:c>
    </x:row>
    <x:row r="624">
      <x:c r="A624" s="63" t="str">
        <x:v>bec:E14:obs:currency-pair:1</x:v>
      </x:c>
      <x:c r="B624" s="63" t="str">
        <x:v>E14</x:v>
      </x:c>
      <x:c r="C624" s="63" t="str">
        <x:v>bank_observed_currency_pair</x:v>
      </x:c>
      <x:c r="D624" s="63" t="str">
        <x:v>CATEGORICAL</x:v>
      </x:c>
      <x:c r="E624" s="63" t="str">
        <x:v>OBSERVED</x:v>
      </x:c>
      <x:c r="F624" s="65"/>
      <x:c r="G624" s="66"/>
      <x:c r="H624" s="67"/>
      <x:c r="I624" s="63" t="str">
        <x:v>EUR/ZAR</x:v>
      </x:c>
      <x:c r="J624" s="63"/>
      <x:c r="K624" s="63" t="str">
        <x:v>currency_pair</x:v>
      </x:c>
      <x:c r="L624" s="63" t="str">
        <x:v>2025-06-01</x:v>
      </x:c>
      <x:c r="M624" s="63" t="str">
        <x:v>2026-06-30</x:v>
      </x:c>
      <x:c r="N624" s="63" t="str">
        <x:v>2026-06-30</x:v>
      </x:c>
      <x:c r="O624" s="63" t="str">
        <x:v>E0</x:v>
      </x:c>
      <x:c r="P624" s="63" t="str">
        <x:v>APPROVED</x:v>
      </x:c>
      <x:c r="Q624" s="64" t="b">
        <x:v>0</x:v>
      </x:c>
      <x:c r="R624" s="63" t="str">
        <x:v>CURRENCY_AND_COMMODITY_EXPOSURE</x:v>
      </x:c>
      <x:c r="S624" s="63" t="str">
        <x:v>Syn Bank transaction and relationship simulation</x:v>
      </x:c>
      <x:c r="T624" s="63"/>
      <x:c r="U624" s="63" t="str">
        <x:v>internal://syn-bank/simulation/ltm</x:v>
      </x:c>
      <x:c r="V624" s="63" t="str">
        <x:v>3d08a7ca39aee16016bd5de6b2bae5f5eb5e6dcb494876bc92d98799c6da1342</x:v>
      </x:c>
    </x:row>
    <x:row r="625">
      <x:c r="A625" s="63" t="str">
        <x:v>bec:E14:obs:currency:2</x:v>
      </x:c>
      <x:c r="B625" s="63" t="str">
        <x:v>E14</x:v>
      </x:c>
      <x:c r="C625" s="63" t="str">
        <x:v>bank_observed_currency_pair_value</x:v>
      </x:c>
      <x:c r="D625" s="63" t="str">
        <x:v>MONEY</x:v>
      </x:c>
      <x:c r="E625" s="63" t="str">
        <x:v>OBSERVED</x:v>
      </x:c>
      <x:c r="F625" s="65" t="n">
        <x:v>1197789535.889998</x:v>
      </x:c>
      <x:c r="G625" s="66"/>
      <x:c r="H625" s="67"/>
      <x:c r="I625" s="63"/>
      <x:c r="J625" s="63" t="str">
        <x:v>ZAR</x:v>
      </x:c>
      <x:c r="K625" s="63" t="str">
        <x:v>ZAR</x:v>
      </x:c>
      <x:c r="L625" s="63" t="str">
        <x:v>2025-06-01</x:v>
      </x:c>
      <x:c r="M625" s="63" t="str">
        <x:v>2026-06-30</x:v>
      </x:c>
      <x:c r="N625" s="63" t="str">
        <x:v>2026-06-30</x:v>
      </x:c>
      <x:c r="O625" s="63" t="str">
        <x:v>E0</x:v>
      </x:c>
      <x:c r="P625" s="63" t="str">
        <x:v>APPROVED</x:v>
      </x:c>
      <x:c r="Q625" s="64" t="b">
        <x:v>0</x:v>
      </x:c>
      <x:c r="R625" s="63" t="str">
        <x:v>CURRENCY_AND_COMMODITY_EXPOSURE</x:v>
      </x:c>
      <x:c r="S625" s="63" t="str">
        <x:v>Syn Bank transaction and relationship simulation</x:v>
      </x:c>
      <x:c r="T625" s="63"/>
      <x:c r="U625" s="63" t="str">
        <x:v>internal://syn-bank/simulation/ltm</x:v>
      </x:c>
      <x:c r="V625" s="63" t="str">
        <x:v>fb25ba0363fa60b162cb48f8c2460c3816ef8545ceafcb36dbcf7611f9015702</x:v>
      </x:c>
    </x:row>
    <x:row r="626">
      <x:c r="A626" s="63" t="str">
        <x:v>bec:E14:obs:currency-pair:2</x:v>
      </x:c>
      <x:c r="B626" s="63" t="str">
        <x:v>E14</x:v>
      </x:c>
      <x:c r="C626" s="63" t="str">
        <x:v>bank_observed_currency_pair</x:v>
      </x:c>
      <x:c r="D626" s="63" t="str">
        <x:v>CATEGORICAL</x:v>
      </x:c>
      <x:c r="E626" s="63" t="str">
        <x:v>OBSERVED</x:v>
      </x:c>
      <x:c r="F626" s="65"/>
      <x:c r="G626" s="66"/>
      <x:c r="H626" s="67"/>
      <x:c r="I626" s="63" t="str">
        <x:v>GBP/ZAR</x:v>
      </x:c>
      <x:c r="J626" s="63"/>
      <x:c r="K626" s="63" t="str">
        <x:v>currency_pair</x:v>
      </x:c>
      <x:c r="L626" s="63" t="str">
        <x:v>2025-06-01</x:v>
      </x:c>
      <x:c r="M626" s="63" t="str">
        <x:v>2026-06-30</x:v>
      </x:c>
      <x:c r="N626" s="63" t="str">
        <x:v>2026-06-30</x:v>
      </x:c>
      <x:c r="O626" s="63" t="str">
        <x:v>E0</x:v>
      </x:c>
      <x:c r="P626" s="63" t="str">
        <x:v>APPROVED</x:v>
      </x:c>
      <x:c r="Q626" s="64" t="b">
        <x:v>0</x:v>
      </x:c>
      <x:c r="R626" s="63" t="str">
        <x:v>CURRENCY_AND_COMMODITY_EXPOSURE</x:v>
      </x:c>
      <x:c r="S626" s="63" t="str">
        <x:v>Syn Bank transaction and relationship simulation</x:v>
      </x:c>
      <x:c r="T626" s="63"/>
      <x:c r="U626" s="63" t="str">
        <x:v>internal://syn-bank/simulation/ltm</x:v>
      </x:c>
      <x:c r="V626" s="63" t="str">
        <x:v>a18c8dbfb99b5cf8926ac427e143eb662788d3f442d2d46fdae963e9fd679977</x:v>
      </x:c>
    </x:row>
    <x:row r="627">
      <x:c r="A627" s="63" t="str">
        <x:v>bec:E14:obs:country-count</x:v>
      </x:c>
      <x:c r="B627" s="63" t="str">
        <x:v>E14</x:v>
      </x:c>
      <x:c r="C627" s="63" t="str">
        <x:v>bank_observed_active_country_count</x:v>
      </x:c>
      <x:c r="D627" s="63" t="str">
        <x:v>COUNT</x:v>
      </x:c>
      <x:c r="E627" s="63" t="str">
        <x:v>OBSERVED</x:v>
      </x:c>
      <x:c r="F627" s="65"/>
      <x:c r="G627" s="66"/>
      <x:c r="H627" s="67" t="n">
        <x:v>10</x:v>
      </x:c>
      <x:c r="I627" s="63"/>
      <x:c r="J627" s="63"/>
      <x:c r="K627" s="63" t="str">
        <x:v>countries</x:v>
      </x:c>
      <x:c r="L627" s="63" t="str">
        <x:v>2025-06-01</x:v>
      </x:c>
      <x:c r="M627" s="63" t="str">
        <x:v>2026-06-30</x:v>
      </x:c>
      <x:c r="N627" s="63" t="str">
        <x:v>2026-06-30</x:v>
      </x:c>
      <x:c r="O627" s="63" t="str">
        <x:v>E0</x:v>
      </x:c>
      <x:c r="P627" s="63" t="str">
        <x:v>APPROVED</x:v>
      </x:c>
      <x:c r="Q627" s="64" t="b">
        <x:v>1</x:v>
      </x:c>
      <x:c r="R627" s="63" t="str">
        <x:v>GEOGRAPHIC_EXPOSURE</x:v>
      </x:c>
      <x:c r="S627" s="63" t="str">
        <x:v>Syn Bank transaction and relationship simulation</x:v>
      </x:c>
      <x:c r="T627" s="63"/>
      <x:c r="U627" s="63" t="str">
        <x:v>internal://syn-bank/simulation/ltm</x:v>
      </x:c>
      <x:c r="V627" s="63" t="str">
        <x:v>ac9e019b0a81b48285ae599a711fe24d28b76aded8bd3943365f75f700247556</x:v>
      </x:c>
    </x:row>
    <x:row r="628">
      <x:c r="A628" s="63" t="str">
        <x:v>bec:E14:obs:relationship-breadth</x:v>
      </x:c>
      <x:c r="B628" s="63" t="str">
        <x:v>E14</x:v>
      </x:c>
      <x:c r="C628" s="63" t="str">
        <x:v>bank_observed_product_relationship_breadth</x:v>
      </x:c>
      <x:c r="D628" s="63" t="str">
        <x:v>COUNT</x:v>
      </x:c>
      <x:c r="E628" s="63" t="str">
        <x:v>OBSERVED</x:v>
      </x:c>
      <x:c r="F628" s="65"/>
      <x:c r="G628" s="66"/>
      <x:c r="H628" s="67" t="n">
        <x:v>5</x:v>
      </x:c>
      <x:c r="I628" s="63"/>
      <x:c r="J628" s="63"/>
      <x:c r="K628" s="63" t="str">
        <x:v>products</x:v>
      </x:c>
      <x:c r="L628" s="63" t="str">
        <x:v>2025-06-01</x:v>
      </x:c>
      <x:c r="M628" s="63" t="str">
        <x:v>2026-06-30</x:v>
      </x:c>
      <x:c r="N628" s="63" t="str">
        <x:v>2026-06-30</x:v>
      </x:c>
      <x:c r="O628" s="63" t="str">
        <x:v>E0</x:v>
      </x:c>
      <x:c r="P628" s="63" t="str">
        <x:v>APPROVED</x:v>
      </x:c>
      <x:c r="Q628" s="64" t="b">
        <x:v>1</x:v>
      </x:c>
      <x:c r="R628" s="63" t="str">
        <x:v>OPERATING_MODEL</x:v>
      </x:c>
      <x:c r="S628" s="63" t="str">
        <x:v>Syn Bank transaction and relationship simulation</x:v>
      </x:c>
      <x:c r="T628" s="63"/>
      <x:c r="U628" s="63" t="str">
        <x:v>internal://syn-bank/simulation/ltm</x:v>
      </x:c>
      <x:c r="V628" s="63" t="str">
        <x:v>469a5de1cfdc1e8a127ba44922027e26b4646e22db4fc510a4a32a6d6281fe08</x:v>
      </x:c>
    </x:row>
    <x:row r="629">
      <x:c r="A629" s="63" t="str">
        <x:v>bec:E14:obs:latent:operating_scale</x:v>
      </x:c>
      <x:c r="B629" s="63" t="str">
        <x:v>E14</x:v>
      </x:c>
      <x:c r="C629" s="63" t="str">
        <x:v>bank_observed_operating_scale_index</x:v>
      </x:c>
      <x:c r="D629" s="63" t="str">
        <x:v>RATIO</x:v>
      </x:c>
      <x:c r="E629" s="63" t="str">
        <x:v>OBSERVED</x:v>
      </x:c>
      <x:c r="F629" s="65"/>
      <x:c r="G629" s="66" t="n">
        <x:v>0.5</x:v>
      </x:c>
      <x:c r="H629" s="67"/>
      <x:c r="I629" s="63"/>
      <x:c r="J629" s="63"/>
      <x:c r="K629" s="63" t="str">
        <x:v>index_0_1</x:v>
      </x:c>
      <x:c r="L629" s="63" t="str">
        <x:v>2025-06-01</x:v>
      </x:c>
      <x:c r="M629" s="63" t="str">
        <x:v>2026-06-30</x:v>
      </x:c>
      <x:c r="N629" s="63" t="str">
        <x:v>2026-06-30</x:v>
      </x:c>
      <x:c r="O629" s="63" t="str">
        <x:v>E0</x:v>
      </x:c>
      <x:c r="P629" s="63" t="str">
        <x:v>APPROVED</x:v>
      </x:c>
      <x:c r="Q629" s="64" t="b">
        <x:v>0</x:v>
      </x:c>
      <x:c r="R629" s="63" t="str">
        <x:v>OPERATING_MODEL</x:v>
      </x:c>
      <x:c r="S629" s="63" t="str">
        <x:v>Syn Bank transaction and relationship simulation</x:v>
      </x:c>
      <x:c r="T629" s="63"/>
      <x:c r="U629" s="63" t="str">
        <x:v>internal://syn-bank/simulation/ltm</x:v>
      </x:c>
      <x:c r="V629" s="63" t="str">
        <x:v>490b308658e0d92d9c845e4a78c6d57e497099ae1c53f54579d6481e3a788476</x:v>
      </x:c>
    </x:row>
    <x:row r="630">
      <x:c r="A630" s="63" t="str">
        <x:v>bec:E14:obs:latent:working_capital_intensity</x:v>
      </x:c>
      <x:c r="B630" s="63" t="str">
        <x:v>E14</x:v>
      </x:c>
      <x:c r="C630" s="63" t="str">
        <x:v>bank_observed_working_capital_intensity_index</x:v>
      </x:c>
      <x:c r="D630" s="63" t="str">
        <x:v>RATIO</x:v>
      </x:c>
      <x:c r="E630" s="63" t="str">
        <x:v>OBSERVED</x:v>
      </x:c>
      <x:c r="F630" s="65"/>
      <x:c r="G630" s="66" t="n">
        <x:v>0.485</x:v>
      </x:c>
      <x:c r="H630" s="67"/>
      <x:c r="I630" s="63"/>
      <x:c r="J630" s="63"/>
      <x:c r="K630" s="63" t="str">
        <x:v>index_0_1</x:v>
      </x:c>
      <x:c r="L630" s="63" t="str">
        <x:v>2025-06-01</x:v>
      </x:c>
      <x:c r="M630" s="63" t="str">
        <x:v>2026-06-30</x:v>
      </x:c>
      <x:c r="N630" s="63" t="str">
        <x:v>2026-06-30</x:v>
      </x:c>
      <x:c r="O630" s="63" t="str">
        <x:v>E0</x:v>
      </x:c>
      <x:c r="P630" s="63" t="str">
        <x:v>APPROVED</x:v>
      </x:c>
      <x:c r="Q630" s="64" t="b">
        <x:v>0</x:v>
      </x:c>
      <x:c r="R630" s="63" t="str">
        <x:v>WORKING_CAPITAL_CYCLE</x:v>
      </x:c>
      <x:c r="S630" s="63" t="str">
        <x:v>Syn Bank transaction and relationship simulation</x:v>
      </x:c>
      <x:c r="T630" s="63"/>
      <x:c r="U630" s="63" t="str">
        <x:v>internal://syn-bank/simulation/ltm</x:v>
      </x:c>
      <x:c r="V630" s="63" t="str">
        <x:v>67cb88a07aa4016e1655d5887daed3713a8edd7916264fd67b4ab89c684adb30</x:v>
      </x:c>
    </x:row>
    <x:row r="631">
      <x:c r="A631" s="63" t="str">
        <x:v>bec:E14:obs:latent:liquidity_volatility</x:v>
      </x:c>
      <x:c r="B631" s="63" t="str">
        <x:v>E14</x:v>
      </x:c>
      <x:c r="C631" s="63" t="str">
        <x:v>bank_observed_liquidity_volatility_index</x:v>
      </x:c>
      <x:c r="D631" s="63" t="str">
        <x:v>RATIO</x:v>
      </x:c>
      <x:c r="E631" s="63" t="str">
        <x:v>OBSERVED</x:v>
      </x:c>
      <x:c r="F631" s="65"/>
      <x:c r="G631" s="66" t="n">
        <x:v>0.085</x:v>
      </x:c>
      <x:c r="H631" s="67"/>
      <x:c r="I631" s="63"/>
      <x:c r="J631" s="63"/>
      <x:c r="K631" s="63" t="str">
        <x:v>index_0_1</x:v>
      </x:c>
      <x:c r="L631" s="63" t="str">
        <x:v>2025-06-01</x:v>
      </x:c>
      <x:c r="M631" s="63" t="str">
        <x:v>2026-06-30</x:v>
      </x:c>
      <x:c r="N631" s="63" t="str">
        <x:v>2026-06-30</x:v>
      </x:c>
      <x:c r="O631" s="63" t="str">
        <x:v>E0</x:v>
      </x:c>
      <x:c r="P631" s="63" t="str">
        <x:v>APPROVED</x:v>
      </x:c>
      <x:c r="Q631" s="64" t="b">
        <x:v>0</x:v>
      </x:c>
      <x:c r="R631" s="63" t="str">
        <x:v>LIQUIDITY_AND_BUFFER</x:v>
      </x:c>
      <x:c r="S631" s="63" t="str">
        <x:v>Syn Bank transaction and relationship simulation</x:v>
      </x:c>
      <x:c r="T631" s="63"/>
      <x:c r="U631" s="63" t="str">
        <x:v>internal://syn-bank/simulation/ltm</x:v>
      </x:c>
      <x:c r="V631" s="63" t="str">
        <x:v>2b96234144c3d53a5d94cfbcd35cc806dd6838942f5c2214559ae3c34beb77bb</x:v>
      </x:c>
    </x:row>
    <x:row r="632">
      <x:c r="A632" s="63" t="str">
        <x:v>bec:E14:obs:latent:international_exposure</x:v>
      </x:c>
      <x:c r="B632" s="63" t="str">
        <x:v>E14</x:v>
      </x:c>
      <x:c r="C632" s="63" t="str">
        <x:v>bank_observed_international_exposure_index</x:v>
      </x:c>
      <x:c r="D632" s="63" t="str">
        <x:v>RATIO</x:v>
      </x:c>
      <x:c r="E632" s="63" t="str">
        <x:v>OBSERVED</x:v>
      </x:c>
      <x:c r="F632" s="65"/>
      <x:c r="G632" s="66" t="n">
        <x:v>0.515</x:v>
      </x:c>
      <x:c r="H632" s="67"/>
      <x:c r="I632" s="63"/>
      <x:c r="J632" s="63"/>
      <x:c r="K632" s="63" t="str">
        <x:v>index_0_1</x:v>
      </x:c>
      <x:c r="L632" s="63" t="str">
        <x:v>2025-06-01</x:v>
      </x:c>
      <x:c r="M632" s="63" t="str">
        <x:v>2026-06-30</x:v>
      </x:c>
      <x:c r="N632" s="63" t="str">
        <x:v>2026-06-30</x:v>
      </x:c>
      <x:c r="O632" s="63" t="str">
        <x:v>E0</x:v>
      </x:c>
      <x:c r="P632" s="63" t="str">
        <x:v>APPROVED</x:v>
      </x:c>
      <x:c r="Q632" s="64" t="b">
        <x:v>0</x:v>
      </x:c>
      <x:c r="R632" s="63" t="str">
        <x:v>GEOGRAPHIC_EXPOSURE</x:v>
      </x:c>
      <x:c r="S632" s="63" t="str">
        <x:v>Syn Bank transaction and relationship simulation</x:v>
      </x:c>
      <x:c r="T632" s="63"/>
      <x:c r="U632" s="63" t="str">
        <x:v>internal://syn-bank/simulation/ltm</x:v>
      </x:c>
      <x:c r="V632" s="63" t="str">
        <x:v>8f888a5fd6e3dee95ff3a1f955bdf5bd654baaed9095c66391881dd953fcfd15</x:v>
      </x:c>
    </x:row>
    <x:row r="633">
      <x:c r="A633" s="63" t="str">
        <x:v>bec:E14:obs:latent:financing_need</x:v>
      </x:c>
      <x:c r="B633" s="63" t="str">
        <x:v>E14</x:v>
      </x:c>
      <x:c r="C633" s="63" t="str">
        <x:v>bank_observed_financing_need_index</x:v>
      </x:c>
      <x:c r="D633" s="63" t="str">
        <x:v>RATIO</x:v>
      </x:c>
      <x:c r="E633" s="63" t="str">
        <x:v>OBSERVED</x:v>
      </x:c>
      <x:c r="F633" s="65"/>
      <x:c r="G633" s="66" t="n">
        <x:v>0.029</x:v>
      </x:c>
      <x:c r="H633" s="67"/>
      <x:c r="I633" s="63"/>
      <x:c r="J633" s="63"/>
      <x:c r="K633" s="63" t="str">
        <x:v>index_0_1</x:v>
      </x:c>
      <x:c r="L633" s="63" t="str">
        <x:v>2025-06-01</x:v>
      </x:c>
      <x:c r="M633" s="63" t="str">
        <x:v>2026-06-30</x:v>
      </x:c>
      <x:c r="N633" s="63" t="str">
        <x:v>2026-06-30</x:v>
      </x:c>
      <x:c r="O633" s="63" t="str">
        <x:v>E0</x:v>
      </x:c>
      <x:c r="P633" s="63" t="str">
        <x:v>APPROVED</x:v>
      </x:c>
      <x:c r="Q633" s="64" t="b">
        <x:v>0</x:v>
      </x:c>
      <x:c r="R633" s="63" t="str">
        <x:v>FUNDING_STRUCTURE</x:v>
      </x:c>
      <x:c r="S633" s="63" t="str">
        <x:v>Syn Bank transaction and relationship simulation</x:v>
      </x:c>
      <x:c r="T633" s="63"/>
      <x:c r="U633" s="63" t="str">
        <x:v>internal://syn-bank/simulation/ltm</x:v>
      </x:c>
      <x:c r="V633" s="63" t="str">
        <x:v>39c8283cf9b7a9223092d6c1ebde8d40ced3426f7bd96221623c173e776de1bb</x:v>
      </x:c>
    </x:row>
    <x:row r="634">
      <x:c r="A634" s="63" t="str">
        <x:v>bec:E14:obs:latent:event_intensity</x:v>
      </x:c>
      <x:c r="B634" s="63" t="str">
        <x:v>E14</x:v>
      </x:c>
      <x:c r="C634" s="63" t="str">
        <x:v>bank_observed_event_intensity_index</x:v>
      </x:c>
      <x:c r="D634" s="63" t="str">
        <x:v>RATIO</x:v>
      </x:c>
      <x:c r="E634" s="63" t="str">
        <x:v>OBSERVED</x:v>
      </x:c>
      <x:c r="F634" s="65"/>
      <x:c r="G634" s="66" t="n">
        <x:v>0.237</x:v>
      </x:c>
      <x:c r="H634" s="67"/>
      <x:c r="I634" s="63"/>
      <x:c r="J634" s="63"/>
      <x:c r="K634" s="63" t="str">
        <x:v>index_0_1</x:v>
      </x:c>
      <x:c r="L634" s="63" t="str">
        <x:v>2025-06-01</x:v>
      </x:c>
      <x:c r="M634" s="63" t="str">
        <x:v>2026-06-30</x:v>
      </x:c>
      <x:c r="N634" s="63" t="str">
        <x:v>2026-06-30</x:v>
      </x:c>
      <x:c r="O634" s="63" t="str">
        <x:v>E0</x:v>
      </x:c>
      <x:c r="P634" s="63" t="str">
        <x:v>APPROVED</x:v>
      </x:c>
      <x:c r="Q634" s="64" t="b">
        <x:v>0</x:v>
      </x:c>
      <x:c r="R634" s="63" t="str">
        <x:v>STRATEGY_ACTIONS_AND_ESG</x:v>
      </x:c>
      <x:c r="S634" s="63" t="str">
        <x:v>Syn Bank transaction and relationship simulation</x:v>
      </x:c>
      <x:c r="T634" s="63"/>
      <x:c r="U634" s="63" t="str">
        <x:v>internal://syn-bank/simulation/ltm</x:v>
      </x:c>
      <x:c r="V634" s="63" t="str">
        <x:v>7d010104824d3617305fb081ae2ca97fe917043d23d199a121552fed8eae3b48</x:v>
      </x:c>
    </x:row>
    <x:row r="635">
      <x:c r="A635" s="63" t="str">
        <x:v>bec:E14:obs:latent:relationship_complexity</x:v>
      </x:c>
      <x:c r="B635" s="63" t="str">
        <x:v>E14</x:v>
      </x:c>
      <x:c r="C635" s="63" t="str">
        <x:v>bank_observed_relationship_complexity_index</x:v>
      </x:c>
      <x:c r="D635" s="63" t="str">
        <x:v>RATIO</x:v>
      </x:c>
      <x:c r="E635" s="63" t="str">
        <x:v>OBSERVED</x:v>
      </x:c>
      <x:c r="F635" s="65"/>
      <x:c r="G635" s="66" t="n">
        <x:v>0.942</x:v>
      </x:c>
      <x:c r="H635" s="67"/>
      <x:c r="I635" s="63"/>
      <x:c r="J635" s="63"/>
      <x:c r="K635" s="63" t="str">
        <x:v>index_0_1</x:v>
      </x:c>
      <x:c r="L635" s="63" t="str">
        <x:v>2025-06-01</x:v>
      </x:c>
      <x:c r="M635" s="63" t="str">
        <x:v>2026-06-30</x:v>
      </x:c>
      <x:c r="N635" s="63" t="str">
        <x:v>2026-06-30</x:v>
      </x:c>
      <x:c r="O635" s="63" t="str">
        <x:v>E0</x:v>
      </x:c>
      <x:c r="P635" s="63" t="str">
        <x:v>APPROVED</x:v>
      </x:c>
      <x:c r="Q635" s="64" t="b">
        <x:v>0</x:v>
      </x:c>
      <x:c r="R635" s="63" t="str">
        <x:v>OPERATING_MODEL</x:v>
      </x:c>
      <x:c r="S635" s="63" t="str">
        <x:v>Syn Bank transaction and relationship simulation</x:v>
      </x:c>
      <x:c r="T635" s="63"/>
      <x:c r="U635" s="63" t="str">
        <x:v>internal://syn-bank/simulation/ltm</x:v>
      </x:c>
      <x:c r="V635" s="63" t="str">
        <x:v>0b80d24da4011479c313dca6d828b808f4ff6f8ec0af9f1b935ecbdb9c61dca1</x:v>
      </x:c>
    </x:row>
    <x:row r="636">
      <x:c r="A636" s="63" t="str">
        <x:v>bec:E14:obs:events:trade-90d</x:v>
      </x:c>
      <x:c r="B636" s="63" t="str">
        <x:v>E14</x:v>
      </x:c>
      <x:c r="C636" s="63" t="str">
        <x:v>bank_observed_trade_events_next_90d</x:v>
      </x:c>
      <x:c r="D636" s="63" t="str">
        <x:v>COUNT</x:v>
      </x:c>
      <x:c r="E636" s="63" t="str">
        <x:v>OBSERVED</x:v>
      </x:c>
      <x:c r="F636" s="65"/>
      <x:c r="G636" s="66"/>
      <x:c r="H636" s="67" t="n">
        <x:v>1</x:v>
      </x:c>
      <x:c r="I636" s="63"/>
      <x:c r="J636" s="63"/>
      <x:c r="K636" s="63" t="str">
        <x:v>events</x:v>
      </x:c>
      <x:c r="L636" s="63" t="str">
        <x:v>2025-06-01</x:v>
      </x:c>
      <x:c r="M636" s="63" t="str">
        <x:v>2026-06-30</x:v>
      </x:c>
      <x:c r="N636" s="63" t="str">
        <x:v>2026-06-30</x:v>
      </x:c>
      <x:c r="O636" s="63" t="str">
        <x:v>E0</x:v>
      </x:c>
      <x:c r="P636" s="63" t="str">
        <x:v>APPROVED</x:v>
      </x:c>
      <x:c r="Q636" s="64" t="b">
        <x:v>1</x:v>
      </x:c>
      <x:c r="R636" s="63" t="str">
        <x:v>OPERATING_MODEL, WORKING_CAPITAL_CYCLE</x:v>
      </x:c>
      <x:c r="S636" s="63" t="str">
        <x:v>Syn Bank transaction and relationship simulation</x:v>
      </x:c>
      <x:c r="T636" s="63"/>
      <x:c r="U636" s="63" t="str">
        <x:v>internal://syn-bank/simulation/ltm</x:v>
      </x:c>
      <x:c r="V636" s="63" t="str">
        <x:v>8485b30ff0bbf43d4b1158d4a5a690326e56f3bb7a00529ac619db7aa65ac3ba</x:v>
      </x:c>
    </x:row>
    <x:row r="637">
      <x:c r="A637" s="63" t="str">
        <x:v>bec:E14:obs:events:trade-90d-value</x:v>
      </x:c>
      <x:c r="B637" s="63" t="str">
        <x:v>E14</x:v>
      </x:c>
      <x:c r="C637" s="63" t="str">
        <x:v>bank_observed_trade_events_value_next_90d</x:v>
      </x:c>
      <x:c r="D637" s="63" t="str">
        <x:v>MONEY</x:v>
      </x:c>
      <x:c r="E637" s="63" t="str">
        <x:v>OBSERVED</x:v>
      </x:c>
      <x:c r="F637" s="65" t="n">
        <x:v>4434278.79</x:v>
      </x:c>
      <x:c r="G637" s="66"/>
      <x:c r="H637" s="67"/>
      <x:c r="I637" s="63"/>
      <x:c r="J637" s="63" t="str">
        <x:v>ZAR</x:v>
      </x:c>
      <x:c r="K637" s="63" t="str">
        <x:v>ZAR</x:v>
      </x:c>
      <x:c r="L637" s="63" t="str">
        <x:v>2025-06-01</x:v>
      </x:c>
      <x:c r="M637" s="63" t="str">
        <x:v>2026-06-30</x:v>
      </x:c>
      <x:c r="N637" s="63" t="str">
        <x:v>2026-06-30</x:v>
      </x:c>
      <x:c r="O637" s="63" t="str">
        <x:v>E0</x:v>
      </x:c>
      <x:c r="P637" s="63" t="str">
        <x:v>APPROVED</x:v>
      </x:c>
      <x:c r="Q637" s="64" t="b">
        <x:v>0</x:v>
      </x:c>
      <x:c r="R637" s="63" t="str">
        <x:v>WORKING_CAPITAL_CYCLE</x:v>
      </x:c>
      <x:c r="S637" s="63" t="str">
        <x:v>Syn Bank transaction and relationship simulation</x:v>
      </x:c>
      <x:c r="T637" s="63"/>
      <x:c r="U637" s="63" t="str">
        <x:v>internal://syn-bank/simulation/ltm</x:v>
      </x:c>
      <x:c r="V637" s="63" t="str">
        <x:v>b88c69889f438094a9b369263f16840c2de1ea397f31699173e931bff394c2fd</x:v>
      </x:c>
    </x:row>
    <x:row r="638">
      <x:c r="A638" s="63" t="str">
        <x:v>bec:E14:struct:operating-model</x:v>
      </x:c>
      <x:c r="B638" s="63" t="str">
        <x:v>E14</x:v>
      </x:c>
      <x:c r="C638" s="63" t="str">
        <x:v>sector_operating_model</x:v>
      </x:c>
      <x:c r="D638" s="63" t="str">
        <x:v>TEXTUAL</x:v>
      </x:c>
      <x:c r="E638" s="63" t="str">
        <x:v>SCENARIO</x:v>
      </x:c>
      <x:c r="F638" s="65"/>
      <x:c r="G638" s="66"/>
      <x:c r="H638" s="67"/>
      <x:c r="I638" s="63" t="str">
        <x:v>Platform/holding operator with international investment holdings and treasury-managed portfolio cash.</x:v>
      </x:c>
      <x:c r="J638" s="63"/>
      <x:c r="K638" s="63" t="str">
        <x:v>statement</x:v>
      </x:c>
      <x:c r="L638" s="63" t="str">
        <x:v>2025-06-01</x:v>
      </x:c>
      <x:c r="M638" s="63" t="str">
        <x:v>2026-06-30</x:v>
      </x:c>
      <x:c r="N638" s="63" t="str">
        <x:v>2026-06-30</x:v>
      </x:c>
      <x:c r="O638" s="63" t="str">
        <x:v>E0</x:v>
      </x:c>
      <x:c r="P638" s="63" t="str">
        <x:v>APPROVED</x:v>
      </x:c>
      <x:c r="Q638" s="64" t="b">
        <x:v>0</x:v>
      </x:c>
      <x:c r="R638" s="63" t="str">
        <x:v>OPERATING_MODEL</x:v>
      </x:c>
      <x:c r="S638" s="63" t="str">
        <x:v>Governed sector operating-model and responsibility policy</x:v>
      </x:c>
      <x:c r="T638" s="63"/>
      <x:c r="U638" s="63" t="str">
        <x:v>internal://v31/governed-policy</x:v>
      </x:c>
      <x:c r="V638" s="63" t="str">
        <x:v>587ea979c337ecb809834db99bd64321aa661f0ad4a0c70847f7b78ac64bf667</x:v>
      </x:c>
    </x:row>
    <x:row r="639">
      <x:c r="A639" s="63" t="str">
        <x:v>bec:E14:struct:risk:0</x:v>
      </x:c>
      <x:c r="B639" s="63" t="str">
        <x:v>E14</x:v>
      </x:c>
      <x:c r="C639" s="63" t="str">
        <x:v>sector_primary_risk</x:v>
      </x:c>
      <x:c r="D639" s="63" t="str">
        <x:v>CATEGORICAL</x:v>
      </x:c>
      <x:c r="E639" s="63" t="str">
        <x:v>SCENARIO</x:v>
      </x:c>
      <x:c r="F639" s="65"/>
      <x:c r="G639" s="66"/>
      <x:c r="H639" s="67"/>
      <x:c r="I639" s="63" t="str">
        <x:v>portfolio valuation volatility</x:v>
      </x:c>
      <x:c r="J639" s="63"/>
      <x:c r="K639" s="63" t="str">
        <x:v>statement</x:v>
      </x:c>
      <x:c r="L639" s="63" t="str">
        <x:v>2025-06-01</x:v>
      </x:c>
      <x:c r="M639" s="63" t="str">
        <x:v>2026-06-30</x:v>
      </x:c>
      <x:c r="N639" s="63" t="str">
        <x:v>2026-06-30</x:v>
      </x:c>
      <x:c r="O639" s="63" t="str">
        <x:v>E0</x:v>
      </x:c>
      <x:c r="P639" s="63" t="str">
        <x:v>APPROVED</x:v>
      </x:c>
      <x:c r="Q639" s="64" t="b">
        <x:v>0</x:v>
      </x:c>
      <x:c r="R639" s="63" t="str">
        <x:v>BUSINESS_AND_FINANCIAL_RISKS</x:v>
      </x:c>
      <x:c r="S639" s="63" t="str">
        <x:v>Governed sector operating-model and responsibility policy</x:v>
      </x:c>
      <x:c r="T639" s="63"/>
      <x:c r="U639" s="63" t="str">
        <x:v>internal://v31/governed-policy</x:v>
      </x:c>
      <x:c r="V639" s="63" t="str">
        <x:v>0de95caf6bf7af83ddec83577d8a475dd7dd13c0619b0c9ab5a9629faca1de9d</x:v>
      </x:c>
    </x:row>
    <x:row r="640">
      <x:c r="A640" s="63" t="str">
        <x:v>bec:E14:struct:risk:1</x:v>
      </x:c>
      <x:c r="B640" s="63" t="str">
        <x:v>E14</x:v>
      </x:c>
      <x:c r="C640" s="63" t="str">
        <x:v>sector_primary_risk</x:v>
      </x:c>
      <x:c r="D640" s="63" t="str">
        <x:v>CATEGORICAL</x:v>
      </x:c>
      <x:c r="E640" s="63" t="str">
        <x:v>SCENARIO</x:v>
      </x:c>
      <x:c r="F640" s="65"/>
      <x:c r="G640" s="66"/>
      <x:c r="H640" s="67"/>
      <x:c r="I640" s="63" t="str">
        <x:v>cross-border capital mobility</x:v>
      </x:c>
      <x:c r="J640" s="63"/>
      <x:c r="K640" s="63" t="str">
        <x:v>statement</x:v>
      </x:c>
      <x:c r="L640" s="63" t="str">
        <x:v>2025-06-01</x:v>
      </x:c>
      <x:c r="M640" s="63" t="str">
        <x:v>2026-06-30</x:v>
      </x:c>
      <x:c r="N640" s="63" t="str">
        <x:v>2026-06-30</x:v>
      </x:c>
      <x:c r="O640" s="63" t="str">
        <x:v>E0</x:v>
      </x:c>
      <x:c r="P640" s="63" t="str">
        <x:v>APPROVED</x:v>
      </x:c>
      <x:c r="Q640" s="64" t="b">
        <x:v>0</x:v>
      </x:c>
      <x:c r="R640" s="63" t="str">
        <x:v>BUSINESS_AND_FINANCIAL_RISKS</x:v>
      </x:c>
      <x:c r="S640" s="63" t="str">
        <x:v>Governed sector operating-model and responsibility policy</x:v>
      </x:c>
      <x:c r="T640" s="63"/>
      <x:c r="U640" s="63" t="str">
        <x:v>internal://v31/governed-policy</x:v>
      </x:c>
      <x:c r="V640" s="63" t="str">
        <x:v>b16cc5c807f2789ee02f6171e24c04ca06ca0e1e230942ddc42aaa68cc8bf398</x:v>
      </x:c>
    </x:row>
    <x:row r="641">
      <x:c r="A641" s="63" t="str">
        <x:v>bec:E14:struct:risk:2</x:v>
      </x:c>
      <x:c r="B641" s="63" t="str">
        <x:v>E14</x:v>
      </x:c>
      <x:c r="C641" s="63" t="str">
        <x:v>sector_primary_risk</x:v>
      </x:c>
      <x:c r="D641" s="63" t="str">
        <x:v>CATEGORICAL</x:v>
      </x:c>
      <x:c r="E641" s="63" t="str">
        <x:v>SCENARIO</x:v>
      </x:c>
      <x:c r="F641" s="65"/>
      <x:c r="G641" s="66"/>
      <x:c r="H641" s="67"/>
      <x:c r="I641" s="63" t="str">
        <x:v>translation exposure</x:v>
      </x:c>
      <x:c r="J641" s="63"/>
      <x:c r="K641" s="63" t="str">
        <x:v>statement</x:v>
      </x:c>
      <x:c r="L641" s="63" t="str">
        <x:v>2025-06-01</x:v>
      </x:c>
      <x:c r="M641" s="63" t="str">
        <x:v>2026-06-30</x:v>
      </x:c>
      <x:c r="N641" s="63" t="str">
        <x:v>2026-06-30</x:v>
      </x:c>
      <x:c r="O641" s="63" t="str">
        <x:v>E0</x:v>
      </x:c>
      <x:c r="P641" s="63" t="str">
        <x:v>APPROVED</x:v>
      </x:c>
      <x:c r="Q641" s="64" t="b">
        <x:v>0</x:v>
      </x:c>
      <x:c r="R641" s="63" t="str">
        <x:v>BUSINESS_AND_FINANCIAL_RISKS</x:v>
      </x:c>
      <x:c r="S641" s="63" t="str">
        <x:v>Governed sector operating-model and responsibility policy</x:v>
      </x:c>
      <x:c r="T641" s="63"/>
      <x:c r="U641" s="63" t="str">
        <x:v>internal://v31/governed-policy</x:v>
      </x:c>
      <x:c r="V641" s="63" t="str">
        <x:v>5d1c9339d519fe8eb00dad960f6762723086586130a30323001399fd26537646</x:v>
      </x:c>
    </x:row>
    <x:row r="642">
      <x:c r="A642" s="63" t="str">
        <x:v>bec:E14:struct:responsibility-model</x:v>
      </x:c>
      <x:c r="B642" s="63" t="str">
        <x:v>E14</x:v>
      </x:c>
      <x:c r="C642" s="63" t="str">
        <x:v>stakeholder_responsibility_model</x:v>
      </x:c>
      <x:c r="D642" s="63" t="str">
        <x:v>TEXTUAL</x:v>
      </x:c>
      <x:c r="E642" s="63" t="str">
        <x:v>SCENARIO</x:v>
      </x:c>
      <x:c r="F642" s="65"/>
      <x:c r="G642" s="66"/>
      <x:c r="H642" s="67"/>
      <x:c r="I642" s="63" t="str">
        <x:v>Responsibility is assigned by role persona using governed matrix v31-stakeholder-responsibility-3.1.0. Named individuals are not resolved in the demonstration and require CRM entitlement checks in production.</x:v>
      </x:c>
      <x:c r="J642" s="63"/>
      <x:c r="K642" s="63" t="str">
        <x:v>statement</x:v>
      </x:c>
      <x:c r="L642" s="63" t="str">
        <x:v>2025-06-01</x:v>
      </x:c>
      <x:c r="M642" s="63" t="str">
        <x:v>2026-06-30</x:v>
      </x:c>
      <x:c r="N642" s="63" t="str">
        <x:v>2026-06-30</x:v>
      </x:c>
      <x:c r="O642" s="63" t="str">
        <x:v>E0</x:v>
      </x:c>
      <x:c r="P642" s="63" t="str">
        <x:v>APPROVED</x:v>
      </x:c>
      <x:c r="Q642" s="64" t="b">
        <x:v>0</x:v>
      </x:c>
      <x:c r="R642" s="63" t="str">
        <x:v>STAKEHOLDER_RESPONSIBILITY</x:v>
      </x:c>
      <x:c r="S642" s="63" t="str">
        <x:v>Governed sector operating-model and responsibility policy</x:v>
      </x:c>
      <x:c r="T642" s="63"/>
      <x:c r="U642" s="63" t="str">
        <x:v>internal://v31/governed-policy</x:v>
      </x:c>
      <x:c r="V642" s="63" t="str">
        <x:v>f90b41fb782a3448f016d26e81cac866e8b12b7d0d5ba94be616fd94b394ec9b</x:v>
      </x:c>
    </x:row>
    <x:row r="643">
      <x:c r="A643" s="63" t="str">
        <x:v>bec:E14:struct:responsibility:fx_exposure</x:v>
      </x:c>
      <x:c r="B643" s="63" t="str">
        <x:v>E14</x:v>
      </x:c>
      <x:c r="C643" s="63" t="str">
        <x:v>problem_role_ownership</x:v>
      </x:c>
      <x:c r="D643" s="63" t="str">
        <x:v>STRUCTURE_RELATIONSHIP</x:v>
      </x:c>
      <x:c r="E643" s="63" t="str">
        <x:v>SCENARIO</x:v>
      </x:c>
      <x:c r="F643" s="65"/>
      <x:c r="G643" s="66"/>
      <x:c r="H643" s="67"/>
      <x:c r="I643" s="63"/>
      <x:c r="J643" s="63"/>
      <x:c r="K643" s="63" t="str">
        <x:v>statement</x:v>
      </x:c>
      <x:c r="L643" s="63" t="str">
        <x:v>2025-06-01</x:v>
      </x:c>
      <x:c r="M643" s="63" t="str">
        <x:v>2026-06-30</x:v>
      </x:c>
      <x:c r="N643" s="63" t="str">
        <x:v>2026-06-30</x:v>
      </x:c>
      <x:c r="O643" s="63" t="str">
        <x:v>E0</x:v>
      </x:c>
      <x:c r="P643" s="63" t="str">
        <x:v>APPROVED</x:v>
      </x:c>
      <x:c r="Q643" s="64" t="b">
        <x:v>0</x:v>
      </x:c>
      <x:c r="R643" s="63" t="str">
        <x:v>STAKEHOLDER_RESPONSIBILITY</x:v>
      </x:c>
      <x:c r="S643" s="63" t="str">
        <x:v>Governed sector operating-model and responsibility policy</x:v>
      </x:c>
      <x:c r="T643" s="63"/>
      <x:c r="U643" s="63" t="str">
        <x:v>internal://v31/governed-policy</x:v>
      </x:c>
      <x:c r="V643" s="63" t="str">
        <x:v>7587af1b1b157e0d8502eec8044f3e0d66cb4919d3af3e84744e8b7c138da1f3</x:v>
      </x:c>
    </x:row>
    <x:row r="644">
      <x:c r="A644" s="63" t="str">
        <x:v>bec:E14:struct:responsibility:refinancing_cliff</x:v>
      </x:c>
      <x:c r="B644" s="63" t="str">
        <x:v>E14</x:v>
      </x:c>
      <x:c r="C644" s="63" t="str">
        <x:v>problem_role_ownership</x:v>
      </x:c>
      <x:c r="D644" s="63" t="str">
        <x:v>STRUCTURE_RELATIONSHIP</x:v>
      </x:c>
      <x:c r="E644" s="63" t="str">
        <x:v>SCENARIO</x:v>
      </x:c>
      <x:c r="F644" s="65"/>
      <x:c r="G644" s="66"/>
      <x:c r="H644" s="67"/>
      <x:c r="I644" s="63"/>
      <x:c r="J644" s="63"/>
      <x:c r="K644" s="63" t="str">
        <x:v>statement</x:v>
      </x:c>
      <x:c r="L644" s="63" t="str">
        <x:v>2025-06-01</x:v>
      </x:c>
      <x:c r="M644" s="63" t="str">
        <x:v>2026-06-30</x:v>
      </x:c>
      <x:c r="N644" s="63" t="str">
        <x:v>2026-06-30</x:v>
      </x:c>
      <x:c r="O644" s="63" t="str">
        <x:v>E0</x:v>
      </x:c>
      <x:c r="P644" s="63" t="str">
        <x:v>APPROVED</x:v>
      </x:c>
      <x:c r="Q644" s="64" t="b">
        <x:v>0</x:v>
      </x:c>
      <x:c r="R644" s="63" t="str">
        <x:v>STAKEHOLDER_RESPONSIBILITY</x:v>
      </x:c>
      <x:c r="S644" s="63" t="str">
        <x:v>Governed sector operating-model and responsibility policy</x:v>
      </x:c>
      <x:c r="T644" s="63"/>
      <x:c r="U644" s="63" t="str">
        <x:v>internal://v31/governed-policy</x:v>
      </x:c>
      <x:c r="V644" s="63" t="str">
        <x:v>1a34ae6f4ab2c031a52c1d24e99e03fa8b26ddf5b6b10f0f60b3a1805baff817</x:v>
      </x:c>
    </x:row>
    <x:row r="645">
      <x:c r="A645" s="63" t="str">
        <x:v>bec:E14:struct:responsibility:working_capital_pressure</x:v>
      </x:c>
      <x:c r="B645" s="63" t="str">
        <x:v>E14</x:v>
      </x:c>
      <x:c r="C645" s="63" t="str">
        <x:v>problem_role_ownership</x:v>
      </x:c>
      <x:c r="D645" s="63" t="str">
        <x:v>STRUCTURE_RELATIONSHIP</x:v>
      </x:c>
      <x:c r="E645" s="63" t="str">
        <x:v>SCENARIO</x:v>
      </x:c>
      <x:c r="F645" s="65"/>
      <x:c r="G645" s="66"/>
      <x:c r="H645" s="67"/>
      <x:c r="I645" s="63"/>
      <x:c r="J645" s="63"/>
      <x:c r="K645" s="63" t="str">
        <x:v>statement</x:v>
      </x:c>
      <x:c r="L645" s="63" t="str">
        <x:v>2025-06-01</x:v>
      </x:c>
      <x:c r="M645" s="63" t="str">
        <x:v>2026-06-30</x:v>
      </x:c>
      <x:c r="N645" s="63" t="str">
        <x:v>2026-06-30</x:v>
      </x:c>
      <x:c r="O645" s="63" t="str">
        <x:v>E0</x:v>
      </x:c>
      <x:c r="P645" s="63" t="str">
        <x:v>APPROVED</x:v>
      </x:c>
      <x:c r="Q645" s="64" t="b">
        <x:v>0</x:v>
      </x:c>
      <x:c r="R645" s="63" t="str">
        <x:v>STAKEHOLDER_RESPONSIBILITY</x:v>
      </x:c>
      <x:c r="S645" s="63" t="str">
        <x:v>Governed sector operating-model and responsibility policy</x:v>
      </x:c>
      <x:c r="T645" s="63"/>
      <x:c r="U645" s="63" t="str">
        <x:v>internal://v31/governed-policy</x:v>
      </x:c>
      <x:c r="V645" s="63" t="str">
        <x:v>2d86a108e41afa82e0bde00bc90edf3503b56f17bb204f51547114495e8d5a33</x:v>
      </x:c>
    </x:row>
    <x:row r="646">
      <x:c r="A646" s="63" t="str">
        <x:v>bec:NASPERS-2026-REV</x:v>
      </x:c>
      <x:c r="B646" s="63" t="str">
        <x:v>E15</x:v>
      </x:c>
      <x:c r="C646" s="63" t="str">
        <x:v>revenue</x:v>
      </x:c>
      <x:c r="D646" s="63" t="str">
        <x:v>MONEY</x:v>
      </x:c>
      <x:c r="E646" s="63" t="str">
        <x:v>OBSERVED</x:v>
      </x:c>
      <x:c r="F646" s="65" t="n">
        <x:v>10848</x:v>
      </x:c>
      <x:c r="G646" s="66"/>
      <x:c r="H646" s="67"/>
      <x:c r="I646" s="63"/>
      <x:c r="J646" s="63" t="str">
        <x:v>USD</x:v>
      </x:c>
      <x:c r="K646" s="63" t="str">
        <x:v>million</x:v>
      </x:c>
      <x:c r="L646" s="63" t="str">
        <x:v>2025-04-01</x:v>
      </x:c>
      <x:c r="M646" s="63" t="str">
        <x:v>2026-03-31</x:v>
      </x:c>
      <x:c r="N646" s="63" t="str">
        <x:v>2026-06-29</x:v>
      </x:c>
      <x:c r="O646" s="63" t="str">
        <x:v>E1</x:v>
      </x:c>
      <x:c r="P646" s="63" t="str">
        <x:v>PENDING_REVIEW</x:v>
      </x:c>
      <x:c r="Q646" s="64" t="b">
        <x:v>1</x:v>
      </x:c>
      <x:c r="R646" s="63" t="str">
        <x:v>REVENUE_ENGINE</x:v>
      </x:c>
      <x:c r="S646" s="63" t="str">
        <x:v>Naspers Annual Financial Statements 2026</x:v>
      </x:c>
      <x:c r="T646" s="63" t="n">
        <x:v>33</x:v>
      </x:c>
      <x:c r="U646" s="63" t="str">
        <x:v>https://www.naspers.com/~/media/Files/N/Naspers-Corp-V2/results-reports-and-events-archive/latest-results/fy-2026/naspers-annual-financial-statements-2026.pdf</x:v>
      </x:c>
      <x:c r="V646" s="63" t="str">
        <x:v>e0d23733f611c2b81f2b8c7362c492178fe52b3109472db1e08efe824298f17b</x:v>
      </x:c>
    </x:row>
    <x:row r="647">
      <x:c r="A647" s="63" t="str">
        <x:v>bec:NASPERS-2026-CASH</x:v>
      </x:c>
      <x:c r="B647" s="63" t="str">
        <x:v>E15</x:v>
      </x:c>
      <x:c r="C647" s="63" t="str">
        <x:v>cash_and_cash_equivalents</x:v>
      </x:c>
      <x:c r="D647" s="63" t="str">
        <x:v>MONEY</x:v>
      </x:c>
      <x:c r="E647" s="63" t="str">
        <x:v>OBSERVED</x:v>
      </x:c>
      <x:c r="F647" s="65" t="n">
        <x:v>6820</x:v>
      </x:c>
      <x:c r="G647" s="66"/>
      <x:c r="H647" s="67"/>
      <x:c r="I647" s="63"/>
      <x:c r="J647" s="63" t="str">
        <x:v>USD</x:v>
      </x:c>
      <x:c r="K647" s="63" t="str">
        <x:v>million</x:v>
      </x:c>
      <x:c r="L647" s="63" t="str">
        <x:v>2026-03-31</x:v>
      </x:c>
      <x:c r="M647" s="63" t="str">
        <x:v>2026-03-31</x:v>
      </x:c>
      <x:c r="N647" s="63" t="str">
        <x:v>2026-06-29</x:v>
      </x:c>
      <x:c r="O647" s="63" t="str">
        <x:v>E1</x:v>
      </x:c>
      <x:c r="P647" s="63" t="str">
        <x:v>PENDING_REVIEW</x:v>
      </x:c>
      <x:c r="Q647" s="64" t="b">
        <x:v>1</x:v>
      </x:c>
      <x:c r="R647" s="63" t="str">
        <x:v>LIQUIDITY_AND_BUFFER</x:v>
      </x:c>
      <x:c r="S647" s="63" t="str">
        <x:v>Naspers Annual Financial Statements 2026</x:v>
      </x:c>
      <x:c r="T647" s="63" t="n">
        <x:v>32</x:v>
      </x:c>
      <x:c r="U647" s="63" t="str">
        <x:v>https://www.naspers.com/~/media/Files/N/Naspers-Corp-V2/results-reports-and-events-archive/latest-results/fy-2026/naspers-annual-financial-statements-2026.pdf</x:v>
      </x:c>
      <x:c r="V647" s="63" t="str">
        <x:v>e0d23733f611c2b81f2b8c7362c492178fe52b3109472db1e08efe824298f17b</x:v>
      </x:c>
    </x:row>
    <x:row r="648">
      <x:c r="A648" s="63" t="str">
        <x:v>bec:NASPERS-2026-DEBT</x:v>
      </x:c>
      <x:c r="B648" s="63" t="str">
        <x:v>E15</x:v>
      </x:c>
      <x:c r="C648" s="63" t="str">
        <x:v>current_debt</x:v>
      </x:c>
      <x:c r="D648" s="63" t="str">
        <x:v>MONEY</x:v>
      </x:c>
      <x:c r="E648" s="63" t="str">
        <x:v>OBSERVED</x:v>
      </x:c>
      <x:c r="F648" s="65" t="n">
        <x:v>1987</x:v>
      </x:c>
      <x:c r="G648" s="66"/>
      <x:c r="H648" s="67"/>
      <x:c r="I648" s="63"/>
      <x:c r="J648" s="63" t="str">
        <x:v>USD</x:v>
      </x:c>
      <x:c r="K648" s="63" t="str">
        <x:v>million</x:v>
      </x:c>
      <x:c r="L648" s="63" t="str">
        <x:v>2026-03-31</x:v>
      </x:c>
      <x:c r="M648" s="63" t="str">
        <x:v>2026-03-31</x:v>
      </x:c>
      <x:c r="N648" s="63" t="str">
        <x:v>2026-06-29</x:v>
      </x:c>
      <x:c r="O648" s="63" t="str">
        <x:v>E1</x:v>
      </x:c>
      <x:c r="P648" s="63" t="str">
        <x:v>PENDING_REVIEW</x:v>
      </x:c>
      <x:c r="Q648" s="64" t="b">
        <x:v>1</x:v>
      </x:c>
      <x:c r="R648" s="63" t="str">
        <x:v>FUNDING_STRUCTURE</x:v>
      </x:c>
      <x:c r="S648" s="63" t="str">
        <x:v>Naspers Annual Financial Statements 2026</x:v>
      </x:c>
      <x:c r="T648" s="63" t="n">
        <x:v>32</x:v>
      </x:c>
      <x:c r="U648" s="63" t="str">
        <x:v>https://www.naspers.com/~/media/Files/N/Naspers-Corp-V2/results-reports-and-events-archive/latest-results/fy-2026/naspers-annual-financial-statements-2026.pdf</x:v>
      </x:c>
      <x:c r="V648" s="63" t="str">
        <x:v>e0d23733f611c2b81f2b8c7362c492178fe52b3109472db1e08efe824298f17b</x:v>
      </x:c>
    </x:row>
    <x:row r="649">
      <x:c r="A649" s="63" t="str">
        <x:v>bec:E15:obs:flow:collections</x:v>
      </x:c>
      <x:c r="B649" s="63" t="str">
        <x:v>E15</x:v>
      </x:c>
      <x:c r="C649" s="63" t="str">
        <x:v>bank_observed_collections_ltm</x:v>
      </x:c>
      <x:c r="D649" s="63" t="str">
        <x:v>MONEY</x:v>
      </x:c>
      <x:c r="E649" s="63" t="str">
        <x:v>OBSERVED</x:v>
      </x:c>
      <x:c r="F649" s="65" t="n">
        <x:v>359520820.35</x:v>
      </x:c>
      <x:c r="G649" s="66"/>
      <x:c r="H649" s="67"/>
      <x:c r="I649" s="63"/>
      <x:c r="J649" s="63" t="str">
        <x:v>ZAR</x:v>
      </x:c>
      <x:c r="K649" s="63" t="str">
        <x:v>ZAR</x:v>
      </x:c>
      <x:c r="L649" s="63" t="str">
        <x:v>2025-06-01</x:v>
      </x:c>
      <x:c r="M649" s="63" t="str">
        <x:v>2026-06-30</x:v>
      </x:c>
      <x:c r="N649" s="63" t="str">
        <x:v>2026-06-30</x:v>
      </x:c>
      <x:c r="O649" s="63" t="str">
        <x:v>E0</x:v>
      </x:c>
      <x:c r="P649" s="63" t="str">
        <x:v>APPROVED</x:v>
      </x:c>
      <x:c r="Q649" s="64" t="b">
        <x:v>1</x:v>
      </x:c>
      <x:c r="R649" s="63" t="str">
        <x:v>REVENUE_ENGINE, WORKING_CAPITAL_CYCLE</x:v>
      </x:c>
      <x:c r="S649" s="63" t="str">
        <x:v>Syn Bank transaction and relationship simulation</x:v>
      </x:c>
      <x:c r="T649" s="63"/>
      <x:c r="U649" s="63" t="str">
        <x:v>internal://syn-bank/simulation/ltm</x:v>
      </x:c>
      <x:c r="V649" s="63" t="str">
        <x:v>7c557e436ed62d275f5d4ba7b742f2f8a3cc9d17ecb9b63ffc5fb7e9c95ce03a</x:v>
      </x:c>
    </x:row>
    <x:row r="650">
      <x:c r="A650" s="63" t="str">
        <x:v>bec:E15:obs:trend:collections</x:v>
      </x:c>
      <x:c r="B650" s="63" t="str">
        <x:v>E15</x:v>
      </x:c>
      <x:c r="C650" s="63" t="str">
        <x:v>bank_observed_collections_yoy_change</x:v>
      </x:c>
      <x:c r="D650" s="63" t="str">
        <x:v>RATIO</x:v>
      </x:c>
      <x:c r="E650" s="63" t="str">
        <x:v>OBSERVED</x:v>
      </x:c>
      <x:c r="F650" s="65"/>
      <x:c r="G650" s="66" t="n">
        <x:v>0.020394</x:v>
      </x:c>
      <x:c r="H650" s="67"/>
      <x:c r="I650" s="63"/>
      <x:c r="J650" s="63"/>
      <x:c r="K650" s="63" t="str">
        <x:v>ratio</x:v>
      </x:c>
      <x:c r="L650" s="63" t="str">
        <x:v>2025-06-01</x:v>
      </x:c>
      <x:c r="M650" s="63" t="str">
        <x:v>2026-06-30</x:v>
      </x:c>
      <x:c r="N650" s="63" t="str">
        <x:v>2026-06-30</x:v>
      </x:c>
      <x:c r="O650" s="63" t="str">
        <x:v>E0</x:v>
      </x:c>
      <x:c r="P650" s="63" t="str">
        <x:v>APPROVED</x:v>
      </x:c>
      <x:c r="Q650" s="64" t="b">
        <x:v>0</x:v>
      </x:c>
      <x:c r="R650" s="63" t="str">
        <x:v>REVENUE_ENGINE, WORKING_CAPITAL_CYCLE</x:v>
      </x:c>
      <x:c r="S650" s="63" t="str">
        <x:v>Syn Bank transaction and relationship simulation</x:v>
      </x:c>
      <x:c r="T650" s="63"/>
      <x:c r="U650" s="63" t="str">
        <x:v>internal://syn-bank/simulation/ltm</x:v>
      </x:c>
      <x:c r="V650" s="63" t="str">
        <x:v>add9553f0bf7520680cfdae4523ce1fae997c8ff2005f32e3b6035d0dea52067</x:v>
      </x:c>
    </x:row>
    <x:row r="651">
      <x:c r="A651" s="63" t="str">
        <x:v>bec:E15:obs:flow:payments</x:v>
      </x:c>
      <x:c r="B651" s="63" t="str">
        <x:v>E15</x:v>
      </x:c>
      <x:c r="C651" s="63" t="str">
        <x:v>bank_observed_payments_ltm</x:v>
      </x:c>
      <x:c r="D651" s="63" t="str">
        <x:v>MONEY</x:v>
      </x:c>
      <x:c r="E651" s="63" t="str">
        <x:v>OBSERVED</x:v>
      </x:c>
      <x:c r="F651" s="65" t="n">
        <x:v>1067403466.3000002</x:v>
      </x:c>
      <x:c r="G651" s="66"/>
      <x:c r="H651" s="67"/>
      <x:c r="I651" s="63"/>
      <x:c r="J651" s="63" t="str">
        <x:v>ZAR</x:v>
      </x:c>
      <x:c r="K651" s="63" t="str">
        <x:v>ZAR</x:v>
      </x:c>
      <x:c r="L651" s="63" t="str">
        <x:v>2025-06-01</x:v>
      </x:c>
      <x:c r="M651" s="63" t="str">
        <x:v>2026-06-30</x:v>
      </x:c>
      <x:c r="N651" s="63" t="str">
        <x:v>2026-06-30</x:v>
      </x:c>
      <x:c r="O651" s="63" t="str">
        <x:v>E0</x:v>
      </x:c>
      <x:c r="P651" s="63" t="str">
        <x:v>APPROVED</x:v>
      </x:c>
      <x:c r="Q651" s="64" t="b">
        <x:v>1</x:v>
      </x:c>
      <x:c r="R651" s="63" t="str">
        <x:v>COST_ENGINE, WORKING_CAPITAL_CYCLE</x:v>
      </x:c>
      <x:c r="S651" s="63" t="str">
        <x:v>Syn Bank transaction and relationship simulation</x:v>
      </x:c>
      <x:c r="T651" s="63"/>
      <x:c r="U651" s="63" t="str">
        <x:v>internal://syn-bank/simulation/ltm</x:v>
      </x:c>
      <x:c r="V651" s="63" t="str">
        <x:v>e93698ea11209a163e309e77a947309e8691ace863c58cfd67508b9de444cabc</x:v>
      </x:c>
    </x:row>
    <x:row r="652">
      <x:c r="A652" s="63" t="str">
        <x:v>bec:E15:obs:trend:payments</x:v>
      </x:c>
      <x:c r="B652" s="63" t="str">
        <x:v>E15</x:v>
      </x:c>
      <x:c r="C652" s="63" t="str">
        <x:v>bank_observed_payments_yoy_change</x:v>
      </x:c>
      <x:c r="D652" s="63" t="str">
        <x:v>RATIO</x:v>
      </x:c>
      <x:c r="E652" s="63" t="str">
        <x:v>OBSERVED</x:v>
      </x:c>
      <x:c r="F652" s="65"/>
      <x:c r="G652" s="66" t="n">
        <x:v>0.08127</x:v>
      </x:c>
      <x:c r="H652" s="67"/>
      <x:c r="I652" s="63"/>
      <x:c r="J652" s="63"/>
      <x:c r="K652" s="63" t="str">
        <x:v>ratio</x:v>
      </x:c>
      <x:c r="L652" s="63" t="str">
        <x:v>2025-06-01</x:v>
      </x:c>
      <x:c r="M652" s="63" t="str">
        <x:v>2026-06-30</x:v>
      </x:c>
      <x:c r="N652" s="63" t="str">
        <x:v>2026-06-30</x:v>
      </x:c>
      <x:c r="O652" s="63" t="str">
        <x:v>E0</x:v>
      </x:c>
      <x:c r="P652" s="63" t="str">
        <x:v>APPROVED</x:v>
      </x:c>
      <x:c r="Q652" s="64" t="b">
        <x:v>0</x:v>
      </x:c>
      <x:c r="R652" s="63" t="str">
        <x:v>COST_ENGINE, WORKING_CAPITAL_CYCLE</x:v>
      </x:c>
      <x:c r="S652" s="63" t="str">
        <x:v>Syn Bank transaction and relationship simulation</x:v>
      </x:c>
      <x:c r="T652" s="63"/>
      <x:c r="U652" s="63" t="str">
        <x:v>internal://syn-bank/simulation/ltm</x:v>
      </x:c>
      <x:c r="V652" s="63" t="str">
        <x:v>4989c606bfd16645c421ddaba7c7251d087a0cfc862262b067834cbfa75dcbe4</x:v>
      </x:c>
    </x:row>
    <x:row r="653">
      <x:c r="A653" s="63" t="str">
        <x:v>bec:E15:obs:flow:liquidity</x:v>
      </x:c>
      <x:c r="B653" s="63" t="str">
        <x:v>E15</x:v>
      </x:c>
      <x:c r="C653" s="63" t="str">
        <x:v>bank_observed_liquidity_ltm</x:v>
      </x:c>
      <x:c r="D653" s="63" t="str">
        <x:v>MONEY</x:v>
      </x:c>
      <x:c r="E653" s="63" t="str">
        <x:v>OBSERVED</x:v>
      </x:c>
      <x:c r="F653" s="65" t="n">
        <x:v>713462143.3249999</x:v>
      </x:c>
      <x:c r="G653" s="66"/>
      <x:c r="H653" s="67"/>
      <x:c r="I653" s="63"/>
      <x:c r="J653" s="63" t="str">
        <x:v>ZAR</x:v>
      </x:c>
      <x:c r="K653" s="63" t="str">
        <x:v>ZAR</x:v>
      </x:c>
      <x:c r="L653" s="63" t="str">
        <x:v>2025-06-01</x:v>
      </x:c>
      <x:c r="M653" s="63" t="str">
        <x:v>2026-06-30</x:v>
      </x:c>
      <x:c r="N653" s="63" t="str">
        <x:v>2026-06-30</x:v>
      </x:c>
      <x:c r="O653" s="63" t="str">
        <x:v>E0</x:v>
      </x:c>
      <x:c r="P653" s="63" t="str">
        <x:v>APPROVED</x:v>
      </x:c>
      <x:c r="Q653" s="64" t="b">
        <x:v>1</x:v>
      </x:c>
      <x:c r="R653" s="63" t="str">
        <x:v>LIQUIDITY_AND_BUFFER</x:v>
      </x:c>
      <x:c r="S653" s="63" t="str">
        <x:v>Syn Bank transaction and relationship simulation</x:v>
      </x:c>
      <x:c r="T653" s="63"/>
      <x:c r="U653" s="63" t="str">
        <x:v>internal://syn-bank/simulation/ltm</x:v>
      </x:c>
      <x:c r="V653" s="63" t="str">
        <x:v>be8101277a25e441104ee8afdac3f361d5462f09e1adfe0a950905470f8eabfb</x:v>
      </x:c>
    </x:row>
    <x:row r="654">
      <x:c r="A654" s="63" t="str">
        <x:v>bec:E15:obs:trend:liquidity</x:v>
      </x:c>
      <x:c r="B654" s="63" t="str">
        <x:v>E15</x:v>
      </x:c>
      <x:c r="C654" s="63" t="str">
        <x:v>bank_observed_liquidity_yoy_change</x:v>
      </x:c>
      <x:c r="D654" s="63" t="str">
        <x:v>RATIO</x:v>
      </x:c>
      <x:c r="E654" s="63" t="str">
        <x:v>OBSERVED</x:v>
      </x:c>
      <x:c r="F654" s="65"/>
      <x:c r="G654" s="66" t="n">
        <x:v>0.065258</x:v>
      </x:c>
      <x:c r="H654" s="67"/>
      <x:c r="I654" s="63"/>
      <x:c r="J654" s="63"/>
      <x:c r="K654" s="63" t="str">
        <x:v>ratio</x:v>
      </x:c>
      <x:c r="L654" s="63" t="str">
        <x:v>2025-06-01</x:v>
      </x:c>
      <x:c r="M654" s="63" t="str">
        <x:v>2026-06-30</x:v>
      </x:c>
      <x:c r="N654" s="63" t="str">
        <x:v>2026-06-30</x:v>
      </x:c>
      <x:c r="O654" s="63" t="str">
        <x:v>E0</x:v>
      </x:c>
      <x:c r="P654" s="63" t="str">
        <x:v>APPROVED</x:v>
      </x:c>
      <x:c r="Q654" s="64" t="b">
        <x:v>0</x:v>
      </x:c>
      <x:c r="R654" s="63" t="str">
        <x:v>LIQUIDITY_AND_BUFFER</x:v>
      </x:c>
      <x:c r="S654" s="63" t="str">
        <x:v>Syn Bank transaction and relationship simulation</x:v>
      </x:c>
      <x:c r="T654" s="63"/>
      <x:c r="U654" s="63" t="str">
        <x:v>internal://syn-bank/simulation/ltm</x:v>
      </x:c>
      <x:c r="V654" s="63" t="str">
        <x:v>1f26af0d210f4fa7b4bb2c23505aa327cc1a8027643130a33afaed03e5af0f8b</x:v>
      </x:c>
    </x:row>
    <x:row r="655">
      <x:c r="A655" s="63" t="str">
        <x:v>bec:E15:obs:flow:cross-border-fx</x:v>
      </x:c>
      <x:c r="B655" s="63" t="str">
        <x:v>E15</x:v>
      </x:c>
      <x:c r="C655" s="63" t="str">
        <x:v>bank_observed_cross_border_fx_ltm</x:v>
      </x:c>
      <x:c r="D655" s="63" t="str">
        <x:v>MONEY</x:v>
      </x:c>
      <x:c r="E655" s="63" t="str">
        <x:v>OBSERVED</x:v>
      </x:c>
      <x:c r="F655" s="65" t="n">
        <x:v>2051310999.4299998</x:v>
      </x:c>
      <x:c r="G655" s="66"/>
      <x:c r="H655" s="67"/>
      <x:c r="I655" s="63"/>
      <x:c r="J655" s="63" t="str">
        <x:v>ZAR</x:v>
      </x:c>
      <x:c r="K655" s="63" t="str">
        <x:v>ZAR</x:v>
      </x:c>
      <x:c r="L655" s="63" t="str">
        <x:v>2025-06-01</x:v>
      </x:c>
      <x:c r="M655" s="63" t="str">
        <x:v>2026-06-30</x:v>
      </x:c>
      <x:c r="N655" s="63" t="str">
        <x:v>2026-06-30</x:v>
      </x:c>
      <x:c r="O655" s="63" t="str">
        <x:v>E0</x:v>
      </x:c>
      <x:c r="P655" s="63" t="str">
        <x:v>APPROVED</x:v>
      </x:c>
      <x:c r="Q655" s="64" t="b">
        <x:v>1</x:v>
      </x:c>
      <x:c r="R655" s="63" t="str">
        <x:v>CURRENCY_AND_COMMODITY_EXPOSURE, GEOGRAPHIC_EXPOSURE</x:v>
      </x:c>
      <x:c r="S655" s="63" t="str">
        <x:v>Syn Bank transaction and relationship simulation</x:v>
      </x:c>
      <x:c r="T655" s="63"/>
      <x:c r="U655" s="63" t="str">
        <x:v>internal://syn-bank/simulation/ltm</x:v>
      </x:c>
      <x:c r="V655" s="63" t="str">
        <x:v>21749410af001ae7e5f6216a79eb36b660ffe897aceec4d8b089714ca33272be</x:v>
      </x:c>
    </x:row>
    <x:row r="656">
      <x:c r="A656" s="63" t="str">
        <x:v>bec:E15:obs:trend:cross-border-fx</x:v>
      </x:c>
      <x:c r="B656" s="63" t="str">
        <x:v>E15</x:v>
      </x:c>
      <x:c r="C656" s="63" t="str">
        <x:v>bank_observed_cross_border_fx_yoy_change</x:v>
      </x:c>
      <x:c r="D656" s="63" t="str">
        <x:v>RATIO</x:v>
      </x:c>
      <x:c r="E656" s="63" t="str">
        <x:v>OBSERVED</x:v>
      </x:c>
      <x:c r="F656" s="65"/>
      <x:c r="G656" s="66" t="n">
        <x:v>0.01809</x:v>
      </x:c>
      <x:c r="H656" s="67"/>
      <x:c r="I656" s="63"/>
      <x:c r="J656" s="63"/>
      <x:c r="K656" s="63" t="str">
        <x:v>ratio</x:v>
      </x:c>
      <x:c r="L656" s="63" t="str">
        <x:v>2025-06-01</x:v>
      </x:c>
      <x:c r="M656" s="63" t="str">
        <x:v>2026-06-30</x:v>
      </x:c>
      <x:c r="N656" s="63" t="str">
        <x:v>2026-06-30</x:v>
      </x:c>
      <x:c r="O656" s="63" t="str">
        <x:v>E0</x:v>
      </x:c>
      <x:c r="P656" s="63" t="str">
        <x:v>APPROVED</x:v>
      </x:c>
      <x:c r="Q656" s="64" t="b">
        <x:v>0</x:v>
      </x:c>
      <x:c r="R656" s="63" t="str">
        <x:v>CURRENCY_AND_COMMODITY_EXPOSURE, GEOGRAPHIC_EXPOSURE</x:v>
      </x:c>
      <x:c r="S656" s="63" t="str">
        <x:v>Syn Bank transaction and relationship simulation</x:v>
      </x:c>
      <x:c r="T656" s="63"/>
      <x:c r="U656" s="63" t="str">
        <x:v>internal://syn-bank/simulation/ltm</x:v>
      </x:c>
      <x:c r="V656" s="63" t="str">
        <x:v>5a3d89612b3587d1ff4576046c1fafda1e7f94deb8f520a5fbf9bea78492426e</x:v>
      </x:c>
    </x:row>
    <x:row r="657">
      <x:c r="A657" s="63" t="str">
        <x:v>bec:E15:obs:flow:trade-finance</x:v>
      </x:c>
      <x:c r="B657" s="63" t="str">
        <x:v>E15</x:v>
      </x:c>
      <x:c r="C657" s="63" t="str">
        <x:v>bank_observed_trade_finance_ltm</x:v>
      </x:c>
      <x:c r="D657" s="63" t="str">
        <x:v>MONEY</x:v>
      </x:c>
      <x:c r="E657" s="63" t="str">
        <x:v>OBSERVED</x:v>
      </x:c>
      <x:c r="F657" s="65" t="n">
        <x:v>45388341.4</x:v>
      </x:c>
      <x:c r="G657" s="66"/>
      <x:c r="H657" s="67"/>
      <x:c r="I657" s="63"/>
      <x:c r="J657" s="63" t="str">
        <x:v>ZAR</x:v>
      </x:c>
      <x:c r="K657" s="63" t="str">
        <x:v>ZAR</x:v>
      </x:c>
      <x:c r="L657" s="63" t="str">
        <x:v>2025-06-01</x:v>
      </x:c>
      <x:c r="M657" s="63" t="str">
        <x:v>2026-06-30</x:v>
      </x:c>
      <x:c r="N657" s="63" t="str">
        <x:v>2026-06-30</x:v>
      </x:c>
      <x:c r="O657" s="63" t="str">
        <x:v>E0</x:v>
      </x:c>
      <x:c r="P657" s="63" t="str">
        <x:v>APPROVED</x:v>
      </x:c>
      <x:c r="Q657" s="64" t="b">
        <x:v>1</x:v>
      </x:c>
      <x:c r="R657" s="63" t="str">
        <x:v>WORKING_CAPITAL_CYCLE, OPERATING_MODEL</x:v>
      </x:c>
      <x:c r="S657" s="63" t="str">
        <x:v>Syn Bank transaction and relationship simulation</x:v>
      </x:c>
      <x:c r="T657" s="63"/>
      <x:c r="U657" s="63" t="str">
        <x:v>internal://syn-bank/simulation/ltm</x:v>
      </x:c>
      <x:c r="V657" s="63" t="str">
        <x:v>a17abefa94c8422b17730bd67c400b3344383bae819df0754857e95f7bf84a3c</x:v>
      </x:c>
    </x:row>
    <x:row r="658">
      <x:c r="A658" s="63" t="str">
        <x:v>bec:E15:obs:trend:trade-finance</x:v>
      </x:c>
      <x:c r="B658" s="63" t="str">
        <x:v>E15</x:v>
      </x:c>
      <x:c r="C658" s="63" t="str">
        <x:v>bank_observed_trade_finance_yoy_change</x:v>
      </x:c>
      <x:c r="D658" s="63" t="str">
        <x:v>RATIO</x:v>
      </x:c>
      <x:c r="E658" s="63" t="str">
        <x:v>OBSERVED</x:v>
      </x:c>
      <x:c r="F658" s="65"/>
      <x:c r="G658" s="66" t="n">
        <x:v>0.117934</x:v>
      </x:c>
      <x:c r="H658" s="67"/>
      <x:c r="I658" s="63"/>
      <x:c r="J658" s="63"/>
      <x:c r="K658" s="63" t="str">
        <x:v>ratio</x:v>
      </x:c>
      <x:c r="L658" s="63" t="str">
        <x:v>2025-06-01</x:v>
      </x:c>
      <x:c r="M658" s="63" t="str">
        <x:v>2026-06-30</x:v>
      </x:c>
      <x:c r="N658" s="63" t="str">
        <x:v>2026-06-30</x:v>
      </x:c>
      <x:c r="O658" s="63" t="str">
        <x:v>E0</x:v>
      </x:c>
      <x:c r="P658" s="63" t="str">
        <x:v>APPROVED</x:v>
      </x:c>
      <x:c r="Q658" s="64" t="b">
        <x:v>0</x:v>
      </x:c>
      <x:c r="R658" s="63" t="str">
        <x:v>WORKING_CAPITAL_CYCLE, OPERATING_MODEL</x:v>
      </x:c>
      <x:c r="S658" s="63" t="str">
        <x:v>Syn Bank transaction and relationship simulation</x:v>
      </x:c>
      <x:c r="T658" s="63"/>
      <x:c r="U658" s="63" t="str">
        <x:v>internal://syn-bank/simulation/ltm</x:v>
      </x:c>
      <x:c r="V658" s="63" t="str">
        <x:v>1dea72fa8ef2151f6eb984ab7d9567140209bdf3356856c727e94b2c196dd895</x:v>
      </x:c>
    </x:row>
    <x:row r="659">
      <x:c r="A659" s="63" t="str">
        <x:v>bec:E15:obs:corridor:0</x:v>
      </x:c>
      <x:c r="B659" s="63" t="str">
        <x:v>E15</x:v>
      </x:c>
      <x:c r="C659" s="63" t="str">
        <x:v>bank_observed_corridor_value</x:v>
      </x:c>
      <x:c r="D659" s="63" t="str">
        <x:v>MONEY</x:v>
      </x:c>
      <x:c r="E659" s="63" t="str">
        <x:v>OBSERVED</x:v>
      </x:c>
      <x:c r="F659" s="65" t="n">
        <x:v>652102628.0400009</x:v>
      </x:c>
      <x:c r="G659" s="66"/>
      <x:c r="H659" s="67"/>
      <x:c r="I659" s="63"/>
      <x:c r="J659" s="63" t="str">
        <x:v>ZAR</x:v>
      </x:c>
      <x:c r="K659" s="63" t="str">
        <x:v>ZAR</x:v>
      </x:c>
      <x:c r="L659" s="63" t="str">
        <x:v>2025-06-01</x:v>
      </x:c>
      <x:c r="M659" s="63" t="str">
        <x:v>2026-06-30</x:v>
      </x:c>
      <x:c r="N659" s="63" t="str">
        <x:v>2026-06-30</x:v>
      </x:c>
      <x:c r="O659" s="63" t="str">
        <x:v>E0</x:v>
      </x:c>
      <x:c r="P659" s="63" t="str">
        <x:v>APPROVED</x:v>
      </x:c>
      <x:c r="Q659" s="64" t="b">
        <x:v>1</x:v>
      </x:c>
      <x:c r="R659" s="63" t="str">
        <x:v>GEOGRAPHIC_EXPOSURE</x:v>
      </x:c>
      <x:c r="S659" s="63" t="str">
        <x:v>Syn Bank transaction and relationship simulation</x:v>
      </x:c>
      <x:c r="T659" s="63"/>
      <x:c r="U659" s="63" t="str">
        <x:v>internal://syn-bank/simulation/ltm</x:v>
      </x:c>
      <x:c r="V659" s="63" t="str">
        <x:v>1c1581d0558ac04ac8097782f235cad85b0b8cda6681ccf9100ad4280ec733f3</x:v>
      </x:c>
    </x:row>
    <x:row r="660">
      <x:c r="A660" s="63" t="str">
        <x:v>bec:E15:obs:corridor-name:0</x:v>
      </x:c>
      <x:c r="B660" s="63" t="str">
        <x:v>E15</x:v>
      </x:c>
      <x:c r="C660" s="63" t="str">
        <x:v>bank_observed_corridor_country</x:v>
      </x:c>
      <x:c r="D660" s="63" t="str">
        <x:v>CATEGORICAL</x:v>
      </x:c>
      <x:c r="E660" s="63" t="str">
        <x:v>OBSERVED</x:v>
      </x:c>
      <x:c r="F660" s="65"/>
      <x:c r="G660" s="66"/>
      <x:c r="H660" s="67"/>
      <x:c r="I660" s="63" t="str">
        <x:v>Switzerland</x:v>
      </x:c>
      <x:c r="J660" s="63"/>
      <x:c r="K660" s="63" t="str">
        <x:v>country</x:v>
      </x:c>
      <x:c r="L660" s="63" t="str">
        <x:v>2025-06-01</x:v>
      </x:c>
      <x:c r="M660" s="63" t="str">
        <x:v>2026-06-30</x:v>
      </x:c>
      <x:c r="N660" s="63" t="str">
        <x:v>2026-06-30</x:v>
      </x:c>
      <x:c r="O660" s="63" t="str">
        <x:v>E0</x:v>
      </x:c>
      <x:c r="P660" s="63" t="str">
        <x:v>APPROVED</x:v>
      </x:c>
      <x:c r="Q660" s="64" t="b">
        <x:v>0</x:v>
      </x:c>
      <x:c r="R660" s="63" t="str">
        <x:v>GEOGRAPHIC_EXPOSURE</x:v>
      </x:c>
      <x:c r="S660" s="63" t="str">
        <x:v>Syn Bank transaction and relationship simulation</x:v>
      </x:c>
      <x:c r="T660" s="63"/>
      <x:c r="U660" s="63" t="str">
        <x:v>internal://syn-bank/simulation/ltm</x:v>
      </x:c>
      <x:c r="V660" s="63" t="str">
        <x:v>068a487fa832b4d505c76c491772e93a3c240e0b0ec49cbe3191dee082c2aef1</x:v>
      </x:c>
    </x:row>
    <x:row r="661">
      <x:c r="A661" s="63" t="str">
        <x:v>bec:E15:obs:corridor:1</x:v>
      </x:c>
      <x:c r="B661" s="63" t="str">
        <x:v>E15</x:v>
      </x:c>
      <x:c r="C661" s="63" t="str">
        <x:v>bank_observed_corridor_value</x:v>
      </x:c>
      <x:c r="D661" s="63" t="str">
        <x:v>MONEY</x:v>
      </x:c>
      <x:c r="E661" s="63" t="str">
        <x:v>OBSERVED</x:v>
      </x:c>
      <x:c r="F661" s="65" t="n">
        <x:v>649895457.6499993</x:v>
      </x:c>
      <x:c r="G661" s="66"/>
      <x:c r="H661" s="67"/>
      <x:c r="I661" s="63"/>
      <x:c r="J661" s="63" t="str">
        <x:v>ZAR</x:v>
      </x:c>
      <x:c r="K661" s="63" t="str">
        <x:v>ZAR</x:v>
      </x:c>
      <x:c r="L661" s="63" t="str">
        <x:v>2025-06-01</x:v>
      </x:c>
      <x:c r="M661" s="63" t="str">
        <x:v>2026-06-30</x:v>
      </x:c>
      <x:c r="N661" s="63" t="str">
        <x:v>2026-06-30</x:v>
      </x:c>
      <x:c r="O661" s="63" t="str">
        <x:v>E0</x:v>
      </x:c>
      <x:c r="P661" s="63" t="str">
        <x:v>APPROVED</x:v>
      </x:c>
      <x:c r="Q661" s="64" t="b">
        <x:v>0</x:v>
      </x:c>
      <x:c r="R661" s="63" t="str">
        <x:v>GEOGRAPHIC_EXPOSURE</x:v>
      </x:c>
      <x:c r="S661" s="63" t="str">
        <x:v>Syn Bank transaction and relationship simulation</x:v>
      </x:c>
      <x:c r="T661" s="63"/>
      <x:c r="U661" s="63" t="str">
        <x:v>internal://syn-bank/simulation/ltm</x:v>
      </x:c>
      <x:c r="V661" s="63" t="str">
        <x:v>b753dc446c6c702e81b7c395116e1fee4606da7a41144649720ca3da8e445e45</x:v>
      </x:c>
    </x:row>
    <x:row r="662">
      <x:c r="A662" s="63" t="str">
        <x:v>bec:E15:obs:corridor-name:1</x:v>
      </x:c>
      <x:c r="B662" s="63" t="str">
        <x:v>E15</x:v>
      </x:c>
      <x:c r="C662" s="63" t="str">
        <x:v>bank_observed_corridor_country</x:v>
      </x:c>
      <x:c r="D662" s="63" t="str">
        <x:v>CATEGORICAL</x:v>
      </x:c>
      <x:c r="E662" s="63" t="str">
        <x:v>OBSERVED</x:v>
      </x:c>
      <x:c r="F662" s="65"/>
      <x:c r="G662" s="66"/>
      <x:c r="H662" s="67"/>
      <x:c r="I662" s="63" t="str">
        <x:v>China</x:v>
      </x:c>
      <x:c r="J662" s="63"/>
      <x:c r="K662" s="63" t="str">
        <x:v>country</x:v>
      </x:c>
      <x:c r="L662" s="63" t="str">
        <x:v>2025-06-01</x:v>
      </x:c>
      <x:c r="M662" s="63" t="str">
        <x:v>2026-06-30</x:v>
      </x:c>
      <x:c r="N662" s="63" t="str">
        <x:v>2026-06-30</x:v>
      </x:c>
      <x:c r="O662" s="63" t="str">
        <x:v>E0</x:v>
      </x:c>
      <x:c r="P662" s="63" t="str">
        <x:v>APPROVED</x:v>
      </x:c>
      <x:c r="Q662" s="64" t="b">
        <x:v>0</x:v>
      </x:c>
      <x:c r="R662" s="63" t="str">
        <x:v>GEOGRAPHIC_EXPOSURE</x:v>
      </x:c>
      <x:c r="S662" s="63" t="str">
        <x:v>Syn Bank transaction and relationship simulation</x:v>
      </x:c>
      <x:c r="T662" s="63"/>
      <x:c r="U662" s="63" t="str">
        <x:v>internal://syn-bank/simulation/ltm</x:v>
      </x:c>
      <x:c r="V662" s="63" t="str">
        <x:v>cfbdac7ceee3a10a333ed310dfdc206ecb293f368d2241bead9156a02b0f0403</x:v>
      </x:c>
    </x:row>
    <x:row r="663">
      <x:c r="A663" s="63" t="str">
        <x:v>bec:E15:obs:corridor:2</x:v>
      </x:c>
      <x:c r="B663" s="63" t="str">
        <x:v>E15</x:v>
      </x:c>
      <x:c r="C663" s="63" t="str">
        <x:v>bank_observed_corridor_value</x:v>
      </x:c>
      <x:c r="D663" s="63" t="str">
        <x:v>MONEY</x:v>
      </x:c>
      <x:c r="E663" s="63" t="str">
        <x:v>OBSERVED</x:v>
      </x:c>
      <x:c r="F663" s="65" t="n">
        <x:v>639898474.3700006</x:v>
      </x:c>
      <x:c r="G663" s="66"/>
      <x:c r="H663" s="67"/>
      <x:c r="I663" s="63"/>
      <x:c r="J663" s="63" t="str">
        <x:v>ZAR</x:v>
      </x:c>
      <x:c r="K663" s="63" t="str">
        <x:v>ZAR</x:v>
      </x:c>
      <x:c r="L663" s="63" t="str">
        <x:v>2025-06-01</x:v>
      </x:c>
      <x:c r="M663" s="63" t="str">
        <x:v>2026-06-30</x:v>
      </x:c>
      <x:c r="N663" s="63" t="str">
        <x:v>2026-06-30</x:v>
      </x:c>
      <x:c r="O663" s="63" t="str">
        <x:v>E0</x:v>
      </x:c>
      <x:c r="P663" s="63" t="str">
        <x:v>APPROVED</x:v>
      </x:c>
      <x:c r="Q663" s="64" t="b">
        <x:v>0</x:v>
      </x:c>
      <x:c r="R663" s="63" t="str">
        <x:v>GEOGRAPHIC_EXPOSURE</x:v>
      </x:c>
      <x:c r="S663" s="63" t="str">
        <x:v>Syn Bank transaction and relationship simulation</x:v>
      </x:c>
      <x:c r="T663" s="63"/>
      <x:c r="U663" s="63" t="str">
        <x:v>internal://syn-bank/simulation/ltm</x:v>
      </x:c>
      <x:c r="V663" s="63" t="str">
        <x:v>eac8aa02f16cfbfa0796fa533ce68c340e8307ae6142b3d2e6118a3a0acbf70f</x:v>
      </x:c>
    </x:row>
    <x:row r="664">
      <x:c r="A664" s="63" t="str">
        <x:v>bec:E15:obs:corridor-name:2</x:v>
      </x:c>
      <x:c r="B664" s="63" t="str">
        <x:v>E15</x:v>
      </x:c>
      <x:c r="C664" s="63" t="str">
        <x:v>bank_observed_corridor_country</x:v>
      </x:c>
      <x:c r="D664" s="63" t="str">
        <x:v>CATEGORICAL</x:v>
      </x:c>
      <x:c r="E664" s="63" t="str">
        <x:v>OBSERVED</x:v>
      </x:c>
      <x:c r="F664" s="65"/>
      <x:c r="G664" s="66"/>
      <x:c r="H664" s="67"/>
      <x:c r="I664" s="63" t="str">
        <x:v>United Arab Emirates</x:v>
      </x:c>
      <x:c r="J664" s="63"/>
      <x:c r="K664" s="63" t="str">
        <x:v>country</x:v>
      </x:c>
      <x:c r="L664" s="63" t="str">
        <x:v>2025-06-01</x:v>
      </x:c>
      <x:c r="M664" s="63" t="str">
        <x:v>2026-06-30</x:v>
      </x:c>
      <x:c r="N664" s="63" t="str">
        <x:v>2026-06-30</x:v>
      </x:c>
      <x:c r="O664" s="63" t="str">
        <x:v>E0</x:v>
      </x:c>
      <x:c r="P664" s="63" t="str">
        <x:v>APPROVED</x:v>
      </x:c>
      <x:c r="Q664" s="64" t="b">
        <x:v>0</x:v>
      </x:c>
      <x:c r="R664" s="63" t="str">
        <x:v>GEOGRAPHIC_EXPOSURE</x:v>
      </x:c>
      <x:c r="S664" s="63" t="str">
        <x:v>Syn Bank transaction and relationship simulation</x:v>
      </x:c>
      <x:c r="T664" s="63"/>
      <x:c r="U664" s="63" t="str">
        <x:v>internal://syn-bank/simulation/ltm</x:v>
      </x:c>
      <x:c r="V664" s="63" t="str">
        <x:v>7413b9614b27a834d01c7cf5f798aa2b00558809c9f9ca277e7a20fb3aebe8e8</x:v>
      </x:c>
    </x:row>
    <x:row r="665">
      <x:c r="A665" s="63" t="str">
        <x:v>bec:E15:obs:currency:0</x:v>
      </x:c>
      <x:c r="B665" s="63" t="str">
        <x:v>E15</x:v>
      </x:c>
      <x:c r="C665" s="63" t="str">
        <x:v>bank_observed_currency_pair_value</x:v>
      </x:c>
      <x:c r="D665" s="63" t="str">
        <x:v>MONEY</x:v>
      </x:c>
      <x:c r="E665" s="63" t="str">
        <x:v>OBSERVED</x:v>
      </x:c>
      <x:c r="F665" s="65" t="n">
        <x:v>1253664737.009998</x:v>
      </x:c>
      <x:c r="G665" s="66"/>
      <x:c r="H665" s="67"/>
      <x:c r="I665" s="63"/>
      <x:c r="J665" s="63" t="str">
        <x:v>ZAR</x:v>
      </x:c>
      <x:c r="K665" s="63" t="str">
        <x:v>ZAR</x:v>
      </x:c>
      <x:c r="L665" s="63" t="str">
        <x:v>2025-06-01</x:v>
      </x:c>
      <x:c r="M665" s="63" t="str">
        <x:v>2026-06-30</x:v>
      </x:c>
      <x:c r="N665" s="63" t="str">
        <x:v>2026-06-30</x:v>
      </x:c>
      <x:c r="O665" s="63" t="str">
        <x:v>E0</x:v>
      </x:c>
      <x:c r="P665" s="63" t="str">
        <x:v>APPROVED</x:v>
      </x:c>
      <x:c r="Q665" s="64" t="b">
        <x:v>1</x:v>
      </x:c>
      <x:c r="R665" s="63" t="str">
        <x:v>CURRENCY_AND_COMMODITY_EXPOSURE</x:v>
      </x:c>
      <x:c r="S665" s="63" t="str">
        <x:v>Syn Bank transaction and relationship simulation</x:v>
      </x:c>
      <x:c r="T665" s="63"/>
      <x:c r="U665" s="63" t="str">
        <x:v>internal://syn-bank/simulation/ltm</x:v>
      </x:c>
      <x:c r="V665" s="63" t="str">
        <x:v>18e8d6c84d2ab3d3ff66b853356f90f15a81f90795bf3acabfb98b8e3b44f6b3</x:v>
      </x:c>
    </x:row>
    <x:row r="666">
      <x:c r="A666" s="63" t="str">
        <x:v>bec:E15:obs:currency-pair:0</x:v>
      </x:c>
      <x:c r="B666" s="63" t="str">
        <x:v>E15</x:v>
      </x:c>
      <x:c r="C666" s="63" t="str">
        <x:v>bank_observed_currency_pair</x:v>
      </x:c>
      <x:c r="D666" s="63" t="str">
        <x:v>CATEGORICAL</x:v>
      </x:c>
      <x:c r="E666" s="63" t="str">
        <x:v>OBSERVED</x:v>
      </x:c>
      <x:c r="F666" s="65"/>
      <x:c r="G666" s="66"/>
      <x:c r="H666" s="67"/>
      <x:c r="I666" s="63" t="str">
        <x:v>AED/ZAR</x:v>
      </x:c>
      <x:c r="J666" s="63"/>
      <x:c r="K666" s="63" t="str">
        <x:v>currency_pair</x:v>
      </x:c>
      <x:c r="L666" s="63" t="str">
        <x:v>2025-06-01</x:v>
      </x:c>
      <x:c r="M666" s="63" t="str">
        <x:v>2026-06-30</x:v>
      </x:c>
      <x:c r="N666" s="63" t="str">
        <x:v>2026-06-30</x:v>
      </x:c>
      <x:c r="O666" s="63" t="str">
        <x:v>E0</x:v>
      </x:c>
      <x:c r="P666" s="63" t="str">
        <x:v>APPROVED</x:v>
      </x:c>
      <x:c r="Q666" s="64" t="b">
        <x:v>0</x:v>
      </x:c>
      <x:c r="R666" s="63" t="str">
        <x:v>CURRENCY_AND_COMMODITY_EXPOSURE</x:v>
      </x:c>
      <x:c r="S666" s="63" t="str">
        <x:v>Syn Bank transaction and relationship simulation</x:v>
      </x:c>
      <x:c r="T666" s="63"/>
      <x:c r="U666" s="63" t="str">
        <x:v>internal://syn-bank/simulation/ltm</x:v>
      </x:c>
      <x:c r="V666" s="63" t="str">
        <x:v>b7d37d1f9bbeb509a8d2293fefa624d7baa852dcc09e7cef8039194eda04aac1</x:v>
      </x:c>
    </x:row>
    <x:row r="667">
      <x:c r="A667" s="63" t="str">
        <x:v>bec:E15:obs:currency:1</x:v>
      </x:c>
      <x:c r="B667" s="63" t="str">
        <x:v>E15</x:v>
      </x:c>
      <x:c r="C667" s="63" t="str">
        <x:v>bank_observed_currency_pair_value</x:v>
      </x:c>
      <x:c r="D667" s="63" t="str">
        <x:v>MONEY</x:v>
      </x:c>
      <x:c r="E667" s="63" t="str">
        <x:v>OBSERVED</x:v>
      </x:c>
      <x:c r="F667" s="65" t="n">
        <x:v>1225355368.290003</x:v>
      </x:c>
      <x:c r="G667" s="66"/>
      <x:c r="H667" s="67"/>
      <x:c r="I667" s="63"/>
      <x:c r="J667" s="63" t="str">
        <x:v>ZAR</x:v>
      </x:c>
      <x:c r="K667" s="63" t="str">
        <x:v>ZAR</x:v>
      </x:c>
      <x:c r="L667" s="63" t="str">
        <x:v>2025-06-01</x:v>
      </x:c>
      <x:c r="M667" s="63" t="str">
        <x:v>2026-06-30</x:v>
      </x:c>
      <x:c r="N667" s="63" t="str">
        <x:v>2026-06-30</x:v>
      </x:c>
      <x:c r="O667" s="63" t="str">
        <x:v>E0</x:v>
      </x:c>
      <x:c r="P667" s="63" t="str">
        <x:v>APPROVED</x:v>
      </x:c>
      <x:c r="Q667" s="64" t="b">
        <x:v>0</x:v>
      </x:c>
      <x:c r="R667" s="63" t="str">
        <x:v>CURRENCY_AND_COMMODITY_EXPOSURE</x:v>
      </x:c>
      <x:c r="S667" s="63" t="str">
        <x:v>Syn Bank transaction and relationship simulation</x:v>
      </x:c>
      <x:c r="T667" s="63"/>
      <x:c r="U667" s="63" t="str">
        <x:v>internal://syn-bank/simulation/ltm</x:v>
      </x:c>
      <x:c r="V667" s="63" t="str">
        <x:v>6a25b95de845d4f348bf678a37030bd5fe9e83834da708368cd2ddd4951c273b</x:v>
      </x:c>
    </x:row>
    <x:row r="668">
      <x:c r="A668" s="63" t="str">
        <x:v>bec:E15:obs:currency-pair:1</x:v>
      </x:c>
      <x:c r="B668" s="63" t="str">
        <x:v>E15</x:v>
      </x:c>
      <x:c r="C668" s="63" t="str">
        <x:v>bank_observed_currency_pair</x:v>
      </x:c>
      <x:c r="D668" s="63" t="str">
        <x:v>CATEGORICAL</x:v>
      </x:c>
      <x:c r="E668" s="63" t="str">
        <x:v>OBSERVED</x:v>
      </x:c>
      <x:c r="F668" s="65"/>
      <x:c r="G668" s="66"/>
      <x:c r="H668" s="67"/>
      <x:c r="I668" s="63" t="str">
        <x:v>CNY/ZAR</x:v>
      </x:c>
      <x:c r="J668" s="63"/>
      <x:c r="K668" s="63" t="str">
        <x:v>currency_pair</x:v>
      </x:c>
      <x:c r="L668" s="63" t="str">
        <x:v>2025-06-01</x:v>
      </x:c>
      <x:c r="M668" s="63" t="str">
        <x:v>2026-06-30</x:v>
      </x:c>
      <x:c r="N668" s="63" t="str">
        <x:v>2026-06-30</x:v>
      </x:c>
      <x:c r="O668" s="63" t="str">
        <x:v>E0</x:v>
      </x:c>
      <x:c r="P668" s="63" t="str">
        <x:v>APPROVED</x:v>
      </x:c>
      <x:c r="Q668" s="64" t="b">
        <x:v>0</x:v>
      </x:c>
      <x:c r="R668" s="63" t="str">
        <x:v>CURRENCY_AND_COMMODITY_EXPOSURE</x:v>
      </x:c>
      <x:c r="S668" s="63" t="str">
        <x:v>Syn Bank transaction and relationship simulation</x:v>
      </x:c>
      <x:c r="T668" s="63"/>
      <x:c r="U668" s="63" t="str">
        <x:v>internal://syn-bank/simulation/ltm</x:v>
      </x:c>
      <x:c r="V668" s="63" t="str">
        <x:v>ee7cb98c0154bb121908659036c2f147d0af437177532bb892d9433c9a3c9991</x:v>
      </x:c>
    </x:row>
    <x:row r="669">
      <x:c r="A669" s="63" t="str">
        <x:v>bec:E15:obs:currency:2</x:v>
      </x:c>
      <x:c r="B669" s="63" t="str">
        <x:v>E15</x:v>
      </x:c>
      <x:c r="C669" s="63" t="str">
        <x:v>bank_observed_currency_pair_value</x:v>
      </x:c>
      <x:c r="D669" s="63" t="str">
        <x:v>MONEY</x:v>
      </x:c>
      <x:c r="E669" s="63" t="str">
        <x:v>OBSERVED</x:v>
      </x:c>
      <x:c r="F669" s="65" t="n">
        <x:v>1181048427.24</x:v>
      </x:c>
      <x:c r="G669" s="66"/>
      <x:c r="H669" s="67"/>
      <x:c r="I669" s="63"/>
      <x:c r="J669" s="63" t="str">
        <x:v>ZAR</x:v>
      </x:c>
      <x:c r="K669" s="63" t="str">
        <x:v>ZAR</x:v>
      </x:c>
      <x:c r="L669" s="63" t="str">
        <x:v>2025-06-01</x:v>
      </x:c>
      <x:c r="M669" s="63" t="str">
        <x:v>2026-06-30</x:v>
      </x:c>
      <x:c r="N669" s="63" t="str">
        <x:v>2026-06-30</x:v>
      </x:c>
      <x:c r="O669" s="63" t="str">
        <x:v>E0</x:v>
      </x:c>
      <x:c r="P669" s="63" t="str">
        <x:v>APPROVED</x:v>
      </x:c>
      <x:c r="Q669" s="64" t="b">
        <x:v>0</x:v>
      </x:c>
      <x:c r="R669" s="63" t="str">
        <x:v>CURRENCY_AND_COMMODITY_EXPOSURE</x:v>
      </x:c>
      <x:c r="S669" s="63" t="str">
        <x:v>Syn Bank transaction and relationship simulation</x:v>
      </x:c>
      <x:c r="T669" s="63"/>
      <x:c r="U669" s="63" t="str">
        <x:v>internal://syn-bank/simulation/ltm</x:v>
      </x:c>
      <x:c r="V669" s="63" t="str">
        <x:v>d9bca89352c8569d3371cbd49bd8ba16435df329a718baa9239e1fa3781b660c</x:v>
      </x:c>
    </x:row>
    <x:row r="670">
      <x:c r="A670" s="63" t="str">
        <x:v>bec:E15:obs:currency-pair:2</x:v>
      </x:c>
      <x:c r="B670" s="63" t="str">
        <x:v>E15</x:v>
      </x:c>
      <x:c r="C670" s="63" t="str">
        <x:v>bank_observed_currency_pair</x:v>
      </x:c>
      <x:c r="D670" s="63" t="str">
        <x:v>CATEGORICAL</x:v>
      </x:c>
      <x:c r="E670" s="63" t="str">
        <x:v>OBSERVED</x:v>
      </x:c>
      <x:c r="F670" s="65"/>
      <x:c r="G670" s="66"/>
      <x:c r="H670" s="67"/>
      <x:c r="I670" s="63" t="str">
        <x:v>USD/ZAR</x:v>
      </x:c>
      <x:c r="J670" s="63"/>
      <x:c r="K670" s="63" t="str">
        <x:v>currency_pair</x:v>
      </x:c>
      <x:c r="L670" s="63" t="str">
        <x:v>2025-06-01</x:v>
      </x:c>
      <x:c r="M670" s="63" t="str">
        <x:v>2026-06-30</x:v>
      </x:c>
      <x:c r="N670" s="63" t="str">
        <x:v>2026-06-30</x:v>
      </x:c>
      <x:c r="O670" s="63" t="str">
        <x:v>E0</x:v>
      </x:c>
      <x:c r="P670" s="63" t="str">
        <x:v>APPROVED</x:v>
      </x:c>
      <x:c r="Q670" s="64" t="b">
        <x:v>0</x:v>
      </x:c>
      <x:c r="R670" s="63" t="str">
        <x:v>CURRENCY_AND_COMMODITY_EXPOSURE</x:v>
      </x:c>
      <x:c r="S670" s="63" t="str">
        <x:v>Syn Bank transaction and relationship simulation</x:v>
      </x:c>
      <x:c r="T670" s="63"/>
      <x:c r="U670" s="63" t="str">
        <x:v>internal://syn-bank/simulation/ltm</x:v>
      </x:c>
      <x:c r="V670" s="63" t="str">
        <x:v>04d236e2fe22058a814f4f8aaf14585b0a3314140b7126d78f7c2a4e94eda625</x:v>
      </x:c>
    </x:row>
    <x:row r="671">
      <x:c r="A671" s="63" t="str">
        <x:v>bec:E15:obs:country-count</x:v>
      </x:c>
      <x:c r="B671" s="63" t="str">
        <x:v>E15</x:v>
      </x:c>
      <x:c r="C671" s="63" t="str">
        <x:v>bank_observed_active_country_count</x:v>
      </x:c>
      <x:c r="D671" s="63" t="str">
        <x:v>COUNT</x:v>
      </x:c>
      <x:c r="E671" s="63" t="str">
        <x:v>OBSERVED</x:v>
      </x:c>
      <x:c r="F671" s="65"/>
      <x:c r="G671" s="66"/>
      <x:c r="H671" s="67" t="n">
        <x:v>10</x:v>
      </x:c>
      <x:c r="I671" s="63"/>
      <x:c r="J671" s="63"/>
      <x:c r="K671" s="63" t="str">
        <x:v>countries</x:v>
      </x:c>
      <x:c r="L671" s="63" t="str">
        <x:v>2025-06-01</x:v>
      </x:c>
      <x:c r="M671" s="63" t="str">
        <x:v>2026-06-30</x:v>
      </x:c>
      <x:c r="N671" s="63" t="str">
        <x:v>2026-06-30</x:v>
      </x:c>
      <x:c r="O671" s="63" t="str">
        <x:v>E0</x:v>
      </x:c>
      <x:c r="P671" s="63" t="str">
        <x:v>APPROVED</x:v>
      </x:c>
      <x:c r="Q671" s="64" t="b">
        <x:v>1</x:v>
      </x:c>
      <x:c r="R671" s="63" t="str">
        <x:v>GEOGRAPHIC_EXPOSURE</x:v>
      </x:c>
      <x:c r="S671" s="63" t="str">
        <x:v>Syn Bank transaction and relationship simulation</x:v>
      </x:c>
      <x:c r="T671" s="63"/>
      <x:c r="U671" s="63" t="str">
        <x:v>internal://syn-bank/simulation/ltm</x:v>
      </x:c>
      <x:c r="V671" s="63" t="str">
        <x:v>00d12c20596f89d24d6f038c66392a20e2ade0116043a298af7b8796610ead0d</x:v>
      </x:c>
    </x:row>
    <x:row r="672">
      <x:c r="A672" s="63" t="str">
        <x:v>bec:E15:obs:relationship-breadth</x:v>
      </x:c>
      <x:c r="B672" s="63" t="str">
        <x:v>E15</x:v>
      </x:c>
      <x:c r="C672" s="63" t="str">
        <x:v>bank_observed_product_relationship_breadth</x:v>
      </x:c>
      <x:c r="D672" s="63" t="str">
        <x:v>COUNT</x:v>
      </x:c>
      <x:c r="E672" s="63" t="str">
        <x:v>OBSERVED</x:v>
      </x:c>
      <x:c r="F672" s="65"/>
      <x:c r="G672" s="66"/>
      <x:c r="H672" s="67" t="n">
        <x:v>5</x:v>
      </x:c>
      <x:c r="I672" s="63"/>
      <x:c r="J672" s="63"/>
      <x:c r="K672" s="63" t="str">
        <x:v>products</x:v>
      </x:c>
      <x:c r="L672" s="63" t="str">
        <x:v>2025-06-01</x:v>
      </x:c>
      <x:c r="M672" s="63" t="str">
        <x:v>2026-06-30</x:v>
      </x:c>
      <x:c r="N672" s="63" t="str">
        <x:v>2026-06-30</x:v>
      </x:c>
      <x:c r="O672" s="63" t="str">
        <x:v>E0</x:v>
      </x:c>
      <x:c r="P672" s="63" t="str">
        <x:v>APPROVED</x:v>
      </x:c>
      <x:c r="Q672" s="64" t="b">
        <x:v>1</x:v>
      </x:c>
      <x:c r="R672" s="63" t="str">
        <x:v>OPERATING_MODEL</x:v>
      </x:c>
      <x:c r="S672" s="63" t="str">
        <x:v>Syn Bank transaction and relationship simulation</x:v>
      </x:c>
      <x:c r="T672" s="63"/>
      <x:c r="U672" s="63" t="str">
        <x:v>internal://syn-bank/simulation/ltm</x:v>
      </x:c>
      <x:c r="V672" s="63" t="str">
        <x:v>a9b6e29437f092efcce7bc468baab50ee6ef39ad4d76e44424139da7a23668a9</x:v>
      </x:c>
    </x:row>
    <x:row r="673">
      <x:c r="A673" s="63" t="str">
        <x:v>bec:E15:obs:latent:operating_scale</x:v>
      </x:c>
      <x:c r="B673" s="63" t="str">
        <x:v>E15</x:v>
      </x:c>
      <x:c r="C673" s="63" t="str">
        <x:v>bank_observed_operating_scale_index</x:v>
      </x:c>
      <x:c r="D673" s="63" t="str">
        <x:v>RATIO</x:v>
      </x:c>
      <x:c r="E673" s="63" t="str">
        <x:v>OBSERVED</x:v>
      </x:c>
      <x:c r="F673" s="65"/>
      <x:c r="G673" s="66" t="n">
        <x:v>0.45</x:v>
      </x:c>
      <x:c r="H673" s="67"/>
      <x:c r="I673" s="63"/>
      <x:c r="J673" s="63"/>
      <x:c r="K673" s="63" t="str">
        <x:v>index_0_1</x:v>
      </x:c>
      <x:c r="L673" s="63" t="str">
        <x:v>2025-06-01</x:v>
      </x:c>
      <x:c r="M673" s="63" t="str">
        <x:v>2026-06-30</x:v>
      </x:c>
      <x:c r="N673" s="63" t="str">
        <x:v>2026-06-30</x:v>
      </x:c>
      <x:c r="O673" s="63" t="str">
        <x:v>E0</x:v>
      </x:c>
      <x:c r="P673" s="63" t="str">
        <x:v>APPROVED</x:v>
      </x:c>
      <x:c r="Q673" s="64" t="b">
        <x:v>0</x:v>
      </x:c>
      <x:c r="R673" s="63" t="str">
        <x:v>OPERATING_MODEL</x:v>
      </x:c>
      <x:c r="S673" s="63" t="str">
        <x:v>Syn Bank transaction and relationship simulation</x:v>
      </x:c>
      <x:c r="T673" s="63"/>
      <x:c r="U673" s="63" t="str">
        <x:v>internal://syn-bank/simulation/ltm</x:v>
      </x:c>
      <x:c r="V673" s="63" t="str">
        <x:v>71405e06472e78a7ecbca4a369b3f6204128f5ae67d78fbcc708dd05de035b7a</x:v>
      </x:c>
    </x:row>
    <x:row r="674">
      <x:c r="A674" s="63" t="str">
        <x:v>bec:E15:obs:latent:working_capital_intensity</x:v>
      </x:c>
      <x:c r="B674" s="63" t="str">
        <x:v>E15</x:v>
      </x:c>
      <x:c r="C674" s="63" t="str">
        <x:v>bank_observed_working_capital_intensity_index</x:v>
      </x:c>
      <x:c r="D674" s="63" t="str">
        <x:v>RATIO</x:v>
      </x:c>
      <x:c r="E674" s="63" t="str">
        <x:v>OBSERVED</x:v>
      </x:c>
      <x:c r="F674" s="65"/>
      <x:c r="G674" s="66" t="n">
        <x:v>0.405</x:v>
      </x:c>
      <x:c r="H674" s="67"/>
      <x:c r="I674" s="63"/>
      <x:c r="J674" s="63"/>
      <x:c r="K674" s="63" t="str">
        <x:v>index_0_1</x:v>
      </x:c>
      <x:c r="L674" s="63" t="str">
        <x:v>2025-06-01</x:v>
      </x:c>
      <x:c r="M674" s="63" t="str">
        <x:v>2026-06-30</x:v>
      </x:c>
      <x:c r="N674" s="63" t="str">
        <x:v>2026-06-30</x:v>
      </x:c>
      <x:c r="O674" s="63" t="str">
        <x:v>E0</x:v>
      </x:c>
      <x:c r="P674" s="63" t="str">
        <x:v>APPROVED</x:v>
      </x:c>
      <x:c r="Q674" s="64" t="b">
        <x:v>0</x:v>
      </x:c>
      <x:c r="R674" s="63" t="str">
        <x:v>WORKING_CAPITAL_CYCLE</x:v>
      </x:c>
      <x:c r="S674" s="63" t="str">
        <x:v>Syn Bank transaction and relationship simulation</x:v>
      </x:c>
      <x:c r="T674" s="63"/>
      <x:c r="U674" s="63" t="str">
        <x:v>internal://syn-bank/simulation/ltm</x:v>
      </x:c>
      <x:c r="V674" s="63" t="str">
        <x:v>30f7f8577c7ea845692f51f12b162f0f2c51d554cb8fa07d4eadc963b9a441d8</x:v>
      </x:c>
    </x:row>
    <x:row r="675">
      <x:c r="A675" s="63" t="str">
        <x:v>bec:E15:obs:latent:liquidity_volatility</x:v>
      </x:c>
      <x:c r="B675" s="63" t="str">
        <x:v>E15</x:v>
      </x:c>
      <x:c r="C675" s="63" t="str">
        <x:v>bank_observed_liquidity_volatility_index</x:v>
      </x:c>
      <x:c r="D675" s="63" t="str">
        <x:v>RATIO</x:v>
      </x:c>
      <x:c r="E675" s="63" t="str">
        <x:v>OBSERVED</x:v>
      </x:c>
      <x:c r="F675" s="65"/>
      <x:c r="G675" s="66" t="n">
        <x:v>0.115</x:v>
      </x:c>
      <x:c r="H675" s="67"/>
      <x:c r="I675" s="63"/>
      <x:c r="J675" s="63"/>
      <x:c r="K675" s="63" t="str">
        <x:v>index_0_1</x:v>
      </x:c>
      <x:c r="L675" s="63" t="str">
        <x:v>2025-06-01</x:v>
      </x:c>
      <x:c r="M675" s="63" t="str">
        <x:v>2026-06-30</x:v>
      </x:c>
      <x:c r="N675" s="63" t="str">
        <x:v>2026-06-30</x:v>
      </x:c>
      <x:c r="O675" s="63" t="str">
        <x:v>E0</x:v>
      </x:c>
      <x:c r="P675" s="63" t="str">
        <x:v>APPROVED</x:v>
      </x:c>
      <x:c r="Q675" s="64" t="b">
        <x:v>0</x:v>
      </x:c>
      <x:c r="R675" s="63" t="str">
        <x:v>LIQUIDITY_AND_BUFFER</x:v>
      </x:c>
      <x:c r="S675" s="63" t="str">
        <x:v>Syn Bank transaction and relationship simulation</x:v>
      </x:c>
      <x:c r="T675" s="63"/>
      <x:c r="U675" s="63" t="str">
        <x:v>internal://syn-bank/simulation/ltm</x:v>
      </x:c>
      <x:c r="V675" s="63" t="str">
        <x:v>a33bdf02460a0c03cab1b889f0aa595e96fdd03d870f6821fdd7b8f43e7776ef</x:v>
      </x:c>
    </x:row>
    <x:row r="676">
      <x:c r="A676" s="63" t="str">
        <x:v>bec:E15:obs:latent:international_exposure</x:v>
      </x:c>
      <x:c r="B676" s="63" t="str">
        <x:v>E15</x:v>
      </x:c>
      <x:c r="C676" s="63" t="str">
        <x:v>bank_observed_international_exposure_index</x:v>
      </x:c>
      <x:c r="D676" s="63" t="str">
        <x:v>RATIO</x:v>
      </x:c>
      <x:c r="E676" s="63" t="str">
        <x:v>OBSERVED</x:v>
      </x:c>
      <x:c r="F676" s="65"/>
      <x:c r="G676" s="66" t="n">
        <x:v>0.595</x:v>
      </x:c>
      <x:c r="H676" s="67"/>
      <x:c r="I676" s="63"/>
      <x:c r="J676" s="63"/>
      <x:c r="K676" s="63" t="str">
        <x:v>index_0_1</x:v>
      </x:c>
      <x:c r="L676" s="63" t="str">
        <x:v>2025-06-01</x:v>
      </x:c>
      <x:c r="M676" s="63" t="str">
        <x:v>2026-06-30</x:v>
      </x:c>
      <x:c r="N676" s="63" t="str">
        <x:v>2026-06-30</x:v>
      </x:c>
      <x:c r="O676" s="63" t="str">
        <x:v>E0</x:v>
      </x:c>
      <x:c r="P676" s="63" t="str">
        <x:v>APPROVED</x:v>
      </x:c>
      <x:c r="Q676" s="64" t="b">
        <x:v>0</x:v>
      </x:c>
      <x:c r="R676" s="63" t="str">
        <x:v>GEOGRAPHIC_EXPOSURE</x:v>
      </x:c>
      <x:c r="S676" s="63" t="str">
        <x:v>Syn Bank transaction and relationship simulation</x:v>
      </x:c>
      <x:c r="T676" s="63"/>
      <x:c r="U676" s="63" t="str">
        <x:v>internal://syn-bank/simulation/ltm</x:v>
      </x:c>
      <x:c r="V676" s="63" t="str">
        <x:v>4beb674b4e3580f63033aecb4c1b35f52b115fb66d91b94427aa1df262621f0e</x:v>
      </x:c>
    </x:row>
    <x:row r="677">
      <x:c r="A677" s="63" t="str">
        <x:v>bec:E15:obs:latent:financing_need</x:v>
      </x:c>
      <x:c r="B677" s="63" t="str">
        <x:v>E15</x:v>
      </x:c>
      <x:c r="C677" s="63" t="str">
        <x:v>bank_observed_financing_need_index</x:v>
      </x:c>
      <x:c r="D677" s="63" t="str">
        <x:v>RATIO</x:v>
      </x:c>
      <x:c r="E677" s="63" t="str">
        <x:v>OBSERVED</x:v>
      </x:c>
      <x:c r="F677" s="65"/>
      <x:c r="G677" s="66" t="n">
        <x:v>0.04</x:v>
      </x:c>
      <x:c r="H677" s="67"/>
      <x:c r="I677" s="63"/>
      <x:c r="J677" s="63"/>
      <x:c r="K677" s="63" t="str">
        <x:v>index_0_1</x:v>
      </x:c>
      <x:c r="L677" s="63" t="str">
        <x:v>2025-06-01</x:v>
      </x:c>
      <x:c r="M677" s="63" t="str">
        <x:v>2026-06-30</x:v>
      </x:c>
      <x:c r="N677" s="63" t="str">
        <x:v>2026-06-30</x:v>
      </x:c>
      <x:c r="O677" s="63" t="str">
        <x:v>E0</x:v>
      </x:c>
      <x:c r="P677" s="63" t="str">
        <x:v>APPROVED</x:v>
      </x:c>
      <x:c r="Q677" s="64" t="b">
        <x:v>0</x:v>
      </x:c>
      <x:c r="R677" s="63" t="str">
        <x:v>FUNDING_STRUCTURE</x:v>
      </x:c>
      <x:c r="S677" s="63" t="str">
        <x:v>Syn Bank transaction and relationship simulation</x:v>
      </x:c>
      <x:c r="T677" s="63"/>
      <x:c r="U677" s="63" t="str">
        <x:v>internal://syn-bank/simulation/ltm</x:v>
      </x:c>
      <x:c r="V677" s="63" t="str">
        <x:v>c900df0dffa654ed8244906b53b9d915ae0364de40c88d6daca91951334d57ce</x:v>
      </x:c>
    </x:row>
    <x:row r="678">
      <x:c r="A678" s="63" t="str">
        <x:v>bec:E15:obs:latent:event_intensity</x:v>
      </x:c>
      <x:c r="B678" s="63" t="str">
        <x:v>E15</x:v>
      </x:c>
      <x:c r="C678" s="63" t="str">
        <x:v>bank_observed_event_intensity_index</x:v>
      </x:c>
      <x:c r="D678" s="63" t="str">
        <x:v>RATIO</x:v>
      </x:c>
      <x:c r="E678" s="63" t="str">
        <x:v>OBSERVED</x:v>
      </x:c>
      <x:c r="F678" s="65"/>
      <x:c r="G678" s="66" t="n">
        <x:v>0.844</x:v>
      </x:c>
      <x:c r="H678" s="67"/>
      <x:c r="I678" s="63"/>
      <x:c r="J678" s="63"/>
      <x:c r="K678" s="63" t="str">
        <x:v>index_0_1</x:v>
      </x:c>
      <x:c r="L678" s="63" t="str">
        <x:v>2025-06-01</x:v>
      </x:c>
      <x:c r="M678" s="63" t="str">
        <x:v>2026-06-30</x:v>
      </x:c>
      <x:c r="N678" s="63" t="str">
        <x:v>2026-06-30</x:v>
      </x:c>
      <x:c r="O678" s="63" t="str">
        <x:v>E0</x:v>
      </x:c>
      <x:c r="P678" s="63" t="str">
        <x:v>APPROVED</x:v>
      </x:c>
      <x:c r="Q678" s="64" t="b">
        <x:v>0</x:v>
      </x:c>
      <x:c r="R678" s="63" t="str">
        <x:v>STRATEGY_ACTIONS_AND_ESG</x:v>
      </x:c>
      <x:c r="S678" s="63" t="str">
        <x:v>Syn Bank transaction and relationship simulation</x:v>
      </x:c>
      <x:c r="T678" s="63"/>
      <x:c r="U678" s="63" t="str">
        <x:v>internal://syn-bank/simulation/ltm</x:v>
      </x:c>
      <x:c r="V678" s="63" t="str">
        <x:v>a8c9e641e6fb4508dd9dcd339354607d506542dece5c285fda6238306f4584f2</x:v>
      </x:c>
    </x:row>
    <x:row r="679">
      <x:c r="A679" s="63" t="str">
        <x:v>bec:E15:obs:latent:relationship_complexity</x:v>
      </x:c>
      <x:c r="B679" s="63" t="str">
        <x:v>E15</x:v>
      </x:c>
      <x:c r="C679" s="63" t="str">
        <x:v>bank_observed_relationship_complexity_index</x:v>
      </x:c>
      <x:c r="D679" s="63" t="str">
        <x:v>RATIO</x:v>
      </x:c>
      <x:c r="E679" s="63" t="str">
        <x:v>OBSERVED</x:v>
      </x:c>
      <x:c r="F679" s="65"/>
      <x:c r="G679" s="66" t="n">
        <x:v>0.942</x:v>
      </x:c>
      <x:c r="H679" s="67"/>
      <x:c r="I679" s="63"/>
      <x:c r="J679" s="63"/>
      <x:c r="K679" s="63" t="str">
        <x:v>index_0_1</x:v>
      </x:c>
      <x:c r="L679" s="63" t="str">
        <x:v>2025-06-01</x:v>
      </x:c>
      <x:c r="M679" s="63" t="str">
        <x:v>2026-06-30</x:v>
      </x:c>
      <x:c r="N679" s="63" t="str">
        <x:v>2026-06-30</x:v>
      </x:c>
      <x:c r="O679" s="63" t="str">
        <x:v>E0</x:v>
      </x:c>
      <x:c r="P679" s="63" t="str">
        <x:v>APPROVED</x:v>
      </x:c>
      <x:c r="Q679" s="64" t="b">
        <x:v>0</x:v>
      </x:c>
      <x:c r="R679" s="63" t="str">
        <x:v>OPERATING_MODEL</x:v>
      </x:c>
      <x:c r="S679" s="63" t="str">
        <x:v>Syn Bank transaction and relationship simulation</x:v>
      </x:c>
      <x:c r="T679" s="63"/>
      <x:c r="U679" s="63" t="str">
        <x:v>internal://syn-bank/simulation/ltm</x:v>
      </x:c>
      <x:c r="V679" s="63" t="str">
        <x:v>7aedd66f2818ceab3f8efdb02b9020d003ff5706cf31ec7ac5f708b28ae17f95</x:v>
      </x:c>
    </x:row>
    <x:row r="680">
      <x:c r="A680" s="63" t="str">
        <x:v>bec:E15:obs:events:trade-90d</x:v>
      </x:c>
      <x:c r="B680" s="63" t="str">
        <x:v>E15</x:v>
      </x:c>
      <x:c r="C680" s="63" t="str">
        <x:v>bank_observed_trade_events_next_90d</x:v>
      </x:c>
      <x:c r="D680" s="63" t="str">
        <x:v>COUNT</x:v>
      </x:c>
      <x:c r="E680" s="63" t="str">
        <x:v>OBSERVED</x:v>
      </x:c>
      <x:c r="F680" s="65"/>
      <x:c r="G680" s="66"/>
      <x:c r="H680" s="67" t="n">
        <x:v>6</x:v>
      </x:c>
      <x:c r="I680" s="63"/>
      <x:c r="J680" s="63"/>
      <x:c r="K680" s="63" t="str">
        <x:v>events</x:v>
      </x:c>
      <x:c r="L680" s="63" t="str">
        <x:v>2025-06-01</x:v>
      </x:c>
      <x:c r="M680" s="63" t="str">
        <x:v>2026-06-30</x:v>
      </x:c>
      <x:c r="N680" s="63" t="str">
        <x:v>2026-06-30</x:v>
      </x:c>
      <x:c r="O680" s="63" t="str">
        <x:v>E0</x:v>
      </x:c>
      <x:c r="P680" s="63" t="str">
        <x:v>APPROVED</x:v>
      </x:c>
      <x:c r="Q680" s="64" t="b">
        <x:v>1</x:v>
      </x:c>
      <x:c r="R680" s="63" t="str">
        <x:v>OPERATING_MODEL, WORKING_CAPITAL_CYCLE</x:v>
      </x:c>
      <x:c r="S680" s="63" t="str">
        <x:v>Syn Bank transaction and relationship simulation</x:v>
      </x:c>
      <x:c r="T680" s="63"/>
      <x:c r="U680" s="63" t="str">
        <x:v>internal://syn-bank/simulation/ltm</x:v>
      </x:c>
      <x:c r="V680" s="63" t="str">
        <x:v>ce226273e89e08caf5a5a03a64fab7cf795aa5ea939dd5f261323456a8c68dd1</x:v>
      </x:c>
    </x:row>
    <x:row r="681">
      <x:c r="A681" s="63" t="str">
        <x:v>bec:E15:obs:events:trade-90d-value</x:v>
      </x:c>
      <x:c r="B681" s="63" t="str">
        <x:v>E15</x:v>
      </x:c>
      <x:c r="C681" s="63" t="str">
        <x:v>bank_observed_trade_events_value_next_90d</x:v>
      </x:c>
      <x:c r="D681" s="63" t="str">
        <x:v>MONEY</x:v>
      </x:c>
      <x:c r="E681" s="63" t="str">
        <x:v>OBSERVED</x:v>
      </x:c>
      <x:c r="F681" s="65" t="n">
        <x:v>11054249.46</x:v>
      </x:c>
      <x:c r="G681" s="66"/>
      <x:c r="H681" s="67"/>
      <x:c r="I681" s="63"/>
      <x:c r="J681" s="63" t="str">
        <x:v>ZAR</x:v>
      </x:c>
      <x:c r="K681" s="63" t="str">
        <x:v>ZAR</x:v>
      </x:c>
      <x:c r="L681" s="63" t="str">
        <x:v>2025-06-01</x:v>
      </x:c>
      <x:c r="M681" s="63" t="str">
        <x:v>2026-06-30</x:v>
      </x:c>
      <x:c r="N681" s="63" t="str">
        <x:v>2026-06-30</x:v>
      </x:c>
      <x:c r="O681" s="63" t="str">
        <x:v>E0</x:v>
      </x:c>
      <x:c r="P681" s="63" t="str">
        <x:v>APPROVED</x:v>
      </x:c>
      <x:c r="Q681" s="64" t="b">
        <x:v>0</x:v>
      </x:c>
      <x:c r="R681" s="63" t="str">
        <x:v>WORKING_CAPITAL_CYCLE</x:v>
      </x:c>
      <x:c r="S681" s="63" t="str">
        <x:v>Syn Bank transaction and relationship simulation</x:v>
      </x:c>
      <x:c r="T681" s="63"/>
      <x:c r="U681" s="63" t="str">
        <x:v>internal://syn-bank/simulation/ltm</x:v>
      </x:c>
      <x:c r="V681" s="63" t="str">
        <x:v>82d6b81e4212b96d7fbe1ac839f4cc52d5907c07785664b60487d421b6e3cfa9</x:v>
      </x:c>
    </x:row>
    <x:row r="682">
      <x:c r="A682" s="63" t="str">
        <x:v>bec:E15:struct:operating-model</x:v>
      </x:c>
      <x:c r="B682" s="63" t="str">
        <x:v>E15</x:v>
      </x:c>
      <x:c r="C682" s="63" t="str">
        <x:v>sector_operating_model</x:v>
      </x:c>
      <x:c r="D682" s="63" t="str">
        <x:v>TEXTUAL</x:v>
      </x:c>
      <x:c r="E682" s="63" t="str">
        <x:v>SCENARIO</x:v>
      </x:c>
      <x:c r="F682" s="65"/>
      <x:c r="G682" s="66"/>
      <x:c r="H682" s="67"/>
      <x:c r="I682" s="63" t="str">
        <x:v>Platform/holding operator with international investment holdings and treasury-managed portfolio cash.</x:v>
      </x:c>
      <x:c r="J682" s="63"/>
      <x:c r="K682" s="63" t="str">
        <x:v>statement</x:v>
      </x:c>
      <x:c r="L682" s="63" t="str">
        <x:v>2025-06-01</x:v>
      </x:c>
      <x:c r="M682" s="63" t="str">
        <x:v>2026-06-30</x:v>
      </x:c>
      <x:c r="N682" s="63" t="str">
        <x:v>2026-06-30</x:v>
      </x:c>
      <x:c r="O682" s="63" t="str">
        <x:v>E0</x:v>
      </x:c>
      <x:c r="P682" s="63" t="str">
        <x:v>APPROVED</x:v>
      </x:c>
      <x:c r="Q682" s="64" t="b">
        <x:v>0</x:v>
      </x:c>
      <x:c r="R682" s="63" t="str">
        <x:v>OPERATING_MODEL</x:v>
      </x:c>
      <x:c r="S682" s="63" t="str">
        <x:v>Governed sector operating-model and responsibility policy</x:v>
      </x:c>
      <x:c r="T682" s="63"/>
      <x:c r="U682" s="63" t="str">
        <x:v>internal://v31/governed-policy</x:v>
      </x:c>
      <x:c r="V682" s="63" t="str">
        <x:v>1a54d1372e8bb9fb404487f40360d21ceec82fbd7a0b59985d4b900744b82d70</x:v>
      </x:c>
    </x:row>
    <x:row r="683">
      <x:c r="A683" s="63" t="str">
        <x:v>bec:E15:struct:risk:0</x:v>
      </x:c>
      <x:c r="B683" s="63" t="str">
        <x:v>E15</x:v>
      </x:c>
      <x:c r="C683" s="63" t="str">
        <x:v>sector_primary_risk</x:v>
      </x:c>
      <x:c r="D683" s="63" t="str">
        <x:v>CATEGORICAL</x:v>
      </x:c>
      <x:c r="E683" s="63" t="str">
        <x:v>SCENARIO</x:v>
      </x:c>
      <x:c r="F683" s="65"/>
      <x:c r="G683" s="66"/>
      <x:c r="H683" s="67"/>
      <x:c r="I683" s="63" t="str">
        <x:v>portfolio valuation volatility</x:v>
      </x:c>
      <x:c r="J683" s="63"/>
      <x:c r="K683" s="63" t="str">
        <x:v>statement</x:v>
      </x:c>
      <x:c r="L683" s="63" t="str">
        <x:v>2025-06-01</x:v>
      </x:c>
      <x:c r="M683" s="63" t="str">
        <x:v>2026-06-30</x:v>
      </x:c>
      <x:c r="N683" s="63" t="str">
        <x:v>2026-06-30</x:v>
      </x:c>
      <x:c r="O683" s="63" t="str">
        <x:v>E0</x:v>
      </x:c>
      <x:c r="P683" s="63" t="str">
        <x:v>APPROVED</x:v>
      </x:c>
      <x:c r="Q683" s="64" t="b">
        <x:v>0</x:v>
      </x:c>
      <x:c r="R683" s="63" t="str">
        <x:v>BUSINESS_AND_FINANCIAL_RISKS</x:v>
      </x:c>
      <x:c r="S683" s="63" t="str">
        <x:v>Governed sector operating-model and responsibility policy</x:v>
      </x:c>
      <x:c r="T683" s="63"/>
      <x:c r="U683" s="63" t="str">
        <x:v>internal://v31/governed-policy</x:v>
      </x:c>
      <x:c r="V683" s="63" t="str">
        <x:v>ea5b0923a9d2f9cb568a15ddb0097617f058cf9bf040ecd017a8985b5b170d70</x:v>
      </x:c>
    </x:row>
    <x:row r="684">
      <x:c r="A684" s="63" t="str">
        <x:v>bec:E15:struct:risk:1</x:v>
      </x:c>
      <x:c r="B684" s="63" t="str">
        <x:v>E15</x:v>
      </x:c>
      <x:c r="C684" s="63" t="str">
        <x:v>sector_primary_risk</x:v>
      </x:c>
      <x:c r="D684" s="63" t="str">
        <x:v>CATEGORICAL</x:v>
      </x:c>
      <x:c r="E684" s="63" t="str">
        <x:v>SCENARIO</x:v>
      </x:c>
      <x:c r="F684" s="65"/>
      <x:c r="G684" s="66"/>
      <x:c r="H684" s="67"/>
      <x:c r="I684" s="63" t="str">
        <x:v>cross-border capital mobility</x:v>
      </x:c>
      <x:c r="J684" s="63"/>
      <x:c r="K684" s="63" t="str">
        <x:v>statement</x:v>
      </x:c>
      <x:c r="L684" s="63" t="str">
        <x:v>2025-06-01</x:v>
      </x:c>
      <x:c r="M684" s="63" t="str">
        <x:v>2026-06-30</x:v>
      </x:c>
      <x:c r="N684" s="63" t="str">
        <x:v>2026-06-30</x:v>
      </x:c>
      <x:c r="O684" s="63" t="str">
        <x:v>E0</x:v>
      </x:c>
      <x:c r="P684" s="63" t="str">
        <x:v>APPROVED</x:v>
      </x:c>
      <x:c r="Q684" s="64" t="b">
        <x:v>0</x:v>
      </x:c>
      <x:c r="R684" s="63" t="str">
        <x:v>BUSINESS_AND_FINANCIAL_RISKS</x:v>
      </x:c>
      <x:c r="S684" s="63" t="str">
        <x:v>Governed sector operating-model and responsibility policy</x:v>
      </x:c>
      <x:c r="T684" s="63"/>
      <x:c r="U684" s="63" t="str">
        <x:v>internal://v31/governed-policy</x:v>
      </x:c>
      <x:c r="V684" s="63" t="str">
        <x:v>ad637a8821b94708bb1f1a838148a1302856e62dc5678bd10d956b638e96187e</x:v>
      </x:c>
    </x:row>
    <x:row r="685">
      <x:c r="A685" s="63" t="str">
        <x:v>bec:E15:struct:risk:2</x:v>
      </x:c>
      <x:c r="B685" s="63" t="str">
        <x:v>E15</x:v>
      </x:c>
      <x:c r="C685" s="63" t="str">
        <x:v>sector_primary_risk</x:v>
      </x:c>
      <x:c r="D685" s="63" t="str">
        <x:v>CATEGORICAL</x:v>
      </x:c>
      <x:c r="E685" s="63" t="str">
        <x:v>SCENARIO</x:v>
      </x:c>
      <x:c r="F685" s="65"/>
      <x:c r="G685" s="66"/>
      <x:c r="H685" s="67"/>
      <x:c r="I685" s="63" t="str">
        <x:v>translation exposure</x:v>
      </x:c>
      <x:c r="J685" s="63"/>
      <x:c r="K685" s="63" t="str">
        <x:v>statement</x:v>
      </x:c>
      <x:c r="L685" s="63" t="str">
        <x:v>2025-06-01</x:v>
      </x:c>
      <x:c r="M685" s="63" t="str">
        <x:v>2026-06-30</x:v>
      </x:c>
      <x:c r="N685" s="63" t="str">
        <x:v>2026-06-30</x:v>
      </x:c>
      <x:c r="O685" s="63" t="str">
        <x:v>E0</x:v>
      </x:c>
      <x:c r="P685" s="63" t="str">
        <x:v>APPROVED</x:v>
      </x:c>
      <x:c r="Q685" s="64" t="b">
        <x:v>0</x:v>
      </x:c>
      <x:c r="R685" s="63" t="str">
        <x:v>BUSINESS_AND_FINANCIAL_RISKS</x:v>
      </x:c>
      <x:c r="S685" s="63" t="str">
        <x:v>Governed sector operating-model and responsibility policy</x:v>
      </x:c>
      <x:c r="T685" s="63"/>
      <x:c r="U685" s="63" t="str">
        <x:v>internal://v31/governed-policy</x:v>
      </x:c>
      <x:c r="V685" s="63" t="str">
        <x:v>d684852f779c765dac5074d06b895a3992c6aee7cb13e61159409a1f832567a4</x:v>
      </x:c>
    </x:row>
    <x:row r="686">
      <x:c r="A686" s="63" t="str">
        <x:v>bec:E15:struct:responsibility-model</x:v>
      </x:c>
      <x:c r="B686" s="63" t="str">
        <x:v>E15</x:v>
      </x:c>
      <x:c r="C686" s="63" t="str">
        <x:v>stakeholder_responsibility_model</x:v>
      </x:c>
      <x:c r="D686" s="63" t="str">
        <x:v>TEXTUAL</x:v>
      </x:c>
      <x:c r="E686" s="63" t="str">
        <x:v>SCENARIO</x:v>
      </x:c>
      <x:c r="F686" s="65"/>
      <x:c r="G686" s="66"/>
      <x:c r="H686" s="67"/>
      <x:c r="I686" s="63" t="str">
        <x:v>Responsibility is assigned by role persona using governed matrix v31-stakeholder-responsibility-3.1.0. Named individuals are not resolved in the demonstration and require CRM entitlement checks in production.</x:v>
      </x:c>
      <x:c r="J686" s="63"/>
      <x:c r="K686" s="63" t="str">
        <x:v>statement</x:v>
      </x:c>
      <x:c r="L686" s="63" t="str">
        <x:v>2025-06-01</x:v>
      </x:c>
      <x:c r="M686" s="63" t="str">
        <x:v>2026-06-30</x:v>
      </x:c>
      <x:c r="N686" s="63" t="str">
        <x:v>2026-06-30</x:v>
      </x:c>
      <x:c r="O686" s="63" t="str">
        <x:v>E0</x:v>
      </x:c>
      <x:c r="P686" s="63" t="str">
        <x:v>APPROVED</x:v>
      </x:c>
      <x:c r="Q686" s="64" t="b">
        <x:v>0</x:v>
      </x:c>
      <x:c r="R686" s="63" t="str">
        <x:v>STAKEHOLDER_RESPONSIBILITY</x:v>
      </x:c>
      <x:c r="S686" s="63" t="str">
        <x:v>Governed sector operating-model and responsibility policy</x:v>
      </x:c>
      <x:c r="T686" s="63"/>
      <x:c r="U686" s="63" t="str">
        <x:v>internal://v31/governed-policy</x:v>
      </x:c>
      <x:c r="V686" s="63" t="str">
        <x:v>3cc16f1dab86ef97733d0a92bccb837f6d9217f0eff4a19eb056d053ed7cde68</x:v>
      </x:c>
    </x:row>
    <x:row r="687">
      <x:c r="A687" s="63" t="str">
        <x:v>bec:E15:struct:responsibility:fx_exposure</x:v>
      </x:c>
      <x:c r="B687" s="63" t="str">
        <x:v>E15</x:v>
      </x:c>
      <x:c r="C687" s="63" t="str">
        <x:v>problem_role_ownership</x:v>
      </x:c>
      <x:c r="D687" s="63" t="str">
        <x:v>STRUCTURE_RELATIONSHIP</x:v>
      </x:c>
      <x:c r="E687" s="63" t="str">
        <x:v>SCENARIO</x:v>
      </x:c>
      <x:c r="F687" s="65"/>
      <x:c r="G687" s="66"/>
      <x:c r="H687" s="67"/>
      <x:c r="I687" s="63"/>
      <x:c r="J687" s="63"/>
      <x:c r="K687" s="63" t="str">
        <x:v>statement</x:v>
      </x:c>
      <x:c r="L687" s="63" t="str">
        <x:v>2025-06-01</x:v>
      </x:c>
      <x:c r="M687" s="63" t="str">
        <x:v>2026-06-30</x:v>
      </x:c>
      <x:c r="N687" s="63" t="str">
        <x:v>2026-06-30</x:v>
      </x:c>
      <x:c r="O687" s="63" t="str">
        <x:v>E0</x:v>
      </x:c>
      <x:c r="P687" s="63" t="str">
        <x:v>APPROVED</x:v>
      </x:c>
      <x:c r="Q687" s="64" t="b">
        <x:v>0</x:v>
      </x:c>
      <x:c r="R687" s="63" t="str">
        <x:v>STAKEHOLDER_RESPONSIBILITY</x:v>
      </x:c>
      <x:c r="S687" s="63" t="str">
        <x:v>Governed sector operating-model and responsibility policy</x:v>
      </x:c>
      <x:c r="T687" s="63"/>
      <x:c r="U687" s="63" t="str">
        <x:v>internal://v31/governed-policy</x:v>
      </x:c>
      <x:c r="V687" s="63" t="str">
        <x:v>5e4226c2651faaa7480c0eccbc28d8cbf0e357c7a39510517511440022a8ab05</x:v>
      </x:c>
    </x:row>
    <x:row r="688">
      <x:c r="A688" s="63" t="str">
        <x:v>bec:E15:struct:responsibility:refinancing_cliff</x:v>
      </x:c>
      <x:c r="B688" s="63" t="str">
        <x:v>E15</x:v>
      </x:c>
      <x:c r="C688" s="63" t="str">
        <x:v>problem_role_ownership</x:v>
      </x:c>
      <x:c r="D688" s="63" t="str">
        <x:v>STRUCTURE_RELATIONSHIP</x:v>
      </x:c>
      <x:c r="E688" s="63" t="str">
        <x:v>SCENARIO</x:v>
      </x:c>
      <x:c r="F688" s="65"/>
      <x:c r="G688" s="66"/>
      <x:c r="H688" s="67"/>
      <x:c r="I688" s="63"/>
      <x:c r="J688" s="63"/>
      <x:c r="K688" s="63" t="str">
        <x:v>statement</x:v>
      </x:c>
      <x:c r="L688" s="63" t="str">
        <x:v>2025-06-01</x:v>
      </x:c>
      <x:c r="M688" s="63" t="str">
        <x:v>2026-06-30</x:v>
      </x:c>
      <x:c r="N688" s="63" t="str">
        <x:v>2026-06-30</x:v>
      </x:c>
      <x:c r="O688" s="63" t="str">
        <x:v>E0</x:v>
      </x:c>
      <x:c r="P688" s="63" t="str">
        <x:v>APPROVED</x:v>
      </x:c>
      <x:c r="Q688" s="64" t="b">
        <x:v>0</x:v>
      </x:c>
      <x:c r="R688" s="63" t="str">
        <x:v>STAKEHOLDER_RESPONSIBILITY</x:v>
      </x:c>
      <x:c r="S688" s="63" t="str">
        <x:v>Governed sector operating-model and responsibility policy</x:v>
      </x:c>
      <x:c r="T688" s="63"/>
      <x:c r="U688" s="63" t="str">
        <x:v>internal://v31/governed-policy</x:v>
      </x:c>
      <x:c r="V688" s="63" t="str">
        <x:v>0ba636002225cd2652f61e5c51761b5067e11a1d7f6b3422d4d1286912d52dcb</x:v>
      </x:c>
    </x:row>
    <x:row r="689">
      <x:c r="A689" s="63" t="str">
        <x:v>bec:E15:struct:responsibility:working_capital_pressure</x:v>
      </x:c>
      <x:c r="B689" s="63" t="str">
        <x:v>E15</x:v>
      </x:c>
      <x:c r="C689" s="63" t="str">
        <x:v>problem_role_ownership</x:v>
      </x:c>
      <x:c r="D689" s="63" t="str">
        <x:v>STRUCTURE_RELATIONSHIP</x:v>
      </x:c>
      <x:c r="E689" s="63" t="str">
        <x:v>SCENARIO</x:v>
      </x:c>
      <x:c r="F689" s="65"/>
      <x:c r="G689" s="66"/>
      <x:c r="H689" s="67"/>
      <x:c r="I689" s="63"/>
      <x:c r="J689" s="63"/>
      <x:c r="K689" s="63" t="str">
        <x:v>statement</x:v>
      </x:c>
      <x:c r="L689" s="63" t="str">
        <x:v>2025-06-01</x:v>
      </x:c>
      <x:c r="M689" s="63" t="str">
        <x:v>2026-06-30</x:v>
      </x:c>
      <x:c r="N689" s="63" t="str">
        <x:v>2026-06-30</x:v>
      </x:c>
      <x:c r="O689" s="63" t="str">
        <x:v>E0</x:v>
      </x:c>
      <x:c r="P689" s="63" t="str">
        <x:v>APPROVED</x:v>
      </x:c>
      <x:c r="Q689" s="64" t="b">
        <x:v>0</x:v>
      </x:c>
      <x:c r="R689" s="63" t="str">
        <x:v>STAKEHOLDER_RESPONSIBILITY</x:v>
      </x:c>
      <x:c r="S689" s="63" t="str">
        <x:v>Governed sector operating-model and responsibility policy</x:v>
      </x:c>
      <x:c r="T689" s="63"/>
      <x:c r="U689" s="63" t="str">
        <x:v>internal://v31/governed-policy</x:v>
      </x:c>
      <x:c r="V689" s="63" t="str">
        <x:v>6bbd7a628d03a969fd064a3d899ff9f70e5ff5c1b39ee0625d3b47b9e062f9b5</x:v>
      </x:c>
    </x:row>
    <x:row r="690">
      <x:c r="A690" s="63" t="str">
        <x:v>bec:MTN-2025-REV</x:v>
      </x:c>
      <x:c r="B690" s="63" t="str">
        <x:v>E16</x:v>
      </x:c>
      <x:c r="C690" s="63" t="str">
        <x:v>revenue</x:v>
      </x:c>
      <x:c r="D690" s="63" t="str">
        <x:v>MONEY</x:v>
      </x:c>
      <x:c r="E690" s="63" t="str">
        <x:v>OBSERVED</x:v>
      </x:c>
      <x:c r="F690" s="65" t="n">
        <x:v>226707</x:v>
      </x:c>
      <x:c r="G690" s="66"/>
      <x:c r="H690" s="67"/>
      <x:c r="I690" s="63"/>
      <x:c r="J690" s="63" t="str">
        <x:v>ZAR</x:v>
      </x:c>
      <x:c r="K690" s="63" t="str">
        <x:v>million</x:v>
      </x:c>
      <x:c r="L690" s="63" t="str">
        <x:v>2025-01-01</x:v>
      </x:c>
      <x:c r="M690" s="63" t="str">
        <x:v>2025-12-31</x:v>
      </x:c>
      <x:c r="N690" s="63" t="str">
        <x:v>2026-03-16</x:v>
      </x:c>
      <x:c r="O690" s="63" t="str">
        <x:v>E1</x:v>
      </x:c>
      <x:c r="P690" s="63" t="str">
        <x:v>PENDING_REVIEW</x:v>
      </x:c>
      <x:c r="Q690" s="64" t="b">
        <x:v>1</x:v>
      </x:c>
      <x:c r="R690" s="63" t="str">
        <x:v>REVENUE_ENGINE</x:v>
      </x:c>
      <x:c r="S690" s="63" t="str">
        <x:v>MTN Group Annual Financial Statements 2025</x:v>
      </x:c>
      <x:c r="T690" s="63" t="n">
        <x:v>21</x:v>
      </x:c>
      <x:c r="U690" s="63" t="str">
        <x:v>https://www.mtn.com/wp-content/uploads/2026/03/MTN-Group-FY-25-Annual-Financial-Statements.pdf</x:v>
      </x:c>
      <x:c r="V690" s="63" t="str">
        <x:v>bea72f5adefd24ecb4dd8ed36e523730e19a3efb2fa9f79b63567bc4fac2e59b</x:v>
      </x:c>
    </x:row>
    <x:row r="691">
      <x:c r="A691" s="63" t="str">
        <x:v>bec:MTN-2025-CASH</x:v>
      </x:c>
      <x:c r="B691" s="63" t="str">
        <x:v>E16</x:v>
      </x:c>
      <x:c r="C691" s="63" t="str">
        <x:v>cash_and_cash_equivalents</x:v>
      </x:c>
      <x:c r="D691" s="63" t="str">
        <x:v>MONEY</x:v>
      </x:c>
      <x:c r="E691" s="63" t="str">
        <x:v>OBSERVED</x:v>
      </x:c>
      <x:c r="F691" s="65" t="n">
        <x:v>42625</x:v>
      </x:c>
      <x:c r="G691" s="66"/>
      <x:c r="H691" s="67"/>
      <x:c r="I691" s="63"/>
      <x:c r="J691" s="63" t="str">
        <x:v>ZAR</x:v>
      </x:c>
      <x:c r="K691" s="63" t="str">
        <x:v>million</x:v>
      </x:c>
      <x:c r="L691" s="63" t="str">
        <x:v>2025-12-31</x:v>
      </x:c>
      <x:c r="M691" s="63" t="str">
        <x:v>2025-12-31</x:v>
      </x:c>
      <x:c r="N691" s="63" t="str">
        <x:v>2026-03-16</x:v>
      </x:c>
      <x:c r="O691" s="63" t="str">
        <x:v>E1</x:v>
      </x:c>
      <x:c r="P691" s="63" t="str">
        <x:v>PENDING_REVIEW</x:v>
      </x:c>
      <x:c r="Q691" s="64" t="b">
        <x:v>1</x:v>
      </x:c>
      <x:c r="R691" s="63" t="str">
        <x:v>LIQUIDITY_AND_BUFFER</x:v>
      </x:c>
      <x:c r="S691" s="63" t="str">
        <x:v>MTN Group Annual Financial Statements 2025</x:v>
      </x:c>
      <x:c r="T691" s="63" t="n">
        <x:v>23</x:v>
      </x:c>
      <x:c r="U691" s="63" t="str">
        <x:v>https://www.mtn.com/wp-content/uploads/2026/03/MTN-Group-FY-25-Annual-Financial-Statements.pdf</x:v>
      </x:c>
      <x:c r="V691" s="63" t="str">
        <x:v>bea72f5adefd24ecb4dd8ed36e523730e19a3efb2fa9f79b63567bc4fac2e59b</x:v>
      </x:c>
    </x:row>
    <x:row r="692">
      <x:c r="A692" s="63" t="str">
        <x:v>bec:MTN-2025-DEBT</x:v>
      </x:c>
      <x:c r="B692" s="63" t="str">
        <x:v>E16</x:v>
      </x:c>
      <x:c r="C692" s="63" t="str">
        <x:v>current_debt</x:v>
      </x:c>
      <x:c r="D692" s="63" t="str">
        <x:v>MONEY</x:v>
      </x:c>
      <x:c r="E692" s="63" t="str">
        <x:v>OBSERVED</x:v>
      </x:c>
      <x:c r="F692" s="65" t="n">
        <x:v>17755</x:v>
      </x:c>
      <x:c r="G692" s="66"/>
      <x:c r="H692" s="67"/>
      <x:c r="I692" s="63"/>
      <x:c r="J692" s="63" t="str">
        <x:v>ZAR</x:v>
      </x:c>
      <x:c r="K692" s="63" t="str">
        <x:v>million</x:v>
      </x:c>
      <x:c r="L692" s="63" t="str">
        <x:v>2025-12-31</x:v>
      </x:c>
      <x:c r="M692" s="63" t="str">
        <x:v>2025-12-31</x:v>
      </x:c>
      <x:c r="N692" s="63" t="str">
        <x:v>2026-03-16</x:v>
      </x:c>
      <x:c r="O692" s="63" t="str">
        <x:v>E1</x:v>
      </x:c>
      <x:c r="P692" s="63" t="str">
        <x:v>PENDING_REVIEW</x:v>
      </x:c>
      <x:c r="Q692" s="64" t="b">
        <x:v>1</x:v>
      </x:c>
      <x:c r="R692" s="63" t="str">
        <x:v>FUNDING_STRUCTURE</x:v>
      </x:c>
      <x:c r="S692" s="63" t="str">
        <x:v>MTN Group Annual Financial Statements 2025</x:v>
      </x:c>
      <x:c r="T692" s="63" t="n">
        <x:v>23</x:v>
      </x:c>
      <x:c r="U692" s="63" t="str">
        <x:v>https://www.mtn.com/wp-content/uploads/2026/03/MTN-Group-FY-25-Annual-Financial-Statements.pdf</x:v>
      </x:c>
      <x:c r="V692" s="63" t="str">
        <x:v>bea72f5adefd24ecb4dd8ed36e523730e19a3efb2fa9f79b63567bc4fac2e59b</x:v>
      </x:c>
    </x:row>
    <x:row r="693">
      <x:c r="A693" s="63" t="str">
        <x:v>bec:E16:obs:flow:collections</x:v>
      </x:c>
      <x:c r="B693" s="63" t="str">
        <x:v>E16</x:v>
      </x:c>
      <x:c r="C693" s="63" t="str">
        <x:v>bank_observed_collections_ltm</x:v>
      </x:c>
      <x:c r="D693" s="63" t="str">
        <x:v>MONEY</x:v>
      </x:c>
      <x:c r="E693" s="63" t="str">
        <x:v>OBSERVED</x:v>
      </x:c>
      <x:c r="F693" s="65" t="n">
        <x:v>2616710862.209999</x:v>
      </x:c>
      <x:c r="G693" s="66"/>
      <x:c r="H693" s="67"/>
      <x:c r="I693" s="63"/>
      <x:c r="J693" s="63" t="str">
        <x:v>ZAR</x:v>
      </x:c>
      <x:c r="K693" s="63" t="str">
        <x:v>ZAR</x:v>
      </x:c>
      <x:c r="L693" s="63" t="str">
        <x:v>2025-06-01</x:v>
      </x:c>
      <x:c r="M693" s="63" t="str">
        <x:v>2026-06-30</x:v>
      </x:c>
      <x:c r="N693" s="63" t="str">
        <x:v>2026-06-30</x:v>
      </x:c>
      <x:c r="O693" s="63" t="str">
        <x:v>E0</x:v>
      </x:c>
      <x:c r="P693" s="63" t="str">
        <x:v>APPROVED</x:v>
      </x:c>
      <x:c r="Q693" s="64" t="b">
        <x:v>1</x:v>
      </x:c>
      <x:c r="R693" s="63" t="str">
        <x:v>REVENUE_ENGINE, WORKING_CAPITAL_CYCLE</x:v>
      </x:c>
      <x:c r="S693" s="63" t="str">
        <x:v>Syn Bank transaction and relationship simulation</x:v>
      </x:c>
      <x:c r="T693" s="63"/>
      <x:c r="U693" s="63" t="str">
        <x:v>internal://syn-bank/simulation/ltm</x:v>
      </x:c>
      <x:c r="V693" s="63" t="str">
        <x:v>e8a549ad7a323f1dc053b932df62e439719e50bc7714ea086836ea4c14815488</x:v>
      </x:c>
    </x:row>
    <x:row r="694">
      <x:c r="A694" s="63" t="str">
        <x:v>bec:E16:obs:trend:collections</x:v>
      </x:c>
      <x:c r="B694" s="63" t="str">
        <x:v>E16</x:v>
      </x:c>
      <x:c r="C694" s="63" t="str">
        <x:v>bank_observed_collections_yoy_change</x:v>
      </x:c>
      <x:c r="D694" s="63" t="str">
        <x:v>RATIO</x:v>
      </x:c>
      <x:c r="E694" s="63" t="str">
        <x:v>OBSERVED</x:v>
      </x:c>
      <x:c r="F694" s="65"/>
      <x:c r="G694" s="66" t="n">
        <x:v>-0.017199</x:v>
      </x:c>
      <x:c r="H694" s="67"/>
      <x:c r="I694" s="63"/>
      <x:c r="J694" s="63"/>
      <x:c r="K694" s="63" t="str">
        <x:v>ratio</x:v>
      </x:c>
      <x:c r="L694" s="63" t="str">
        <x:v>2025-06-01</x:v>
      </x:c>
      <x:c r="M694" s="63" t="str">
        <x:v>2026-06-30</x:v>
      </x:c>
      <x:c r="N694" s="63" t="str">
        <x:v>2026-06-30</x:v>
      </x:c>
      <x:c r="O694" s="63" t="str">
        <x:v>E0</x:v>
      </x:c>
      <x:c r="P694" s="63" t="str">
        <x:v>APPROVED</x:v>
      </x:c>
      <x:c r="Q694" s="64" t="b">
        <x:v>0</x:v>
      </x:c>
      <x:c r="R694" s="63" t="str">
        <x:v>REVENUE_ENGINE, WORKING_CAPITAL_CYCLE</x:v>
      </x:c>
      <x:c r="S694" s="63" t="str">
        <x:v>Syn Bank transaction and relationship simulation</x:v>
      </x:c>
      <x:c r="T694" s="63"/>
      <x:c r="U694" s="63" t="str">
        <x:v>internal://syn-bank/simulation/ltm</x:v>
      </x:c>
      <x:c r="V694" s="63" t="str">
        <x:v>27460d8132d8dca268948b5d2210de2b2784130a561200af3c33c2ca4a53dcf2</x:v>
      </x:c>
    </x:row>
    <x:row r="695">
      <x:c r="A695" s="63" t="str">
        <x:v>bec:E16:obs:flow:payments</x:v>
      </x:c>
      <x:c r="B695" s="63" t="str">
        <x:v>E16</x:v>
      </x:c>
      <x:c r="C695" s="63" t="str">
        <x:v>bank_observed_payments_ltm</x:v>
      </x:c>
      <x:c r="D695" s="63" t="str">
        <x:v>MONEY</x:v>
      </x:c>
      <x:c r="E695" s="63" t="str">
        <x:v>OBSERVED</x:v>
      </x:c>
      <x:c r="F695" s="65" t="n">
        <x:v>7554265622.219994</x:v>
      </x:c>
      <x:c r="G695" s="66"/>
      <x:c r="H695" s="67"/>
      <x:c r="I695" s="63"/>
      <x:c r="J695" s="63" t="str">
        <x:v>ZAR</x:v>
      </x:c>
      <x:c r="K695" s="63" t="str">
        <x:v>ZAR</x:v>
      </x:c>
      <x:c r="L695" s="63" t="str">
        <x:v>2025-06-01</x:v>
      </x:c>
      <x:c r="M695" s="63" t="str">
        <x:v>2026-06-30</x:v>
      </x:c>
      <x:c r="N695" s="63" t="str">
        <x:v>2026-06-30</x:v>
      </x:c>
      <x:c r="O695" s="63" t="str">
        <x:v>E0</x:v>
      </x:c>
      <x:c r="P695" s="63" t="str">
        <x:v>APPROVED</x:v>
      </x:c>
      <x:c r="Q695" s="64" t="b">
        <x:v>1</x:v>
      </x:c>
      <x:c r="R695" s="63" t="str">
        <x:v>COST_ENGINE, WORKING_CAPITAL_CYCLE</x:v>
      </x:c>
      <x:c r="S695" s="63" t="str">
        <x:v>Syn Bank transaction and relationship simulation</x:v>
      </x:c>
      <x:c r="T695" s="63"/>
      <x:c r="U695" s="63" t="str">
        <x:v>internal://syn-bank/simulation/ltm</x:v>
      </x:c>
      <x:c r="V695" s="63" t="str">
        <x:v>ce846c382fd1b123d774668fc4a28c1984c93fc4445a4bde4a9f7dec4dff1d1b</x:v>
      </x:c>
    </x:row>
    <x:row r="696">
      <x:c r="A696" s="63" t="str">
        <x:v>bec:E16:obs:trend:payments</x:v>
      </x:c>
      <x:c r="B696" s="63" t="str">
        <x:v>E16</x:v>
      </x:c>
      <x:c r="C696" s="63" t="str">
        <x:v>bank_observed_payments_yoy_change</x:v>
      </x:c>
      <x:c r="D696" s="63" t="str">
        <x:v>RATIO</x:v>
      </x:c>
      <x:c r="E696" s="63" t="str">
        <x:v>OBSERVED</x:v>
      </x:c>
      <x:c r="F696" s="65"/>
      <x:c r="G696" s="66" t="n">
        <x:v>-0.007709</x:v>
      </x:c>
      <x:c r="H696" s="67"/>
      <x:c r="I696" s="63"/>
      <x:c r="J696" s="63"/>
      <x:c r="K696" s="63" t="str">
        <x:v>ratio</x:v>
      </x:c>
      <x:c r="L696" s="63" t="str">
        <x:v>2025-06-01</x:v>
      </x:c>
      <x:c r="M696" s="63" t="str">
        <x:v>2026-06-30</x:v>
      </x:c>
      <x:c r="N696" s="63" t="str">
        <x:v>2026-06-30</x:v>
      </x:c>
      <x:c r="O696" s="63" t="str">
        <x:v>E0</x:v>
      </x:c>
      <x:c r="P696" s="63" t="str">
        <x:v>APPROVED</x:v>
      </x:c>
      <x:c r="Q696" s="64" t="b">
        <x:v>0</x:v>
      </x:c>
      <x:c r="R696" s="63" t="str">
        <x:v>COST_ENGINE, WORKING_CAPITAL_CYCLE</x:v>
      </x:c>
      <x:c r="S696" s="63" t="str">
        <x:v>Syn Bank transaction and relationship simulation</x:v>
      </x:c>
      <x:c r="T696" s="63"/>
      <x:c r="U696" s="63" t="str">
        <x:v>internal://syn-bank/simulation/ltm</x:v>
      </x:c>
      <x:c r="V696" s="63" t="str">
        <x:v>466f8c88ad9c10c0da89576e1c31acae70fed740300b82f8d690da82a1fa3d29</x:v>
      </x:c>
    </x:row>
    <x:row r="697">
      <x:c r="A697" s="63" t="str">
        <x:v>bec:E16:obs:flow:liquidity</x:v>
      </x:c>
      <x:c r="B697" s="63" t="str">
        <x:v>E16</x:v>
      </x:c>
      <x:c r="C697" s="63" t="str">
        <x:v>bank_observed_liquidity_ltm</x:v>
      </x:c>
      <x:c r="D697" s="63" t="str">
        <x:v>MONEY</x:v>
      </x:c>
      <x:c r="E697" s="63" t="str">
        <x:v>OBSERVED</x:v>
      </x:c>
      <x:c r="F697" s="65" t="n">
        <x:v>5085488242.215</x:v>
      </x:c>
      <x:c r="G697" s="66"/>
      <x:c r="H697" s="67"/>
      <x:c r="I697" s="63"/>
      <x:c r="J697" s="63" t="str">
        <x:v>ZAR</x:v>
      </x:c>
      <x:c r="K697" s="63" t="str">
        <x:v>ZAR</x:v>
      </x:c>
      <x:c r="L697" s="63" t="str">
        <x:v>2025-06-01</x:v>
      </x:c>
      <x:c r="M697" s="63" t="str">
        <x:v>2026-06-30</x:v>
      </x:c>
      <x:c r="N697" s="63" t="str">
        <x:v>2026-06-30</x:v>
      </x:c>
      <x:c r="O697" s="63" t="str">
        <x:v>E0</x:v>
      </x:c>
      <x:c r="P697" s="63" t="str">
        <x:v>APPROVED</x:v>
      </x:c>
      <x:c r="Q697" s="64" t="b">
        <x:v>1</x:v>
      </x:c>
      <x:c r="R697" s="63" t="str">
        <x:v>LIQUIDITY_AND_BUFFER</x:v>
      </x:c>
      <x:c r="S697" s="63" t="str">
        <x:v>Syn Bank transaction and relationship simulation</x:v>
      </x:c>
      <x:c r="T697" s="63"/>
      <x:c r="U697" s="63" t="str">
        <x:v>internal://syn-bank/simulation/ltm</x:v>
      </x:c>
      <x:c r="V697" s="63" t="str">
        <x:v>ddeb40f6b44ce44f0c3469dc8c970b902e1466a065215e24f98c4934db9b1690</x:v>
      </x:c>
    </x:row>
    <x:row r="698">
      <x:c r="A698" s="63" t="str">
        <x:v>bec:E16:obs:trend:liquidity</x:v>
      </x:c>
      <x:c r="B698" s="63" t="str">
        <x:v>E16</x:v>
      </x:c>
      <x:c r="C698" s="63" t="str">
        <x:v>bank_observed_liquidity_yoy_change</x:v>
      </x:c>
      <x:c r="D698" s="63" t="str">
        <x:v>RATIO</x:v>
      </x:c>
      <x:c r="E698" s="63" t="str">
        <x:v>OBSERVED</x:v>
      </x:c>
      <x:c r="F698" s="65"/>
      <x:c r="G698" s="66" t="n">
        <x:v>-0.010168</x:v>
      </x:c>
      <x:c r="H698" s="67"/>
      <x:c r="I698" s="63"/>
      <x:c r="J698" s="63"/>
      <x:c r="K698" s="63" t="str">
        <x:v>ratio</x:v>
      </x:c>
      <x:c r="L698" s="63" t="str">
        <x:v>2025-06-01</x:v>
      </x:c>
      <x:c r="M698" s="63" t="str">
        <x:v>2026-06-30</x:v>
      </x:c>
      <x:c r="N698" s="63" t="str">
        <x:v>2026-06-30</x:v>
      </x:c>
      <x:c r="O698" s="63" t="str">
        <x:v>E0</x:v>
      </x:c>
      <x:c r="P698" s="63" t="str">
        <x:v>APPROVED</x:v>
      </x:c>
      <x:c r="Q698" s="64" t="b">
        <x:v>0</x:v>
      </x:c>
      <x:c r="R698" s="63" t="str">
        <x:v>LIQUIDITY_AND_BUFFER</x:v>
      </x:c>
      <x:c r="S698" s="63" t="str">
        <x:v>Syn Bank transaction and relationship simulation</x:v>
      </x:c>
      <x:c r="T698" s="63"/>
      <x:c r="U698" s="63" t="str">
        <x:v>internal://syn-bank/simulation/ltm</x:v>
      </x:c>
      <x:c r="V698" s="63" t="str">
        <x:v>6b6ab981af4d410a91e4906a522229a6fe2bae418770e51da978d9bf6a8147e7</x:v>
      </x:c>
    </x:row>
    <x:row r="699">
      <x:c r="A699" s="63" t="str">
        <x:v>bec:E16:obs:flow:cross-border-fx</x:v>
      </x:c>
      <x:c r="B699" s="63" t="str">
        <x:v>E16</x:v>
      </x:c>
      <x:c r="C699" s="63" t="str">
        <x:v>bank_observed_cross_border_fx_ltm</x:v>
      </x:c>
      <x:c r="D699" s="63" t="str">
        <x:v>MONEY</x:v>
      </x:c>
      <x:c r="E699" s="63" t="str">
        <x:v>OBSERVED</x:v>
      </x:c>
      <x:c r="F699" s="65" t="n">
        <x:v>6198359963.540001</x:v>
      </x:c>
      <x:c r="G699" s="66"/>
      <x:c r="H699" s="67"/>
      <x:c r="I699" s="63"/>
      <x:c r="J699" s="63" t="str">
        <x:v>ZAR</x:v>
      </x:c>
      <x:c r="K699" s="63" t="str">
        <x:v>ZAR</x:v>
      </x:c>
      <x:c r="L699" s="63" t="str">
        <x:v>2025-06-01</x:v>
      </x:c>
      <x:c r="M699" s="63" t="str">
        <x:v>2026-06-30</x:v>
      </x:c>
      <x:c r="N699" s="63" t="str">
        <x:v>2026-06-30</x:v>
      </x:c>
      <x:c r="O699" s="63" t="str">
        <x:v>E0</x:v>
      </x:c>
      <x:c r="P699" s="63" t="str">
        <x:v>APPROVED</x:v>
      </x:c>
      <x:c r="Q699" s="64" t="b">
        <x:v>1</x:v>
      </x:c>
      <x:c r="R699" s="63" t="str">
        <x:v>CURRENCY_AND_COMMODITY_EXPOSURE, GEOGRAPHIC_EXPOSURE</x:v>
      </x:c>
      <x:c r="S699" s="63" t="str">
        <x:v>Syn Bank transaction and relationship simulation</x:v>
      </x:c>
      <x:c r="T699" s="63"/>
      <x:c r="U699" s="63" t="str">
        <x:v>internal://syn-bank/simulation/ltm</x:v>
      </x:c>
      <x:c r="V699" s="63" t="str">
        <x:v>33280b3a2d471922b9bcf694c4e19a3024e9e4a027bc1360bc5a5e5243e9dfe5</x:v>
      </x:c>
    </x:row>
    <x:row r="700">
      <x:c r="A700" s="63" t="str">
        <x:v>bec:E16:obs:trend:cross-border-fx</x:v>
      </x:c>
      <x:c r="B700" s="63" t="str">
        <x:v>E16</x:v>
      </x:c>
      <x:c r="C700" s="63" t="str">
        <x:v>bank_observed_cross_border_fx_yoy_change</x:v>
      </x:c>
      <x:c r="D700" s="63" t="str">
        <x:v>RATIO</x:v>
      </x:c>
      <x:c r="E700" s="63" t="str">
        <x:v>OBSERVED</x:v>
      </x:c>
      <x:c r="F700" s="65"/>
      <x:c r="G700" s="66" t="n">
        <x:v>-0.069307</x:v>
      </x:c>
      <x:c r="H700" s="67"/>
      <x:c r="I700" s="63"/>
      <x:c r="J700" s="63"/>
      <x:c r="K700" s="63" t="str">
        <x:v>ratio</x:v>
      </x:c>
      <x:c r="L700" s="63" t="str">
        <x:v>2025-06-01</x:v>
      </x:c>
      <x:c r="M700" s="63" t="str">
        <x:v>2026-06-30</x:v>
      </x:c>
      <x:c r="N700" s="63" t="str">
        <x:v>2026-06-30</x:v>
      </x:c>
      <x:c r="O700" s="63" t="str">
        <x:v>E0</x:v>
      </x:c>
      <x:c r="P700" s="63" t="str">
        <x:v>APPROVED</x:v>
      </x:c>
      <x:c r="Q700" s="64" t="b">
        <x:v>0</x:v>
      </x:c>
      <x:c r="R700" s="63" t="str">
        <x:v>CURRENCY_AND_COMMODITY_EXPOSURE, GEOGRAPHIC_EXPOSURE</x:v>
      </x:c>
      <x:c r="S700" s="63" t="str">
        <x:v>Syn Bank transaction and relationship simulation</x:v>
      </x:c>
      <x:c r="T700" s="63"/>
      <x:c r="U700" s="63" t="str">
        <x:v>internal://syn-bank/simulation/ltm</x:v>
      </x:c>
      <x:c r="V700" s="63" t="str">
        <x:v>df00d4cd9f75b7c2c7449674a11905534b907151cdb267eb897ff29924457ff0</x:v>
      </x:c>
    </x:row>
    <x:row r="701">
      <x:c r="A701" s="63" t="str">
        <x:v>bec:E16:obs:flow:trade-finance</x:v>
      </x:c>
      <x:c r="B701" s="63" t="str">
        <x:v>E16</x:v>
      </x:c>
      <x:c r="C701" s="63" t="str">
        <x:v>bank_observed_trade_finance_ltm</x:v>
      </x:c>
      <x:c r="D701" s="63" t="str">
        <x:v>MONEY</x:v>
      </x:c>
      <x:c r="E701" s="63" t="str">
        <x:v>OBSERVED</x:v>
      </x:c>
      <x:c r="F701" s="65" t="n">
        <x:v>1443169160.9699998</x:v>
      </x:c>
      <x:c r="G701" s="66"/>
      <x:c r="H701" s="67"/>
      <x:c r="I701" s="63"/>
      <x:c r="J701" s="63" t="str">
        <x:v>ZAR</x:v>
      </x:c>
      <x:c r="K701" s="63" t="str">
        <x:v>ZAR</x:v>
      </x:c>
      <x:c r="L701" s="63" t="str">
        <x:v>2025-06-01</x:v>
      </x:c>
      <x:c r="M701" s="63" t="str">
        <x:v>2026-06-30</x:v>
      </x:c>
      <x:c r="N701" s="63" t="str">
        <x:v>2026-06-30</x:v>
      </x:c>
      <x:c r="O701" s="63" t="str">
        <x:v>E0</x:v>
      </x:c>
      <x:c r="P701" s="63" t="str">
        <x:v>APPROVED</x:v>
      </x:c>
      <x:c r="Q701" s="64" t="b">
        <x:v>1</x:v>
      </x:c>
      <x:c r="R701" s="63" t="str">
        <x:v>WORKING_CAPITAL_CYCLE, OPERATING_MODEL</x:v>
      </x:c>
      <x:c r="S701" s="63" t="str">
        <x:v>Syn Bank transaction and relationship simulation</x:v>
      </x:c>
      <x:c r="T701" s="63"/>
      <x:c r="U701" s="63" t="str">
        <x:v>internal://syn-bank/simulation/ltm</x:v>
      </x:c>
      <x:c r="V701" s="63" t="str">
        <x:v>1a5496c6e151beaae4f6537804e6ad3f0b07e0f7c9c02e3eaa59e5034c2dce20</x:v>
      </x:c>
    </x:row>
    <x:row r="702">
      <x:c r="A702" s="63" t="str">
        <x:v>bec:E16:obs:trend:trade-finance</x:v>
      </x:c>
      <x:c r="B702" s="63" t="str">
        <x:v>E16</x:v>
      </x:c>
      <x:c r="C702" s="63" t="str">
        <x:v>bank_observed_trade_finance_yoy_change</x:v>
      </x:c>
      <x:c r="D702" s="63" t="str">
        <x:v>RATIO</x:v>
      </x:c>
      <x:c r="E702" s="63" t="str">
        <x:v>OBSERVED</x:v>
      </x:c>
      <x:c r="F702" s="65"/>
      <x:c r="G702" s="66" t="n">
        <x:v>-0.032971</x:v>
      </x:c>
      <x:c r="H702" s="67"/>
      <x:c r="I702" s="63"/>
      <x:c r="J702" s="63"/>
      <x:c r="K702" s="63" t="str">
        <x:v>ratio</x:v>
      </x:c>
      <x:c r="L702" s="63" t="str">
        <x:v>2025-06-01</x:v>
      </x:c>
      <x:c r="M702" s="63" t="str">
        <x:v>2026-06-30</x:v>
      </x:c>
      <x:c r="N702" s="63" t="str">
        <x:v>2026-06-30</x:v>
      </x:c>
      <x:c r="O702" s="63" t="str">
        <x:v>E0</x:v>
      </x:c>
      <x:c r="P702" s="63" t="str">
        <x:v>APPROVED</x:v>
      </x:c>
      <x:c r="Q702" s="64" t="b">
        <x:v>0</x:v>
      </x:c>
      <x:c r="R702" s="63" t="str">
        <x:v>WORKING_CAPITAL_CYCLE, OPERATING_MODEL</x:v>
      </x:c>
      <x:c r="S702" s="63" t="str">
        <x:v>Syn Bank transaction and relationship simulation</x:v>
      </x:c>
      <x:c r="T702" s="63"/>
      <x:c r="U702" s="63" t="str">
        <x:v>internal://syn-bank/simulation/ltm</x:v>
      </x:c>
      <x:c r="V702" s="63" t="str">
        <x:v>207dd80c7a954ebb0bd8a30f2be8bdf5ce1afff849018968fb0725575f0eb479</x:v>
      </x:c>
    </x:row>
    <x:row r="703">
      <x:c r="A703" s="63" t="str">
        <x:v>bec:E16:obs:corridor:0</x:v>
      </x:c>
      <x:c r="B703" s="63" t="str">
        <x:v>E16</x:v>
      </x:c>
      <x:c r="C703" s="63" t="str">
        <x:v>bank_observed_corridor_value</x:v>
      </x:c>
      <x:c r="D703" s="63" t="str">
        <x:v>MONEY</x:v>
      </x:c>
      <x:c r="E703" s="63" t="str">
        <x:v>OBSERVED</x:v>
      </x:c>
      <x:c r="F703" s="65" t="n">
        <x:v>2013627477.0299988</x:v>
      </x:c>
      <x:c r="G703" s="66"/>
      <x:c r="H703" s="67"/>
      <x:c r="I703" s="63"/>
      <x:c r="J703" s="63" t="str">
        <x:v>ZAR</x:v>
      </x:c>
      <x:c r="K703" s="63" t="str">
        <x:v>ZAR</x:v>
      </x:c>
      <x:c r="L703" s="63" t="str">
        <x:v>2025-06-01</x:v>
      </x:c>
      <x:c r="M703" s="63" t="str">
        <x:v>2026-06-30</x:v>
      </x:c>
      <x:c r="N703" s="63" t="str">
        <x:v>2026-06-30</x:v>
      </x:c>
      <x:c r="O703" s="63" t="str">
        <x:v>E0</x:v>
      </x:c>
      <x:c r="P703" s="63" t="str">
        <x:v>APPROVED</x:v>
      </x:c>
      <x:c r="Q703" s="64" t="b">
        <x:v>1</x:v>
      </x:c>
      <x:c r="R703" s="63" t="str">
        <x:v>GEOGRAPHIC_EXPOSURE</x:v>
      </x:c>
      <x:c r="S703" s="63" t="str">
        <x:v>Syn Bank transaction and relationship simulation</x:v>
      </x:c>
      <x:c r="T703" s="63"/>
      <x:c r="U703" s="63" t="str">
        <x:v>internal://syn-bank/simulation/ltm</x:v>
      </x:c>
      <x:c r="V703" s="63" t="str">
        <x:v>79cd4cf2e84949d59c9aa5ccdcad5ce05c32b51cd10e09c823640423f954790e</x:v>
      </x:c>
    </x:row>
    <x:row r="704">
      <x:c r="A704" s="63" t="str">
        <x:v>bec:E16:obs:corridor-name:0</x:v>
      </x:c>
      <x:c r="B704" s="63" t="str">
        <x:v>E16</x:v>
      </x:c>
      <x:c r="C704" s="63" t="str">
        <x:v>bank_observed_corridor_country</x:v>
      </x:c>
      <x:c r="D704" s="63" t="str">
        <x:v>CATEGORICAL</x:v>
      </x:c>
      <x:c r="E704" s="63" t="str">
        <x:v>OBSERVED</x:v>
      </x:c>
      <x:c r="F704" s="65"/>
      <x:c r="G704" s="66"/>
      <x:c r="H704" s="67"/>
      <x:c r="I704" s="63" t="str">
        <x:v>Nigeria</x:v>
      </x:c>
      <x:c r="J704" s="63"/>
      <x:c r="K704" s="63" t="str">
        <x:v>country</x:v>
      </x:c>
      <x:c r="L704" s="63" t="str">
        <x:v>2025-06-01</x:v>
      </x:c>
      <x:c r="M704" s="63" t="str">
        <x:v>2026-06-30</x:v>
      </x:c>
      <x:c r="N704" s="63" t="str">
        <x:v>2026-06-30</x:v>
      </x:c>
      <x:c r="O704" s="63" t="str">
        <x:v>E0</x:v>
      </x:c>
      <x:c r="P704" s="63" t="str">
        <x:v>APPROVED</x:v>
      </x:c>
      <x:c r="Q704" s="64" t="b">
        <x:v>0</x:v>
      </x:c>
      <x:c r="R704" s="63" t="str">
        <x:v>GEOGRAPHIC_EXPOSURE</x:v>
      </x:c>
      <x:c r="S704" s="63" t="str">
        <x:v>Syn Bank transaction and relationship simulation</x:v>
      </x:c>
      <x:c r="T704" s="63"/>
      <x:c r="U704" s="63" t="str">
        <x:v>internal://syn-bank/simulation/ltm</x:v>
      </x:c>
      <x:c r="V704" s="63" t="str">
        <x:v>848b0f30741280cfd27e6a0941957aadc1b73e73eea6f26cbdf912c87a62197d</x:v>
      </x:c>
    </x:row>
    <x:row r="705">
      <x:c r="A705" s="63" t="str">
        <x:v>bec:E16:obs:corridor:1</x:v>
      </x:c>
      <x:c r="B705" s="63" t="str">
        <x:v>E16</x:v>
      </x:c>
      <x:c r="C705" s="63" t="str">
        <x:v>bank_observed_corridor_value</x:v>
      </x:c>
      <x:c r="D705" s="63" t="str">
        <x:v>MONEY</x:v>
      </x:c>
      <x:c r="E705" s="63" t="str">
        <x:v>OBSERVED</x:v>
      </x:c>
      <x:c r="F705" s="65" t="n">
        <x:v>1946735818.940005</x:v>
      </x:c>
      <x:c r="G705" s="66"/>
      <x:c r="H705" s="67"/>
      <x:c r="I705" s="63"/>
      <x:c r="J705" s="63" t="str">
        <x:v>ZAR</x:v>
      </x:c>
      <x:c r="K705" s="63" t="str">
        <x:v>ZAR</x:v>
      </x:c>
      <x:c r="L705" s="63" t="str">
        <x:v>2025-06-01</x:v>
      </x:c>
      <x:c r="M705" s="63" t="str">
        <x:v>2026-06-30</x:v>
      </x:c>
      <x:c r="N705" s="63" t="str">
        <x:v>2026-06-30</x:v>
      </x:c>
      <x:c r="O705" s="63" t="str">
        <x:v>E0</x:v>
      </x:c>
      <x:c r="P705" s="63" t="str">
        <x:v>APPROVED</x:v>
      </x:c>
      <x:c r="Q705" s="64" t="b">
        <x:v>0</x:v>
      </x:c>
      <x:c r="R705" s="63" t="str">
        <x:v>GEOGRAPHIC_EXPOSURE</x:v>
      </x:c>
      <x:c r="S705" s="63" t="str">
        <x:v>Syn Bank transaction and relationship simulation</x:v>
      </x:c>
      <x:c r="T705" s="63"/>
      <x:c r="U705" s="63" t="str">
        <x:v>internal://syn-bank/simulation/ltm</x:v>
      </x:c>
      <x:c r="V705" s="63" t="str">
        <x:v>ec2e621fc7cee535b955ffc6a7689fad17e26b3d975a98625db7a9a5087a571b</x:v>
      </x:c>
    </x:row>
    <x:row r="706">
      <x:c r="A706" s="63" t="str">
        <x:v>bec:E16:obs:corridor-name:1</x:v>
      </x:c>
      <x:c r="B706" s="63" t="str">
        <x:v>E16</x:v>
      </x:c>
      <x:c r="C706" s="63" t="str">
        <x:v>bank_observed_corridor_country</x:v>
      </x:c>
      <x:c r="D706" s="63" t="str">
        <x:v>CATEGORICAL</x:v>
      </x:c>
      <x:c r="E706" s="63" t="str">
        <x:v>OBSERVED</x:v>
      </x:c>
      <x:c r="F706" s="65"/>
      <x:c r="G706" s="66"/>
      <x:c r="H706" s="67"/>
      <x:c r="I706" s="63" t="str">
        <x:v>Ghana</x:v>
      </x:c>
      <x:c r="J706" s="63"/>
      <x:c r="K706" s="63" t="str">
        <x:v>country</x:v>
      </x:c>
      <x:c r="L706" s="63" t="str">
        <x:v>2025-06-01</x:v>
      </x:c>
      <x:c r="M706" s="63" t="str">
        <x:v>2026-06-30</x:v>
      </x:c>
      <x:c r="N706" s="63" t="str">
        <x:v>2026-06-30</x:v>
      </x:c>
      <x:c r="O706" s="63" t="str">
        <x:v>E0</x:v>
      </x:c>
      <x:c r="P706" s="63" t="str">
        <x:v>APPROVED</x:v>
      </x:c>
      <x:c r="Q706" s="64" t="b">
        <x:v>0</x:v>
      </x:c>
      <x:c r="R706" s="63" t="str">
        <x:v>GEOGRAPHIC_EXPOSURE</x:v>
      </x:c>
      <x:c r="S706" s="63" t="str">
        <x:v>Syn Bank transaction and relationship simulation</x:v>
      </x:c>
      <x:c r="T706" s="63"/>
      <x:c r="U706" s="63" t="str">
        <x:v>internal://syn-bank/simulation/ltm</x:v>
      </x:c>
      <x:c r="V706" s="63" t="str">
        <x:v>a4a521355a268ba0c81b553df9cc2aa8c3778d88882474648ecacae09a5b7b96</x:v>
      </x:c>
    </x:row>
    <x:row r="707">
      <x:c r="A707" s="63" t="str">
        <x:v>bec:E16:obs:corridor:2</x:v>
      </x:c>
      <x:c r="B707" s="63" t="str">
        <x:v>E16</x:v>
      </x:c>
      <x:c r="C707" s="63" t="str">
        <x:v>bank_observed_corridor_value</x:v>
      </x:c>
      <x:c r="D707" s="63" t="str">
        <x:v>MONEY</x:v>
      </x:c>
      <x:c r="E707" s="63" t="str">
        <x:v>OBSERVED</x:v>
      </x:c>
      <x:c r="F707" s="65" t="n">
        <x:v>1613555820.4499989</x:v>
      </x:c>
      <x:c r="G707" s="66"/>
      <x:c r="H707" s="67"/>
      <x:c r="I707" s="63"/>
      <x:c r="J707" s="63" t="str">
        <x:v>ZAR</x:v>
      </x:c>
      <x:c r="K707" s="63" t="str">
        <x:v>ZAR</x:v>
      </x:c>
      <x:c r="L707" s="63" t="str">
        <x:v>2025-06-01</x:v>
      </x:c>
      <x:c r="M707" s="63" t="str">
        <x:v>2026-06-30</x:v>
      </x:c>
      <x:c r="N707" s="63" t="str">
        <x:v>2026-06-30</x:v>
      </x:c>
      <x:c r="O707" s="63" t="str">
        <x:v>E0</x:v>
      </x:c>
      <x:c r="P707" s="63" t="str">
        <x:v>APPROVED</x:v>
      </x:c>
      <x:c r="Q707" s="64" t="b">
        <x:v>0</x:v>
      </x:c>
      <x:c r="R707" s="63" t="str">
        <x:v>GEOGRAPHIC_EXPOSURE</x:v>
      </x:c>
      <x:c r="S707" s="63" t="str">
        <x:v>Syn Bank transaction and relationship simulation</x:v>
      </x:c>
      <x:c r="T707" s="63"/>
      <x:c r="U707" s="63" t="str">
        <x:v>internal://syn-bank/simulation/ltm</x:v>
      </x:c>
      <x:c r="V707" s="63" t="str">
        <x:v>52d997a9ff0e52c3fa3a637e7be7e5468f5fe6335622f5c1dad2f3fe72e67935</x:v>
      </x:c>
    </x:row>
    <x:row r="708">
      <x:c r="A708" s="63" t="str">
        <x:v>bec:E16:obs:corridor-name:2</x:v>
      </x:c>
      <x:c r="B708" s="63" t="str">
        <x:v>E16</x:v>
      </x:c>
      <x:c r="C708" s="63" t="str">
        <x:v>bank_observed_corridor_country</x:v>
      </x:c>
      <x:c r="D708" s="63" t="str">
        <x:v>CATEGORICAL</x:v>
      </x:c>
      <x:c r="E708" s="63" t="str">
        <x:v>OBSERVED</x:v>
      </x:c>
      <x:c r="F708" s="65"/>
      <x:c r="G708" s="66"/>
      <x:c r="H708" s="67"/>
      <x:c r="I708" s="63" t="str">
        <x:v>Cameroon</x:v>
      </x:c>
      <x:c r="J708" s="63"/>
      <x:c r="K708" s="63" t="str">
        <x:v>country</x:v>
      </x:c>
      <x:c r="L708" s="63" t="str">
        <x:v>2025-06-01</x:v>
      </x:c>
      <x:c r="M708" s="63" t="str">
        <x:v>2026-06-30</x:v>
      </x:c>
      <x:c r="N708" s="63" t="str">
        <x:v>2026-06-30</x:v>
      </x:c>
      <x:c r="O708" s="63" t="str">
        <x:v>E0</x:v>
      </x:c>
      <x:c r="P708" s="63" t="str">
        <x:v>APPROVED</x:v>
      </x:c>
      <x:c r="Q708" s="64" t="b">
        <x:v>0</x:v>
      </x:c>
      <x:c r="R708" s="63" t="str">
        <x:v>GEOGRAPHIC_EXPOSURE</x:v>
      </x:c>
      <x:c r="S708" s="63" t="str">
        <x:v>Syn Bank transaction and relationship simulation</x:v>
      </x:c>
      <x:c r="T708" s="63"/>
      <x:c r="U708" s="63" t="str">
        <x:v>internal://syn-bank/simulation/ltm</x:v>
      </x:c>
      <x:c r="V708" s="63" t="str">
        <x:v>4def94df3887c46e82356957f7d0189d3a657c50d06bd3b97d6dfe8a577fe1fc</x:v>
      </x:c>
    </x:row>
    <x:row r="709">
      <x:c r="A709" s="63" t="str">
        <x:v>bec:E16:obs:currency:0</x:v>
      </x:c>
      <x:c r="B709" s="63" t="str">
        <x:v>E16</x:v>
      </x:c>
      <x:c r="C709" s="63" t="str">
        <x:v>bank_observed_currency_pair_value</x:v>
      </x:c>
      <x:c r="D709" s="63" t="str">
        <x:v>MONEY</x:v>
      </x:c>
      <x:c r="E709" s="63" t="str">
        <x:v>OBSERVED</x:v>
      </x:c>
      <x:c r="F709" s="65" t="n">
        <x:v>3945993204.26999</x:v>
      </x:c>
      <x:c r="G709" s="66"/>
      <x:c r="H709" s="67"/>
      <x:c r="I709" s="63"/>
      <x:c r="J709" s="63" t="str">
        <x:v>ZAR</x:v>
      </x:c>
      <x:c r="K709" s="63" t="str">
        <x:v>ZAR</x:v>
      </x:c>
      <x:c r="L709" s="63" t="str">
        <x:v>2025-06-01</x:v>
      </x:c>
      <x:c r="M709" s="63" t="str">
        <x:v>2026-06-30</x:v>
      </x:c>
      <x:c r="N709" s="63" t="str">
        <x:v>2026-06-30</x:v>
      </x:c>
      <x:c r="O709" s="63" t="str">
        <x:v>E0</x:v>
      </x:c>
      <x:c r="P709" s="63" t="str">
        <x:v>APPROVED</x:v>
      </x:c>
      <x:c r="Q709" s="64" t="b">
        <x:v>1</x:v>
      </x:c>
      <x:c r="R709" s="63" t="str">
        <x:v>CURRENCY_AND_COMMODITY_EXPOSURE</x:v>
      </x:c>
      <x:c r="S709" s="63" t="str">
        <x:v>Syn Bank transaction and relationship simulation</x:v>
      </x:c>
      <x:c r="T709" s="63"/>
      <x:c r="U709" s="63" t="str">
        <x:v>internal://syn-bank/simulation/ltm</x:v>
      </x:c>
      <x:c r="V709" s="63" t="str">
        <x:v>a505b491e76e1cdce9af76bf37fd8387d491610e5fd8071196283d573e73e387</x:v>
      </x:c>
    </x:row>
    <x:row r="710">
      <x:c r="A710" s="63" t="str">
        <x:v>bec:E16:obs:currency-pair:0</x:v>
      </x:c>
      <x:c r="B710" s="63" t="str">
        <x:v>E16</x:v>
      </x:c>
      <x:c r="C710" s="63" t="str">
        <x:v>bank_observed_currency_pair</x:v>
      </x:c>
      <x:c r="D710" s="63" t="str">
        <x:v>CATEGORICAL</x:v>
      </x:c>
      <x:c r="E710" s="63" t="str">
        <x:v>OBSERVED</x:v>
      </x:c>
      <x:c r="F710" s="65"/>
      <x:c r="G710" s="66"/>
      <x:c r="H710" s="67"/>
      <x:c r="I710" s="63" t="str">
        <x:v>USD/ZAR</x:v>
      </x:c>
      <x:c r="J710" s="63"/>
      <x:c r="K710" s="63" t="str">
        <x:v>currency_pair</x:v>
      </x:c>
      <x:c r="L710" s="63" t="str">
        <x:v>2025-06-01</x:v>
      </x:c>
      <x:c r="M710" s="63" t="str">
        <x:v>2026-06-30</x:v>
      </x:c>
      <x:c r="N710" s="63" t="str">
        <x:v>2026-06-30</x:v>
      </x:c>
      <x:c r="O710" s="63" t="str">
        <x:v>E0</x:v>
      </x:c>
      <x:c r="P710" s="63" t="str">
        <x:v>APPROVED</x:v>
      </x:c>
      <x:c r="Q710" s="64" t="b">
        <x:v>0</x:v>
      </x:c>
      <x:c r="R710" s="63" t="str">
        <x:v>CURRENCY_AND_COMMODITY_EXPOSURE</x:v>
      </x:c>
      <x:c r="S710" s="63" t="str">
        <x:v>Syn Bank transaction and relationship simulation</x:v>
      </x:c>
      <x:c r="T710" s="63"/>
      <x:c r="U710" s="63" t="str">
        <x:v>internal://syn-bank/simulation/ltm</x:v>
      </x:c>
      <x:c r="V710" s="63" t="str">
        <x:v>cf298349dc9906f55743ea7abc04052360160007371842d0c652b651e583ec18</x:v>
      </x:c>
    </x:row>
    <x:row r="711">
      <x:c r="A711" s="63" t="str">
        <x:v>bec:E16:obs:currency:1</x:v>
      </x:c>
      <x:c r="B711" s="63" t="str">
        <x:v>E16</x:v>
      </x:c>
      <x:c r="C711" s="63" t="str">
        <x:v>bank_observed_currency_pair_value</x:v>
      </x:c>
      <x:c r="D711" s="63" t="str">
        <x:v>MONEY</x:v>
      </x:c>
      <x:c r="E711" s="63" t="str">
        <x:v>OBSERVED</x:v>
      </x:c>
      <x:c r="F711" s="65" t="n">
        <x:v>3938468890.719988</x:v>
      </x:c>
      <x:c r="G711" s="66"/>
      <x:c r="H711" s="67"/>
      <x:c r="I711" s="63"/>
      <x:c r="J711" s="63" t="str">
        <x:v>ZAR</x:v>
      </x:c>
      <x:c r="K711" s="63" t="str">
        <x:v>ZAR</x:v>
      </x:c>
      <x:c r="L711" s="63" t="str">
        <x:v>2025-06-01</x:v>
      </x:c>
      <x:c r="M711" s="63" t="str">
        <x:v>2026-06-30</x:v>
      </x:c>
      <x:c r="N711" s="63" t="str">
        <x:v>2026-06-30</x:v>
      </x:c>
      <x:c r="O711" s="63" t="str">
        <x:v>E0</x:v>
      </x:c>
      <x:c r="P711" s="63" t="str">
        <x:v>APPROVED</x:v>
      </x:c>
      <x:c r="Q711" s="64" t="b">
        <x:v>0</x:v>
      </x:c>
      <x:c r="R711" s="63" t="str">
        <x:v>CURRENCY_AND_COMMODITY_EXPOSURE</x:v>
      </x:c>
      <x:c r="S711" s="63" t="str">
        <x:v>Syn Bank transaction and relationship simulation</x:v>
      </x:c>
      <x:c r="T711" s="63"/>
      <x:c r="U711" s="63" t="str">
        <x:v>internal://syn-bank/simulation/ltm</x:v>
      </x:c>
      <x:c r="V711" s="63" t="str">
        <x:v>612489edc51a75200f9f9a27079aada337ecfe2f003585a72ab78b3c8a61e1d8</x:v>
      </x:c>
    </x:row>
    <x:row r="712">
      <x:c r="A712" s="63" t="str">
        <x:v>bec:E16:obs:currency-pair:1</x:v>
      </x:c>
      <x:c r="B712" s="63" t="str">
        <x:v>E16</x:v>
      </x:c>
      <x:c r="C712" s="63" t="str">
        <x:v>bank_observed_currency_pair</x:v>
      </x:c>
      <x:c r="D712" s="63" t="str">
        <x:v>CATEGORICAL</x:v>
      </x:c>
      <x:c r="E712" s="63" t="str">
        <x:v>OBSERVED</x:v>
      </x:c>
      <x:c r="F712" s="65"/>
      <x:c r="G712" s="66"/>
      <x:c r="H712" s="67"/>
      <x:c r="I712" s="63" t="str">
        <x:v>EUR/ZAR</x:v>
      </x:c>
      <x:c r="J712" s="63"/>
      <x:c r="K712" s="63" t="str">
        <x:v>currency_pair</x:v>
      </x:c>
      <x:c r="L712" s="63" t="str">
        <x:v>2025-06-01</x:v>
      </x:c>
      <x:c r="M712" s="63" t="str">
        <x:v>2026-06-30</x:v>
      </x:c>
      <x:c r="N712" s="63" t="str">
        <x:v>2026-06-30</x:v>
      </x:c>
      <x:c r="O712" s="63" t="str">
        <x:v>E0</x:v>
      </x:c>
      <x:c r="P712" s="63" t="str">
        <x:v>APPROVED</x:v>
      </x:c>
      <x:c r="Q712" s="64" t="b">
        <x:v>0</x:v>
      </x:c>
      <x:c r="R712" s="63" t="str">
        <x:v>CURRENCY_AND_COMMODITY_EXPOSURE</x:v>
      </x:c>
      <x:c r="S712" s="63" t="str">
        <x:v>Syn Bank transaction and relationship simulation</x:v>
      </x:c>
      <x:c r="T712" s="63"/>
      <x:c r="U712" s="63" t="str">
        <x:v>internal://syn-bank/simulation/ltm</x:v>
      </x:c>
      <x:c r="V712" s="63" t="str">
        <x:v>10bb1f9f10d2b0dd96a75c0c0070483488d8b2c4512bad162fa7b2a01ae2541b</x:v>
      </x:c>
    </x:row>
    <x:row r="713">
      <x:c r="A713" s="63" t="str">
        <x:v>bec:E16:obs:currency:2</x:v>
      </x:c>
      <x:c r="B713" s="63" t="str">
        <x:v>E16</x:v>
      </x:c>
      <x:c r="C713" s="63" t="str">
        <x:v>bank_observed_currency_pair_value</x:v>
      </x:c>
      <x:c r="D713" s="63" t="str">
        <x:v>MONEY</x:v>
      </x:c>
      <x:c r="E713" s="63" t="str">
        <x:v>OBSERVED</x:v>
      </x:c>
      <x:c r="F713" s="65" t="n">
        <x:v>3893464714.1700044</x:v>
      </x:c>
      <x:c r="G713" s="66"/>
      <x:c r="H713" s="67"/>
      <x:c r="I713" s="63"/>
      <x:c r="J713" s="63" t="str">
        <x:v>ZAR</x:v>
      </x:c>
      <x:c r="K713" s="63" t="str">
        <x:v>ZAR</x:v>
      </x:c>
      <x:c r="L713" s="63" t="str">
        <x:v>2025-06-01</x:v>
      </x:c>
      <x:c r="M713" s="63" t="str">
        <x:v>2026-06-30</x:v>
      </x:c>
      <x:c r="N713" s="63" t="str">
        <x:v>2026-06-30</x:v>
      </x:c>
      <x:c r="O713" s="63" t="str">
        <x:v>E0</x:v>
      </x:c>
      <x:c r="P713" s="63" t="str">
        <x:v>APPROVED</x:v>
      </x:c>
      <x:c r="Q713" s="64" t="b">
        <x:v>0</x:v>
      </x:c>
      <x:c r="R713" s="63" t="str">
        <x:v>CURRENCY_AND_COMMODITY_EXPOSURE</x:v>
      </x:c>
      <x:c r="S713" s="63" t="str">
        <x:v>Syn Bank transaction and relationship simulation</x:v>
      </x:c>
      <x:c r="T713" s="63"/>
      <x:c r="U713" s="63" t="str">
        <x:v>internal://syn-bank/simulation/ltm</x:v>
      </x:c>
      <x:c r="V713" s="63" t="str">
        <x:v>b72647bc0604a01c4beef88bff23d77018ce8335676a630184147136422fb867</x:v>
      </x:c>
    </x:row>
    <x:row r="714">
      <x:c r="A714" s="63" t="str">
        <x:v>bec:E16:obs:currency-pair:2</x:v>
      </x:c>
      <x:c r="B714" s="63" t="str">
        <x:v>E16</x:v>
      </x:c>
      <x:c r="C714" s="63" t="str">
        <x:v>bank_observed_currency_pair</x:v>
      </x:c>
      <x:c r="D714" s="63" t="str">
        <x:v>CATEGORICAL</x:v>
      </x:c>
      <x:c r="E714" s="63" t="str">
        <x:v>OBSERVED</x:v>
      </x:c>
      <x:c r="F714" s="65"/>
      <x:c r="G714" s="66"/>
      <x:c r="H714" s="67"/>
      <x:c r="I714" s="63" t="str">
        <x:v>CNY/ZAR</x:v>
      </x:c>
      <x:c r="J714" s="63"/>
      <x:c r="K714" s="63" t="str">
        <x:v>currency_pair</x:v>
      </x:c>
      <x:c r="L714" s="63" t="str">
        <x:v>2025-06-01</x:v>
      </x:c>
      <x:c r="M714" s="63" t="str">
        <x:v>2026-06-30</x:v>
      </x:c>
      <x:c r="N714" s="63" t="str">
        <x:v>2026-06-30</x:v>
      </x:c>
      <x:c r="O714" s="63" t="str">
        <x:v>E0</x:v>
      </x:c>
      <x:c r="P714" s="63" t="str">
        <x:v>APPROVED</x:v>
      </x:c>
      <x:c r="Q714" s="64" t="b">
        <x:v>0</x:v>
      </x:c>
      <x:c r="R714" s="63" t="str">
        <x:v>CURRENCY_AND_COMMODITY_EXPOSURE</x:v>
      </x:c>
      <x:c r="S714" s="63" t="str">
        <x:v>Syn Bank transaction and relationship simulation</x:v>
      </x:c>
      <x:c r="T714" s="63"/>
      <x:c r="U714" s="63" t="str">
        <x:v>internal://syn-bank/simulation/ltm</x:v>
      </x:c>
      <x:c r="V714" s="63" t="str">
        <x:v>cdca8acbe6840ec42f5ac762dc710d76058e70f3d61d7bca416ef8d802aa9540</x:v>
      </x:c>
    </x:row>
    <x:row r="715">
      <x:c r="A715" s="63" t="str">
        <x:v>bec:E16:obs:country-count</x:v>
      </x:c>
      <x:c r="B715" s="63" t="str">
        <x:v>E16</x:v>
      </x:c>
      <x:c r="C715" s="63" t="str">
        <x:v>bank_observed_active_country_count</x:v>
      </x:c>
      <x:c r="D715" s="63" t="str">
        <x:v>COUNT</x:v>
      </x:c>
      <x:c r="E715" s="63" t="str">
        <x:v>OBSERVED</x:v>
      </x:c>
      <x:c r="F715" s="65"/>
      <x:c r="G715" s="66"/>
      <x:c r="H715" s="67" t="n">
        <x:v>19</x:v>
      </x:c>
      <x:c r="I715" s="63"/>
      <x:c r="J715" s="63"/>
      <x:c r="K715" s="63" t="str">
        <x:v>countries</x:v>
      </x:c>
      <x:c r="L715" s="63" t="str">
        <x:v>2025-06-01</x:v>
      </x:c>
      <x:c r="M715" s="63" t="str">
        <x:v>2026-06-30</x:v>
      </x:c>
      <x:c r="N715" s="63" t="str">
        <x:v>2026-06-30</x:v>
      </x:c>
      <x:c r="O715" s="63" t="str">
        <x:v>E0</x:v>
      </x:c>
      <x:c r="P715" s="63" t="str">
        <x:v>APPROVED</x:v>
      </x:c>
      <x:c r="Q715" s="64" t="b">
        <x:v>1</x:v>
      </x:c>
      <x:c r="R715" s="63" t="str">
        <x:v>GEOGRAPHIC_EXPOSURE</x:v>
      </x:c>
      <x:c r="S715" s="63" t="str">
        <x:v>Syn Bank transaction and relationship simulation</x:v>
      </x:c>
      <x:c r="T715" s="63"/>
      <x:c r="U715" s="63" t="str">
        <x:v>internal://syn-bank/simulation/ltm</x:v>
      </x:c>
      <x:c r="V715" s="63" t="str">
        <x:v>d6be7e68d50fd8c9f19742d0327c2ea8df8c3a9d76a380ff22dd1eb31c9a0a99</x:v>
      </x:c>
    </x:row>
    <x:row r="716">
      <x:c r="A716" s="63" t="str">
        <x:v>bec:E16:obs:relationship-breadth</x:v>
      </x:c>
      <x:c r="B716" s="63" t="str">
        <x:v>E16</x:v>
      </x:c>
      <x:c r="C716" s="63" t="str">
        <x:v>bank_observed_product_relationship_breadth</x:v>
      </x:c>
      <x:c r="D716" s="63" t="str">
        <x:v>COUNT</x:v>
      </x:c>
      <x:c r="E716" s="63" t="str">
        <x:v>OBSERVED</x:v>
      </x:c>
      <x:c r="F716" s="65"/>
      <x:c r="G716" s="66"/>
      <x:c r="H716" s="67" t="n">
        <x:v>5</x:v>
      </x:c>
      <x:c r="I716" s="63"/>
      <x:c r="J716" s="63"/>
      <x:c r="K716" s="63" t="str">
        <x:v>products</x:v>
      </x:c>
      <x:c r="L716" s="63" t="str">
        <x:v>2025-06-01</x:v>
      </x:c>
      <x:c r="M716" s="63" t="str">
        <x:v>2026-06-30</x:v>
      </x:c>
      <x:c r="N716" s="63" t="str">
        <x:v>2026-06-30</x:v>
      </x:c>
      <x:c r="O716" s="63" t="str">
        <x:v>E0</x:v>
      </x:c>
      <x:c r="P716" s="63" t="str">
        <x:v>APPROVED</x:v>
      </x:c>
      <x:c r="Q716" s="64" t="b">
        <x:v>1</x:v>
      </x:c>
      <x:c r="R716" s="63" t="str">
        <x:v>OPERATING_MODEL</x:v>
      </x:c>
      <x:c r="S716" s="63" t="str">
        <x:v>Syn Bank transaction and relationship simulation</x:v>
      </x:c>
      <x:c r="T716" s="63"/>
      <x:c r="U716" s="63" t="str">
        <x:v>internal://syn-bank/simulation/ltm</x:v>
      </x:c>
      <x:c r="V716" s="63" t="str">
        <x:v>f90ce2cd0d65936dc08b9353ea38dc0201f2c5b6aa503c92969f3de1d9a7e58f</x:v>
      </x:c>
    </x:row>
    <x:row r="717">
      <x:c r="A717" s="63" t="str">
        <x:v>bec:E16:obs:latent:operating_scale</x:v>
      </x:c>
      <x:c r="B717" s="63" t="str">
        <x:v>E16</x:v>
      </x:c>
      <x:c r="C717" s="63" t="str">
        <x:v>bank_observed_operating_scale_index</x:v>
      </x:c>
      <x:c r="D717" s="63" t="str">
        <x:v>RATIO</x:v>
      </x:c>
      <x:c r="E717" s="63" t="str">
        <x:v>OBSERVED</x:v>
      </x:c>
      <x:c r="F717" s="65"/>
      <x:c r="G717" s="66" t="n">
        <x:v>0.8</x:v>
      </x:c>
      <x:c r="H717" s="67"/>
      <x:c r="I717" s="63"/>
      <x:c r="J717" s="63"/>
      <x:c r="K717" s="63" t="str">
        <x:v>index_0_1</x:v>
      </x:c>
      <x:c r="L717" s="63" t="str">
        <x:v>2025-06-01</x:v>
      </x:c>
      <x:c r="M717" s="63" t="str">
        <x:v>2026-06-30</x:v>
      </x:c>
      <x:c r="N717" s="63" t="str">
        <x:v>2026-06-30</x:v>
      </x:c>
      <x:c r="O717" s="63" t="str">
        <x:v>E0</x:v>
      </x:c>
      <x:c r="P717" s="63" t="str">
        <x:v>APPROVED</x:v>
      </x:c>
      <x:c r="Q717" s="64" t="b">
        <x:v>0</x:v>
      </x:c>
      <x:c r="R717" s="63" t="str">
        <x:v>OPERATING_MODEL</x:v>
      </x:c>
      <x:c r="S717" s="63" t="str">
        <x:v>Syn Bank transaction and relationship simulation</x:v>
      </x:c>
      <x:c r="T717" s="63"/>
      <x:c r="U717" s="63" t="str">
        <x:v>internal://syn-bank/simulation/ltm</x:v>
      </x:c>
      <x:c r="V717" s="63" t="str">
        <x:v>bdcf7144c8b2863f7e7856cdd7d908f91d56ee341b7e928987c6ed22866a9caf</x:v>
      </x:c>
    </x:row>
    <x:row r="718">
      <x:c r="A718" s="63" t="str">
        <x:v>bec:E16:obs:latent:working_capital_intensity</x:v>
      </x:c>
      <x:c r="B718" s="63" t="str">
        <x:v>E16</x:v>
      </x:c>
      <x:c r="C718" s="63" t="str">
        <x:v>bank_observed_working_capital_intensity_index</x:v>
      </x:c>
      <x:c r="D718" s="63" t="str">
        <x:v>RATIO</x:v>
      </x:c>
      <x:c r="E718" s="63" t="str">
        <x:v>OBSERVED</x:v>
      </x:c>
      <x:c r="F718" s="65"/>
      <x:c r="G718" s="66" t="n">
        <x:v>0.571</x:v>
      </x:c>
      <x:c r="H718" s="67"/>
      <x:c r="I718" s="63"/>
      <x:c r="J718" s="63"/>
      <x:c r="K718" s="63" t="str">
        <x:v>index_0_1</x:v>
      </x:c>
      <x:c r="L718" s="63" t="str">
        <x:v>2025-06-01</x:v>
      </x:c>
      <x:c r="M718" s="63" t="str">
        <x:v>2026-06-30</x:v>
      </x:c>
      <x:c r="N718" s="63" t="str">
        <x:v>2026-06-30</x:v>
      </x:c>
      <x:c r="O718" s="63" t="str">
        <x:v>E0</x:v>
      </x:c>
      <x:c r="P718" s="63" t="str">
        <x:v>APPROVED</x:v>
      </x:c>
      <x:c r="Q718" s="64" t="b">
        <x:v>0</x:v>
      </x:c>
      <x:c r="R718" s="63" t="str">
        <x:v>WORKING_CAPITAL_CYCLE</x:v>
      </x:c>
      <x:c r="S718" s="63" t="str">
        <x:v>Syn Bank transaction and relationship simulation</x:v>
      </x:c>
      <x:c r="T718" s="63"/>
      <x:c r="U718" s="63" t="str">
        <x:v>internal://syn-bank/simulation/ltm</x:v>
      </x:c>
      <x:c r="V718" s="63" t="str">
        <x:v>a2a7fc0c05fa8935d0054a088d62770c237184756b104c29ee9cf37b0e5a51ca</x:v>
      </x:c>
    </x:row>
    <x:row r="719">
      <x:c r="A719" s="63" t="str">
        <x:v>bec:E16:obs:latent:liquidity_volatility</x:v>
      </x:c>
      <x:c r="B719" s="63" t="str">
        <x:v>E16</x:v>
      </x:c>
      <x:c r="C719" s="63" t="str">
        <x:v>bank_observed_liquidity_volatility_index</x:v>
      </x:c>
      <x:c r="D719" s="63" t="str">
        <x:v>RATIO</x:v>
      </x:c>
      <x:c r="E719" s="63" t="str">
        <x:v>OBSERVED</x:v>
      </x:c>
      <x:c r="F719" s="65"/>
      <x:c r="G719" s="66" t="n">
        <x:v>0.034</x:v>
      </x:c>
      <x:c r="H719" s="67"/>
      <x:c r="I719" s="63"/>
      <x:c r="J719" s="63"/>
      <x:c r="K719" s="63" t="str">
        <x:v>index_0_1</x:v>
      </x:c>
      <x:c r="L719" s="63" t="str">
        <x:v>2025-06-01</x:v>
      </x:c>
      <x:c r="M719" s="63" t="str">
        <x:v>2026-06-30</x:v>
      </x:c>
      <x:c r="N719" s="63" t="str">
        <x:v>2026-06-30</x:v>
      </x:c>
      <x:c r="O719" s="63" t="str">
        <x:v>E0</x:v>
      </x:c>
      <x:c r="P719" s="63" t="str">
        <x:v>APPROVED</x:v>
      </x:c>
      <x:c r="Q719" s="64" t="b">
        <x:v>0</x:v>
      </x:c>
      <x:c r="R719" s="63" t="str">
        <x:v>LIQUIDITY_AND_BUFFER</x:v>
      </x:c>
      <x:c r="S719" s="63" t="str">
        <x:v>Syn Bank transaction and relationship simulation</x:v>
      </x:c>
      <x:c r="T719" s="63"/>
      <x:c r="U719" s="63" t="str">
        <x:v>internal://syn-bank/simulation/ltm</x:v>
      </x:c>
      <x:c r="V719" s="63" t="str">
        <x:v>1b80ac887a05d4d2658124379a842054b7918a7991cb78a062b22677d7209c66</x:v>
      </x:c>
    </x:row>
    <x:row r="720">
      <x:c r="A720" s="63" t="str">
        <x:v>bec:E16:obs:latent:international_exposure</x:v>
      </x:c>
      <x:c r="B720" s="63" t="str">
        <x:v>E16</x:v>
      </x:c>
      <x:c r="C720" s="63" t="str">
        <x:v>bank_observed_international_exposure_index</x:v>
      </x:c>
      <x:c r="D720" s="63" t="str">
        <x:v>RATIO</x:v>
      </x:c>
      <x:c r="E720" s="63" t="str">
        <x:v>OBSERVED</x:v>
      </x:c>
      <x:c r="F720" s="65"/>
      <x:c r="G720" s="66" t="n">
        <x:v>0.429</x:v>
      </x:c>
      <x:c r="H720" s="67"/>
      <x:c r="I720" s="63"/>
      <x:c r="J720" s="63"/>
      <x:c r="K720" s="63" t="str">
        <x:v>index_0_1</x:v>
      </x:c>
      <x:c r="L720" s="63" t="str">
        <x:v>2025-06-01</x:v>
      </x:c>
      <x:c r="M720" s="63" t="str">
        <x:v>2026-06-30</x:v>
      </x:c>
      <x:c r="N720" s="63" t="str">
        <x:v>2026-06-30</x:v>
      </x:c>
      <x:c r="O720" s="63" t="str">
        <x:v>E0</x:v>
      </x:c>
      <x:c r="P720" s="63" t="str">
        <x:v>APPROVED</x:v>
      </x:c>
      <x:c r="Q720" s="64" t="b">
        <x:v>0</x:v>
      </x:c>
      <x:c r="R720" s="63" t="str">
        <x:v>GEOGRAPHIC_EXPOSURE</x:v>
      </x:c>
      <x:c r="S720" s="63" t="str">
        <x:v>Syn Bank transaction and relationship simulation</x:v>
      </x:c>
      <x:c r="T720" s="63"/>
      <x:c r="U720" s="63" t="str">
        <x:v>internal://syn-bank/simulation/ltm</x:v>
      </x:c>
      <x:c r="V720" s="63" t="str">
        <x:v>37dd6ce71d35626c4be49931fe044c0c66ee684fdff6fd4d027b7755bf4f24c5</x:v>
      </x:c>
    </x:row>
    <x:row r="721">
      <x:c r="A721" s="63" t="str">
        <x:v>bec:E16:obs:latent:financing_need</x:v>
      </x:c>
      <x:c r="B721" s="63" t="str">
        <x:v>E16</x:v>
      </x:c>
      <x:c r="C721" s="63" t="str">
        <x:v>bank_observed_financing_need_index</x:v>
      </x:c>
      <x:c r="D721" s="63" t="str">
        <x:v>RATIO</x:v>
      </x:c>
      <x:c r="E721" s="63" t="str">
        <x:v>OBSERVED</x:v>
      </x:c>
      <x:c r="F721" s="65"/>
      <x:c r="G721" s="66" t="n">
        <x:v>0.043</x:v>
      </x:c>
      <x:c r="H721" s="67"/>
      <x:c r="I721" s="63"/>
      <x:c r="J721" s="63"/>
      <x:c r="K721" s="63" t="str">
        <x:v>index_0_1</x:v>
      </x:c>
      <x:c r="L721" s="63" t="str">
        <x:v>2025-06-01</x:v>
      </x:c>
      <x:c r="M721" s="63" t="str">
        <x:v>2026-06-30</x:v>
      </x:c>
      <x:c r="N721" s="63" t="str">
        <x:v>2026-06-30</x:v>
      </x:c>
      <x:c r="O721" s="63" t="str">
        <x:v>E0</x:v>
      </x:c>
      <x:c r="P721" s="63" t="str">
        <x:v>APPROVED</x:v>
      </x:c>
      <x:c r="Q721" s="64" t="b">
        <x:v>0</x:v>
      </x:c>
      <x:c r="R721" s="63" t="str">
        <x:v>FUNDING_STRUCTURE</x:v>
      </x:c>
      <x:c r="S721" s="63" t="str">
        <x:v>Syn Bank transaction and relationship simulation</x:v>
      </x:c>
      <x:c r="T721" s="63"/>
      <x:c r="U721" s="63" t="str">
        <x:v>internal://syn-bank/simulation/ltm</x:v>
      </x:c>
      <x:c r="V721" s="63" t="str">
        <x:v>b5c9aba97547227defd2e32e37214eafeaecd4c7eb133112cb30f74ac801de3f</x:v>
      </x:c>
    </x:row>
    <x:row r="722">
      <x:c r="A722" s="63" t="str">
        <x:v>bec:E16:obs:latent:event_intensity</x:v>
      </x:c>
      <x:c r="B722" s="63" t="str">
        <x:v>E16</x:v>
      </x:c>
      <x:c r="C722" s="63" t="str">
        <x:v>bank_observed_event_intensity_index</x:v>
      </x:c>
      <x:c r="D722" s="63" t="str">
        <x:v>RATIO</x:v>
      </x:c>
      <x:c r="E722" s="63" t="str">
        <x:v>OBSERVED</x:v>
      </x:c>
      <x:c r="F722" s="65"/>
      <x:c r="G722" s="66" t="n">
        <x:v>1</x:v>
      </x:c>
      <x:c r="H722" s="67"/>
      <x:c r="I722" s="63"/>
      <x:c r="J722" s="63"/>
      <x:c r="K722" s="63" t="str">
        <x:v>index_0_1</x:v>
      </x:c>
      <x:c r="L722" s="63" t="str">
        <x:v>2025-06-01</x:v>
      </x:c>
      <x:c r="M722" s="63" t="str">
        <x:v>2026-06-30</x:v>
      </x:c>
      <x:c r="N722" s="63" t="str">
        <x:v>2026-06-30</x:v>
      </x:c>
      <x:c r="O722" s="63" t="str">
        <x:v>E0</x:v>
      </x:c>
      <x:c r="P722" s="63" t="str">
        <x:v>APPROVED</x:v>
      </x:c>
      <x:c r="Q722" s="64" t="b">
        <x:v>0</x:v>
      </x:c>
      <x:c r="R722" s="63" t="str">
        <x:v>STRATEGY_ACTIONS_AND_ESG</x:v>
      </x:c>
      <x:c r="S722" s="63" t="str">
        <x:v>Syn Bank transaction and relationship simulation</x:v>
      </x:c>
      <x:c r="T722" s="63"/>
      <x:c r="U722" s="63" t="str">
        <x:v>internal://syn-bank/simulation/ltm</x:v>
      </x:c>
      <x:c r="V722" s="63" t="str">
        <x:v>060b495986e055bc102ba113b9ff103feb37886692fc98cee4abd3cc5c9770dc</x:v>
      </x:c>
    </x:row>
    <x:row r="723">
      <x:c r="A723" s="63" t="str">
        <x:v>bec:E16:obs:latent:relationship_complexity</x:v>
      </x:c>
      <x:c r="B723" s="63" t="str">
        <x:v>E16</x:v>
      </x:c>
      <x:c r="C723" s="63" t="str">
        <x:v>bank_observed_relationship_complexity_index</x:v>
      </x:c>
      <x:c r="D723" s="63" t="str">
        <x:v>RATIO</x:v>
      </x:c>
      <x:c r="E723" s="63" t="str">
        <x:v>OBSERVED</x:v>
      </x:c>
      <x:c r="F723" s="65"/>
      <x:c r="G723" s="66" t="n">
        <x:v>1</x:v>
      </x:c>
      <x:c r="H723" s="67"/>
      <x:c r="I723" s="63"/>
      <x:c r="J723" s="63"/>
      <x:c r="K723" s="63" t="str">
        <x:v>index_0_1</x:v>
      </x:c>
      <x:c r="L723" s="63" t="str">
        <x:v>2025-06-01</x:v>
      </x:c>
      <x:c r="M723" s="63" t="str">
        <x:v>2026-06-30</x:v>
      </x:c>
      <x:c r="N723" s="63" t="str">
        <x:v>2026-06-30</x:v>
      </x:c>
      <x:c r="O723" s="63" t="str">
        <x:v>E0</x:v>
      </x:c>
      <x:c r="P723" s="63" t="str">
        <x:v>APPROVED</x:v>
      </x:c>
      <x:c r="Q723" s="64" t="b">
        <x:v>0</x:v>
      </x:c>
      <x:c r="R723" s="63" t="str">
        <x:v>OPERATING_MODEL</x:v>
      </x:c>
      <x:c r="S723" s="63" t="str">
        <x:v>Syn Bank transaction and relationship simulation</x:v>
      </x:c>
      <x:c r="T723" s="63"/>
      <x:c r="U723" s="63" t="str">
        <x:v>internal://syn-bank/simulation/ltm</x:v>
      </x:c>
      <x:c r="V723" s="63" t="str">
        <x:v>35983651cd4df83c9d2a332cdf007bc86b4990dd722b4e29a86cebd1fddac757</x:v>
      </x:c>
    </x:row>
    <x:row r="724">
      <x:c r="A724" s="63" t="str">
        <x:v>bec:E16:obs:events:trade-90d</x:v>
      </x:c>
      <x:c r="B724" s="63" t="str">
        <x:v>E16</x:v>
      </x:c>
      <x:c r="C724" s="63" t="str">
        <x:v>bank_observed_trade_events_next_90d</x:v>
      </x:c>
      <x:c r="D724" s="63" t="str">
        <x:v>COUNT</x:v>
      </x:c>
      <x:c r="E724" s="63" t="str">
        <x:v>OBSERVED</x:v>
      </x:c>
      <x:c r="F724" s="65"/>
      <x:c r="G724" s="66"/>
      <x:c r="H724" s="67" t="n">
        <x:v>159</x:v>
      </x:c>
      <x:c r="I724" s="63"/>
      <x:c r="J724" s="63"/>
      <x:c r="K724" s="63" t="str">
        <x:v>events</x:v>
      </x:c>
      <x:c r="L724" s="63" t="str">
        <x:v>2025-06-01</x:v>
      </x:c>
      <x:c r="M724" s="63" t="str">
        <x:v>2026-06-30</x:v>
      </x:c>
      <x:c r="N724" s="63" t="str">
        <x:v>2026-06-30</x:v>
      </x:c>
      <x:c r="O724" s="63" t="str">
        <x:v>E0</x:v>
      </x:c>
      <x:c r="P724" s="63" t="str">
        <x:v>APPROVED</x:v>
      </x:c>
      <x:c r="Q724" s="64" t="b">
        <x:v>1</x:v>
      </x:c>
      <x:c r="R724" s="63" t="str">
        <x:v>OPERATING_MODEL, WORKING_CAPITAL_CYCLE</x:v>
      </x:c>
      <x:c r="S724" s="63" t="str">
        <x:v>Syn Bank transaction and relationship simulation</x:v>
      </x:c>
      <x:c r="T724" s="63"/>
      <x:c r="U724" s="63" t="str">
        <x:v>internal://syn-bank/simulation/ltm</x:v>
      </x:c>
      <x:c r="V724" s="63" t="str">
        <x:v>8d7997c8971f6989f4c5e250df08fc28350559a8366a7155441662e4c71e9374</x:v>
      </x:c>
    </x:row>
    <x:row r="725">
      <x:c r="A725" s="63" t="str">
        <x:v>bec:E16:obs:events:trade-90d-value</x:v>
      </x:c>
      <x:c r="B725" s="63" t="str">
        <x:v>E16</x:v>
      </x:c>
      <x:c r="C725" s="63" t="str">
        <x:v>bank_observed_trade_events_value_next_90d</x:v>
      </x:c>
      <x:c r="D725" s="63" t="str">
        <x:v>MONEY</x:v>
      </x:c>
      <x:c r="E725" s="63" t="str">
        <x:v>OBSERVED</x:v>
      </x:c>
      <x:c r="F725" s="65" t="n">
        <x:v>333416689.7999999</x:v>
      </x:c>
      <x:c r="G725" s="66"/>
      <x:c r="H725" s="67"/>
      <x:c r="I725" s="63"/>
      <x:c r="J725" s="63" t="str">
        <x:v>ZAR</x:v>
      </x:c>
      <x:c r="K725" s="63" t="str">
        <x:v>ZAR</x:v>
      </x:c>
      <x:c r="L725" s="63" t="str">
        <x:v>2025-06-01</x:v>
      </x:c>
      <x:c r="M725" s="63" t="str">
        <x:v>2026-06-30</x:v>
      </x:c>
      <x:c r="N725" s="63" t="str">
        <x:v>2026-06-30</x:v>
      </x:c>
      <x:c r="O725" s="63" t="str">
        <x:v>E0</x:v>
      </x:c>
      <x:c r="P725" s="63" t="str">
        <x:v>APPROVED</x:v>
      </x:c>
      <x:c r="Q725" s="64" t="b">
        <x:v>0</x:v>
      </x:c>
      <x:c r="R725" s="63" t="str">
        <x:v>WORKING_CAPITAL_CYCLE</x:v>
      </x:c>
      <x:c r="S725" s="63" t="str">
        <x:v>Syn Bank transaction and relationship simulation</x:v>
      </x:c>
      <x:c r="T725" s="63"/>
      <x:c r="U725" s="63" t="str">
        <x:v>internal://syn-bank/simulation/ltm</x:v>
      </x:c>
      <x:c r="V725" s="63" t="str">
        <x:v>2aacf68603396e9ec8edfd1c77f85384abfd3894f8a8a4b99b850f07f6f03dee</x:v>
      </x:c>
    </x:row>
    <x:row r="726">
      <x:c r="A726" s="63" t="str">
        <x:v>bec:E16:struct:operating-model</x:v>
      </x:c>
      <x:c r="B726" s="63" t="str">
        <x:v>E16</x:v>
      </x:c>
      <x:c r="C726" s="63" t="str">
        <x:v>sector_operating_model</x:v>
      </x:c>
      <x:c r="D726" s="63" t="str">
        <x:v>TEXTUAL</x:v>
      </x:c>
      <x:c r="E726" s="63" t="str">
        <x:v>SCENARIO</x:v>
      </x:c>
      <x:c r="F726" s="65"/>
      <x:c r="G726" s="66"/>
      <x:c r="H726" s="67"/>
      <x:c r="I726" s="63" t="str">
        <x:v>Capital-intensive network operator with recurring subscriber collections and multi-country licence obligations.</x:v>
      </x:c>
      <x:c r="J726" s="63"/>
      <x:c r="K726" s="63" t="str">
        <x:v>statement</x:v>
      </x:c>
      <x:c r="L726" s="63" t="str">
        <x:v>2025-06-01</x:v>
      </x:c>
      <x:c r="M726" s="63" t="str">
        <x:v>2026-06-30</x:v>
      </x:c>
      <x:c r="N726" s="63" t="str">
        <x:v>2026-06-30</x:v>
      </x:c>
      <x:c r="O726" s="63" t="str">
        <x:v>E0</x:v>
      </x:c>
      <x:c r="P726" s="63" t="str">
        <x:v>APPROVED</x:v>
      </x:c>
      <x:c r="Q726" s="64" t="b">
        <x:v>0</x:v>
      </x:c>
      <x:c r="R726" s="63" t="str">
        <x:v>OPERATING_MODEL</x:v>
      </x:c>
      <x:c r="S726" s="63" t="str">
        <x:v>Governed sector operating-model and responsibility policy</x:v>
      </x:c>
      <x:c r="T726" s="63"/>
      <x:c r="U726" s="63" t="str">
        <x:v>internal://v31/governed-policy</x:v>
      </x:c>
      <x:c r="V726" s="63" t="str">
        <x:v>aecebc2d391f49aba66d0f6c005d2c0295e636172d02e7dea06e5a88f3989809</x:v>
      </x:c>
    </x:row>
    <x:row r="727">
      <x:c r="A727" s="63" t="str">
        <x:v>bec:E16:struct:risk:0</x:v>
      </x:c>
      <x:c r="B727" s="63" t="str">
        <x:v>E16</x:v>
      </x:c>
      <x:c r="C727" s="63" t="str">
        <x:v>sector_primary_risk</x:v>
      </x:c>
      <x:c r="D727" s="63" t="str">
        <x:v>CATEGORICAL</x:v>
      </x:c>
      <x:c r="E727" s="63" t="str">
        <x:v>SCENARIO</x:v>
      </x:c>
      <x:c r="F727" s="65"/>
      <x:c r="G727" s="66"/>
      <x:c r="H727" s="67"/>
      <x:c r="I727" s="63" t="str">
        <x:v>licence and spectrum cost</x:v>
      </x:c>
      <x:c r="J727" s="63"/>
      <x:c r="K727" s="63" t="str">
        <x:v>statement</x:v>
      </x:c>
      <x:c r="L727" s="63" t="str">
        <x:v>2025-06-01</x:v>
      </x:c>
      <x:c r="M727" s="63" t="str">
        <x:v>2026-06-30</x:v>
      </x:c>
      <x:c r="N727" s="63" t="str">
        <x:v>2026-06-30</x:v>
      </x:c>
      <x:c r="O727" s="63" t="str">
        <x:v>E0</x:v>
      </x:c>
      <x:c r="P727" s="63" t="str">
        <x:v>APPROVED</x:v>
      </x:c>
      <x:c r="Q727" s="64" t="b">
        <x:v>0</x:v>
      </x:c>
      <x:c r="R727" s="63" t="str">
        <x:v>BUSINESS_AND_FINANCIAL_RISKS</x:v>
      </x:c>
      <x:c r="S727" s="63" t="str">
        <x:v>Governed sector operating-model and responsibility policy</x:v>
      </x:c>
      <x:c r="T727" s="63"/>
      <x:c r="U727" s="63" t="str">
        <x:v>internal://v31/governed-policy</x:v>
      </x:c>
      <x:c r="V727" s="63" t="str">
        <x:v>3bc00ce28552610b94f267c444af58728fab1da3dc03dc83fecd62c0c7a65fba</x:v>
      </x:c>
    </x:row>
    <x:row r="728">
      <x:c r="A728" s="63" t="str">
        <x:v>bec:E16:struct:risk:1</x:v>
      </x:c>
      <x:c r="B728" s="63" t="str">
        <x:v>E16</x:v>
      </x:c>
      <x:c r="C728" s="63" t="str">
        <x:v>sector_primary_risk</x:v>
      </x:c>
      <x:c r="D728" s="63" t="str">
        <x:v>CATEGORICAL</x:v>
      </x:c>
      <x:c r="E728" s="63" t="str">
        <x:v>SCENARIO</x:v>
      </x:c>
      <x:c r="F728" s="65"/>
      <x:c r="G728" s="66"/>
      <x:c r="H728" s="67"/>
      <x:c r="I728" s="63" t="str">
        <x:v>currency translation on multi-country earnings</x:v>
      </x:c>
      <x:c r="J728" s="63"/>
      <x:c r="K728" s="63" t="str">
        <x:v>statement</x:v>
      </x:c>
      <x:c r="L728" s="63" t="str">
        <x:v>2025-06-01</x:v>
      </x:c>
      <x:c r="M728" s="63" t="str">
        <x:v>2026-06-30</x:v>
      </x:c>
      <x:c r="N728" s="63" t="str">
        <x:v>2026-06-30</x:v>
      </x:c>
      <x:c r="O728" s="63" t="str">
        <x:v>E0</x:v>
      </x:c>
      <x:c r="P728" s="63" t="str">
        <x:v>APPROVED</x:v>
      </x:c>
      <x:c r="Q728" s="64" t="b">
        <x:v>0</x:v>
      </x:c>
      <x:c r="R728" s="63" t="str">
        <x:v>BUSINESS_AND_FINANCIAL_RISKS</x:v>
      </x:c>
      <x:c r="S728" s="63" t="str">
        <x:v>Governed sector operating-model and responsibility policy</x:v>
      </x:c>
      <x:c r="T728" s="63"/>
      <x:c r="U728" s="63" t="str">
        <x:v>internal://v31/governed-policy</x:v>
      </x:c>
      <x:c r="V728" s="63" t="str">
        <x:v>764954f92d19e209801c3041b11fc5377f046ac4103b5382ef8497081260173f</x:v>
      </x:c>
    </x:row>
    <x:row r="729">
      <x:c r="A729" s="63" t="str">
        <x:v>bec:E16:struct:risk:2</x:v>
      </x:c>
      <x:c r="B729" s="63" t="str">
        <x:v>E16</x:v>
      </x:c>
      <x:c r="C729" s="63" t="str">
        <x:v>sector_primary_risk</x:v>
      </x:c>
      <x:c r="D729" s="63" t="str">
        <x:v>CATEGORICAL</x:v>
      </x:c>
      <x:c r="E729" s="63" t="str">
        <x:v>SCENARIO</x:v>
      </x:c>
      <x:c r="F729" s="65"/>
      <x:c r="G729" s="66"/>
      <x:c r="H729" s="67"/>
      <x:c r="I729" s="63" t="str">
        <x:v>capex funding</x:v>
      </x:c>
      <x:c r="J729" s="63"/>
      <x:c r="K729" s="63" t="str">
        <x:v>statement</x:v>
      </x:c>
      <x:c r="L729" s="63" t="str">
        <x:v>2025-06-01</x:v>
      </x:c>
      <x:c r="M729" s="63" t="str">
        <x:v>2026-06-30</x:v>
      </x:c>
      <x:c r="N729" s="63" t="str">
        <x:v>2026-06-30</x:v>
      </x:c>
      <x:c r="O729" s="63" t="str">
        <x:v>E0</x:v>
      </x:c>
      <x:c r="P729" s="63" t="str">
        <x:v>APPROVED</x:v>
      </x:c>
      <x:c r="Q729" s="64" t="b">
        <x:v>0</x:v>
      </x:c>
      <x:c r="R729" s="63" t="str">
        <x:v>BUSINESS_AND_FINANCIAL_RISKS</x:v>
      </x:c>
      <x:c r="S729" s="63" t="str">
        <x:v>Governed sector operating-model and responsibility policy</x:v>
      </x:c>
      <x:c r="T729" s="63"/>
      <x:c r="U729" s="63" t="str">
        <x:v>internal://v31/governed-policy</x:v>
      </x:c>
      <x:c r="V729" s="63" t="str">
        <x:v>f64836999b51eaf315b986a5fe41b8aabe2de4769487d32151be8eb23e3fff6d</x:v>
      </x:c>
    </x:row>
    <x:row r="730">
      <x:c r="A730" s="63" t="str">
        <x:v>bec:E16:struct:responsibility-model</x:v>
      </x:c>
      <x:c r="B730" s="63" t="str">
        <x:v>E16</x:v>
      </x:c>
      <x:c r="C730" s="63" t="str">
        <x:v>stakeholder_responsibility_model</x:v>
      </x:c>
      <x:c r="D730" s="63" t="str">
        <x:v>TEXTUAL</x:v>
      </x:c>
      <x:c r="E730" s="63" t="str">
        <x:v>SCENARIO</x:v>
      </x:c>
      <x:c r="F730" s="65"/>
      <x:c r="G730" s="66"/>
      <x:c r="H730" s="67"/>
      <x:c r="I730" s="63" t="str">
        <x:v>Responsibility is assigned by role persona using governed matrix v31-stakeholder-responsibility-3.1.0. Named individuals are not resolved in the demonstration and require CRM entitlement checks in production.</x:v>
      </x:c>
      <x:c r="J730" s="63"/>
      <x:c r="K730" s="63" t="str">
        <x:v>statement</x:v>
      </x:c>
      <x:c r="L730" s="63" t="str">
        <x:v>2025-06-01</x:v>
      </x:c>
      <x:c r="M730" s="63" t="str">
        <x:v>2026-06-30</x:v>
      </x:c>
      <x:c r="N730" s="63" t="str">
        <x:v>2026-06-30</x:v>
      </x:c>
      <x:c r="O730" s="63" t="str">
        <x:v>E0</x:v>
      </x:c>
      <x:c r="P730" s="63" t="str">
        <x:v>APPROVED</x:v>
      </x:c>
      <x:c r="Q730" s="64" t="b">
        <x:v>0</x:v>
      </x:c>
      <x:c r="R730" s="63" t="str">
        <x:v>STAKEHOLDER_RESPONSIBILITY</x:v>
      </x:c>
      <x:c r="S730" s="63" t="str">
        <x:v>Governed sector operating-model and responsibility policy</x:v>
      </x:c>
      <x:c r="T730" s="63"/>
      <x:c r="U730" s="63" t="str">
        <x:v>internal://v31/governed-policy</x:v>
      </x:c>
      <x:c r="V730" s="63" t="str">
        <x:v>bd5fb6c51da4b1cc362e71ba373068d1bc5fa331dcad3e2f38c81d164992fe9c</x:v>
      </x:c>
    </x:row>
    <x:row r="731">
      <x:c r="A731" s="63" t="str">
        <x:v>bec:E16:struct:responsibility:fx_exposure</x:v>
      </x:c>
      <x:c r="B731" s="63" t="str">
        <x:v>E16</x:v>
      </x:c>
      <x:c r="C731" s="63" t="str">
        <x:v>problem_role_ownership</x:v>
      </x:c>
      <x:c r="D731" s="63" t="str">
        <x:v>STRUCTURE_RELATIONSHIP</x:v>
      </x:c>
      <x:c r="E731" s="63" t="str">
        <x:v>SCENARIO</x:v>
      </x:c>
      <x:c r="F731" s="65"/>
      <x:c r="G731" s="66"/>
      <x:c r="H731" s="67"/>
      <x:c r="I731" s="63"/>
      <x:c r="J731" s="63"/>
      <x:c r="K731" s="63" t="str">
        <x:v>statement</x:v>
      </x:c>
      <x:c r="L731" s="63" t="str">
        <x:v>2025-06-01</x:v>
      </x:c>
      <x:c r="M731" s="63" t="str">
        <x:v>2026-06-30</x:v>
      </x:c>
      <x:c r="N731" s="63" t="str">
        <x:v>2026-06-30</x:v>
      </x:c>
      <x:c r="O731" s="63" t="str">
        <x:v>E0</x:v>
      </x:c>
      <x:c r="P731" s="63" t="str">
        <x:v>APPROVED</x:v>
      </x:c>
      <x:c r="Q731" s="64" t="b">
        <x:v>0</x:v>
      </x:c>
      <x:c r="R731" s="63" t="str">
        <x:v>STAKEHOLDER_RESPONSIBILITY</x:v>
      </x:c>
      <x:c r="S731" s="63" t="str">
        <x:v>Governed sector operating-model and responsibility policy</x:v>
      </x:c>
      <x:c r="T731" s="63"/>
      <x:c r="U731" s="63" t="str">
        <x:v>internal://v31/governed-policy</x:v>
      </x:c>
      <x:c r="V731" s="63" t="str">
        <x:v>c07be1753a7d74b67c474b30b7045724c014904ae49dffbef3c86a0a769b2c8a</x:v>
      </x:c>
    </x:row>
    <x:row r="732">
      <x:c r="A732" s="63" t="str">
        <x:v>bec:E16:struct:responsibility:refinancing_cliff</x:v>
      </x:c>
      <x:c r="B732" s="63" t="str">
        <x:v>E16</x:v>
      </x:c>
      <x:c r="C732" s="63" t="str">
        <x:v>problem_role_ownership</x:v>
      </x:c>
      <x:c r="D732" s="63" t="str">
        <x:v>STRUCTURE_RELATIONSHIP</x:v>
      </x:c>
      <x:c r="E732" s="63" t="str">
        <x:v>SCENARIO</x:v>
      </x:c>
      <x:c r="F732" s="65"/>
      <x:c r="G732" s="66"/>
      <x:c r="H732" s="67"/>
      <x:c r="I732" s="63"/>
      <x:c r="J732" s="63"/>
      <x:c r="K732" s="63" t="str">
        <x:v>statement</x:v>
      </x:c>
      <x:c r="L732" s="63" t="str">
        <x:v>2025-06-01</x:v>
      </x:c>
      <x:c r="M732" s="63" t="str">
        <x:v>2026-06-30</x:v>
      </x:c>
      <x:c r="N732" s="63" t="str">
        <x:v>2026-06-30</x:v>
      </x:c>
      <x:c r="O732" s="63" t="str">
        <x:v>E0</x:v>
      </x:c>
      <x:c r="P732" s="63" t="str">
        <x:v>APPROVED</x:v>
      </x:c>
      <x:c r="Q732" s="64" t="b">
        <x:v>0</x:v>
      </x:c>
      <x:c r="R732" s="63" t="str">
        <x:v>STAKEHOLDER_RESPONSIBILITY</x:v>
      </x:c>
      <x:c r="S732" s="63" t="str">
        <x:v>Governed sector operating-model and responsibility policy</x:v>
      </x:c>
      <x:c r="T732" s="63"/>
      <x:c r="U732" s="63" t="str">
        <x:v>internal://v31/governed-policy</x:v>
      </x:c>
      <x:c r="V732" s="63" t="str">
        <x:v>43efeddd820170393786833e177d0790a58a014c83698a614b72acd9e102045c</x:v>
      </x:c>
    </x:row>
    <x:row r="733">
      <x:c r="A733" s="63" t="str">
        <x:v>bec:E16:struct:responsibility:working_capital_pressure</x:v>
      </x:c>
      <x:c r="B733" s="63" t="str">
        <x:v>E16</x:v>
      </x:c>
      <x:c r="C733" s="63" t="str">
        <x:v>problem_role_ownership</x:v>
      </x:c>
      <x:c r="D733" s="63" t="str">
        <x:v>STRUCTURE_RELATIONSHIP</x:v>
      </x:c>
      <x:c r="E733" s="63" t="str">
        <x:v>SCENARIO</x:v>
      </x:c>
      <x:c r="F733" s="65"/>
      <x:c r="G733" s="66"/>
      <x:c r="H733" s="67"/>
      <x:c r="I733" s="63"/>
      <x:c r="J733" s="63"/>
      <x:c r="K733" s="63" t="str">
        <x:v>statement</x:v>
      </x:c>
      <x:c r="L733" s="63" t="str">
        <x:v>2025-06-01</x:v>
      </x:c>
      <x:c r="M733" s="63" t="str">
        <x:v>2026-06-30</x:v>
      </x:c>
      <x:c r="N733" s="63" t="str">
        <x:v>2026-06-30</x:v>
      </x:c>
      <x:c r="O733" s="63" t="str">
        <x:v>E0</x:v>
      </x:c>
      <x:c r="P733" s="63" t="str">
        <x:v>APPROVED</x:v>
      </x:c>
      <x:c r="Q733" s="64" t="b">
        <x:v>0</x:v>
      </x:c>
      <x:c r="R733" s="63" t="str">
        <x:v>STAKEHOLDER_RESPONSIBILITY</x:v>
      </x:c>
      <x:c r="S733" s="63" t="str">
        <x:v>Governed sector operating-model and responsibility policy</x:v>
      </x:c>
      <x:c r="T733" s="63"/>
      <x:c r="U733" s="63" t="str">
        <x:v>internal://v31/governed-policy</x:v>
      </x:c>
      <x:c r="V733" s="63" t="str">
        <x:v>b4920fbef788801db71369eb8b2f3b420adafb72374783adf56d789fd2ad935d</x:v>
      </x:c>
    </x:row>
    <x:row r="734">
      <x:c r="A734" s="63" t="str">
        <x:v>bec:VODACOM-2026-REV</x:v>
      </x:c>
      <x:c r="B734" s="63" t="str">
        <x:v>E17</x:v>
      </x:c>
      <x:c r="C734" s="63" t="str">
        <x:v>revenue</x:v>
      </x:c>
      <x:c r="D734" s="63" t="str">
        <x:v>MONEY</x:v>
      </x:c>
      <x:c r="E734" s="63" t="str">
        <x:v>OBSERVED</x:v>
      </x:c>
      <x:c r="F734" s="65" t="n">
        <x:v>167652</x:v>
      </x:c>
      <x:c r="G734" s="66"/>
      <x:c r="H734" s="67"/>
      <x:c r="I734" s="63"/>
      <x:c r="J734" s="63" t="str">
        <x:v>ZAR</x:v>
      </x:c>
      <x:c r="K734" s="63" t="str">
        <x:v>million</x:v>
      </x:c>
      <x:c r="L734" s="63" t="str">
        <x:v>2025-04-01</x:v>
      </x:c>
      <x:c r="M734" s="63" t="str">
        <x:v>2026-03-31</x:v>
      </x:c>
      <x:c r="N734" s="63" t="str">
        <x:v>2026-06-12</x:v>
      </x:c>
      <x:c r="O734" s="63" t="str">
        <x:v>E1</x:v>
      </x:c>
      <x:c r="P734" s="63" t="str">
        <x:v>PENDING_REVIEW</x:v>
      </x:c>
      <x:c r="Q734" s="64" t="b">
        <x:v>1</x:v>
      </x:c>
      <x:c r="R734" s="63" t="str">
        <x:v>REVENUE_ENGINE</x:v>
      </x:c>
      <x:c r="S734" s="63" t="str">
        <x:v>Vodacom Consolidated and Separate Financial Statements 2026</x:v>
      </x:c>
      <x:c r="T734" s="63" t="n">
        <x:v>19</x:v>
      </x:c>
      <x:c r="U734" s="63" t="str">
        <x:v>https://vodacom-reports.co.za/integrated-reports/ir-2026/documents/vodacom-consolidated-and-separate-financial-statements-2026.pdf</x:v>
      </x:c>
      <x:c r="V734" s="63" t="str">
        <x:v>d6f149d15a1e7a0edc82acd536f2d59644e2c9acce621a65878aa322390fd896</x:v>
      </x:c>
    </x:row>
    <x:row r="735">
      <x:c r="A735" s="63" t="str">
        <x:v>bec:VODACOM-2026-CASH</x:v>
      </x:c>
      <x:c r="B735" s="63" t="str">
        <x:v>E17</x:v>
      </x:c>
      <x:c r="C735" s="63" t="str">
        <x:v>cash_and_cash_equivalents</x:v>
      </x:c>
      <x:c r="D735" s="63" t="str">
        <x:v>MONEY</x:v>
      </x:c>
      <x:c r="E735" s="63" t="str">
        <x:v>OBSERVED</x:v>
      </x:c>
      <x:c r="F735" s="65" t="n">
        <x:v>31209</x:v>
      </x:c>
      <x:c r="G735" s="66"/>
      <x:c r="H735" s="67"/>
      <x:c r="I735" s="63"/>
      <x:c r="J735" s="63" t="str">
        <x:v>ZAR</x:v>
      </x:c>
      <x:c r="K735" s="63" t="str">
        <x:v>million</x:v>
      </x:c>
      <x:c r="L735" s="63" t="str">
        <x:v>2026-03-31</x:v>
      </x:c>
      <x:c r="M735" s="63" t="str">
        <x:v>2026-03-31</x:v>
      </x:c>
      <x:c r="N735" s="63" t="str">
        <x:v>2026-06-12</x:v>
      </x:c>
      <x:c r="O735" s="63" t="str">
        <x:v>E1</x:v>
      </x:c>
      <x:c r="P735" s="63" t="str">
        <x:v>PENDING_REVIEW</x:v>
      </x:c>
      <x:c r="Q735" s="64" t="b">
        <x:v>1</x:v>
      </x:c>
      <x:c r="R735" s="63" t="str">
        <x:v>LIQUIDITY_AND_BUFFER</x:v>
      </x:c>
      <x:c r="S735" s="63" t="str">
        <x:v>Vodacom Consolidated and Separate Financial Statements 2026</x:v>
      </x:c>
      <x:c r="T735" s="63" t="n">
        <x:v>21</x:v>
      </x:c>
      <x:c r="U735" s="63" t="str">
        <x:v>https://vodacom-reports.co.za/integrated-reports/ir-2026/documents/vodacom-consolidated-and-separate-financial-statements-2026.pdf</x:v>
      </x:c>
      <x:c r="V735" s="63" t="str">
        <x:v>d6f149d15a1e7a0edc82acd536f2d59644e2c9acce621a65878aa322390fd896</x:v>
      </x:c>
    </x:row>
    <x:row r="736">
      <x:c r="A736" s="63" t="str">
        <x:v>bec:VODACOM-2026-DEBT</x:v>
      </x:c>
      <x:c r="B736" s="63" t="str">
        <x:v>E17</x:v>
      </x:c>
      <x:c r="C736" s="63" t="str">
        <x:v>current_debt</x:v>
      </x:c>
      <x:c r="D736" s="63" t="str">
        <x:v>MONEY</x:v>
      </x:c>
      <x:c r="E736" s="63" t="str">
        <x:v>OBSERVED</x:v>
      </x:c>
      <x:c r="F736" s="65" t="n">
        <x:v>8781</x:v>
      </x:c>
      <x:c r="G736" s="66"/>
      <x:c r="H736" s="67"/>
      <x:c r="I736" s="63"/>
      <x:c r="J736" s="63" t="str">
        <x:v>ZAR</x:v>
      </x:c>
      <x:c r="K736" s="63" t="str">
        <x:v>million</x:v>
      </x:c>
      <x:c r="L736" s="63" t="str">
        <x:v>2026-03-31</x:v>
      </x:c>
      <x:c r="M736" s="63" t="str">
        <x:v>2026-03-31</x:v>
      </x:c>
      <x:c r="N736" s="63" t="str">
        <x:v>2026-06-12</x:v>
      </x:c>
      <x:c r="O736" s="63" t="str">
        <x:v>E1</x:v>
      </x:c>
      <x:c r="P736" s="63" t="str">
        <x:v>PENDING_REVIEW</x:v>
      </x:c>
      <x:c r="Q736" s="64" t="b">
        <x:v>1</x:v>
      </x:c>
      <x:c r="R736" s="63" t="str">
        <x:v>FUNDING_STRUCTURE</x:v>
      </x:c>
      <x:c r="S736" s="63" t="str">
        <x:v>Vodacom Consolidated and Separate Financial Statements 2026</x:v>
      </x:c>
      <x:c r="T736" s="63" t="n">
        <x:v>21</x:v>
      </x:c>
      <x:c r="U736" s="63" t="str">
        <x:v>https://vodacom-reports.co.za/integrated-reports/ir-2026/documents/vodacom-consolidated-and-separate-financial-statements-2026.pdf</x:v>
      </x:c>
      <x:c r="V736" s="63" t="str">
        <x:v>d6f149d15a1e7a0edc82acd536f2d59644e2c9acce621a65878aa322390fd896</x:v>
      </x:c>
    </x:row>
    <x:row r="737">
      <x:c r="A737" s="63" t="str">
        <x:v>bec:E17:obs:flow:collections</x:v>
      </x:c>
      <x:c r="B737" s="63" t="str">
        <x:v>E17</x:v>
      </x:c>
      <x:c r="C737" s="63" t="str">
        <x:v>bank_observed_collections_ltm</x:v>
      </x:c>
      <x:c r="D737" s="63" t="str">
        <x:v>MONEY</x:v>
      </x:c>
      <x:c r="E737" s="63" t="str">
        <x:v>OBSERVED</x:v>
      </x:c>
      <x:c r="F737" s="65" t="n">
        <x:v>85039956.71</x:v>
      </x:c>
      <x:c r="G737" s="66"/>
      <x:c r="H737" s="67"/>
      <x:c r="I737" s="63"/>
      <x:c r="J737" s="63" t="str">
        <x:v>ZAR</x:v>
      </x:c>
      <x:c r="K737" s="63" t="str">
        <x:v>ZAR</x:v>
      </x:c>
      <x:c r="L737" s="63" t="str">
        <x:v>2025-06-01</x:v>
      </x:c>
      <x:c r="M737" s="63" t="str">
        <x:v>2026-06-30</x:v>
      </x:c>
      <x:c r="N737" s="63" t="str">
        <x:v>2026-06-30</x:v>
      </x:c>
      <x:c r="O737" s="63" t="str">
        <x:v>E0</x:v>
      </x:c>
      <x:c r="P737" s="63" t="str">
        <x:v>APPROVED</x:v>
      </x:c>
      <x:c r="Q737" s="64" t="b">
        <x:v>1</x:v>
      </x:c>
      <x:c r="R737" s="63" t="str">
        <x:v>REVENUE_ENGINE, WORKING_CAPITAL_CYCLE</x:v>
      </x:c>
      <x:c r="S737" s="63" t="str">
        <x:v>Syn Bank transaction and relationship simulation</x:v>
      </x:c>
      <x:c r="T737" s="63"/>
      <x:c r="U737" s="63" t="str">
        <x:v>internal://syn-bank/simulation/ltm</x:v>
      </x:c>
      <x:c r="V737" s="63" t="str">
        <x:v>210af1992063a2f177c14d0c37edd0bd00420a6d36048a14cc94bd99bce9dd66</x:v>
      </x:c>
    </x:row>
    <x:row r="738">
      <x:c r="A738" s="63" t="str">
        <x:v>bec:E17:obs:trend:collections</x:v>
      </x:c>
      <x:c r="B738" s="63" t="str">
        <x:v>E17</x:v>
      </x:c>
      <x:c r="C738" s="63" t="str">
        <x:v>bank_observed_collections_yoy_change</x:v>
      </x:c>
      <x:c r="D738" s="63" t="str">
        <x:v>RATIO</x:v>
      </x:c>
      <x:c r="E738" s="63" t="str">
        <x:v>OBSERVED</x:v>
      </x:c>
      <x:c r="F738" s="65"/>
      <x:c r="G738" s="66" t="n">
        <x:v>-0.037178</x:v>
      </x:c>
      <x:c r="H738" s="67"/>
      <x:c r="I738" s="63"/>
      <x:c r="J738" s="63"/>
      <x:c r="K738" s="63" t="str">
        <x:v>ratio</x:v>
      </x:c>
      <x:c r="L738" s="63" t="str">
        <x:v>2025-06-01</x:v>
      </x:c>
      <x:c r="M738" s="63" t="str">
        <x:v>2026-06-30</x:v>
      </x:c>
      <x:c r="N738" s="63" t="str">
        <x:v>2026-06-30</x:v>
      </x:c>
      <x:c r="O738" s="63" t="str">
        <x:v>E0</x:v>
      </x:c>
      <x:c r="P738" s="63" t="str">
        <x:v>APPROVED</x:v>
      </x:c>
      <x:c r="Q738" s="64" t="b">
        <x:v>0</x:v>
      </x:c>
      <x:c r="R738" s="63" t="str">
        <x:v>REVENUE_ENGINE, WORKING_CAPITAL_CYCLE</x:v>
      </x:c>
      <x:c r="S738" s="63" t="str">
        <x:v>Syn Bank transaction and relationship simulation</x:v>
      </x:c>
      <x:c r="T738" s="63"/>
      <x:c r="U738" s="63" t="str">
        <x:v>internal://syn-bank/simulation/ltm</x:v>
      </x:c>
      <x:c r="V738" s="63" t="str">
        <x:v>005ee823ba34c399f3cdf22a61768203956b4c41d44a1876818f0e1f5f97eb5a</x:v>
      </x:c>
    </x:row>
    <x:row r="739">
      <x:c r="A739" s="63" t="str">
        <x:v>bec:E17:obs:flow:payments</x:v>
      </x:c>
      <x:c r="B739" s="63" t="str">
        <x:v>E17</x:v>
      </x:c>
      <x:c r="C739" s="63" t="str">
        <x:v>bank_observed_payments_ltm</x:v>
      </x:c>
      <x:c r="D739" s="63" t="str">
        <x:v>MONEY</x:v>
      </x:c>
      <x:c r="E739" s="63" t="str">
        <x:v>OBSERVED</x:v>
      </x:c>
      <x:c r="F739" s="65" t="n">
        <x:v>151625793.89</x:v>
      </x:c>
      <x:c r="G739" s="66"/>
      <x:c r="H739" s="67"/>
      <x:c r="I739" s="63"/>
      <x:c r="J739" s="63" t="str">
        <x:v>ZAR</x:v>
      </x:c>
      <x:c r="K739" s="63" t="str">
        <x:v>ZAR</x:v>
      </x:c>
      <x:c r="L739" s="63" t="str">
        <x:v>2025-06-01</x:v>
      </x:c>
      <x:c r="M739" s="63" t="str">
        <x:v>2026-06-30</x:v>
      </x:c>
      <x:c r="N739" s="63" t="str">
        <x:v>2026-06-30</x:v>
      </x:c>
      <x:c r="O739" s="63" t="str">
        <x:v>E0</x:v>
      </x:c>
      <x:c r="P739" s="63" t="str">
        <x:v>APPROVED</x:v>
      </x:c>
      <x:c r="Q739" s="64" t="b">
        <x:v>1</x:v>
      </x:c>
      <x:c r="R739" s="63" t="str">
        <x:v>COST_ENGINE, WORKING_CAPITAL_CYCLE</x:v>
      </x:c>
      <x:c r="S739" s="63" t="str">
        <x:v>Syn Bank transaction and relationship simulation</x:v>
      </x:c>
      <x:c r="T739" s="63"/>
      <x:c r="U739" s="63" t="str">
        <x:v>internal://syn-bank/simulation/ltm</x:v>
      </x:c>
      <x:c r="V739" s="63" t="str">
        <x:v>95aa38433a3fa119d77a81806d3726d432d7e0224fbf3f239444cf067a1ca597</x:v>
      </x:c>
    </x:row>
    <x:row r="740">
      <x:c r="A740" s="63" t="str">
        <x:v>bec:E17:obs:trend:payments</x:v>
      </x:c>
      <x:c r="B740" s="63" t="str">
        <x:v>E17</x:v>
      </x:c>
      <x:c r="C740" s="63" t="str">
        <x:v>bank_observed_payments_yoy_change</x:v>
      </x:c>
      <x:c r="D740" s="63" t="str">
        <x:v>RATIO</x:v>
      </x:c>
      <x:c r="E740" s="63" t="str">
        <x:v>OBSERVED</x:v>
      </x:c>
      <x:c r="F740" s="65"/>
      <x:c r="G740" s="66" t="n">
        <x:v>-0.048932</x:v>
      </x:c>
      <x:c r="H740" s="67"/>
      <x:c r="I740" s="63"/>
      <x:c r="J740" s="63"/>
      <x:c r="K740" s="63" t="str">
        <x:v>ratio</x:v>
      </x:c>
      <x:c r="L740" s="63" t="str">
        <x:v>2025-06-01</x:v>
      </x:c>
      <x:c r="M740" s="63" t="str">
        <x:v>2026-06-30</x:v>
      </x:c>
      <x:c r="N740" s="63" t="str">
        <x:v>2026-06-30</x:v>
      </x:c>
      <x:c r="O740" s="63" t="str">
        <x:v>E0</x:v>
      </x:c>
      <x:c r="P740" s="63" t="str">
        <x:v>APPROVED</x:v>
      </x:c>
      <x:c r="Q740" s="64" t="b">
        <x:v>0</x:v>
      </x:c>
      <x:c r="R740" s="63" t="str">
        <x:v>COST_ENGINE, WORKING_CAPITAL_CYCLE</x:v>
      </x:c>
      <x:c r="S740" s="63" t="str">
        <x:v>Syn Bank transaction and relationship simulation</x:v>
      </x:c>
      <x:c r="T740" s="63"/>
      <x:c r="U740" s="63" t="str">
        <x:v>internal://syn-bank/simulation/ltm</x:v>
      </x:c>
      <x:c r="V740" s="63" t="str">
        <x:v>439919132a173bcf39067d817527a87bfeb5b09bce3911a6537cde0dea84fe6d</x:v>
      </x:c>
    </x:row>
    <x:row r="741">
      <x:c r="A741" s="63" t="str">
        <x:v>bec:E17:obs:flow:liquidity</x:v>
      </x:c>
      <x:c r="B741" s="63" t="str">
        <x:v>E17</x:v>
      </x:c>
      <x:c r="C741" s="63" t="str">
        <x:v>bank_observed_liquidity_ltm</x:v>
      </x:c>
      <x:c r="D741" s="63" t="str">
        <x:v>MONEY</x:v>
      </x:c>
      <x:c r="E741" s="63" t="str">
        <x:v>OBSERVED</x:v>
      </x:c>
      <x:c r="F741" s="65" t="n">
        <x:v>118332875.3</x:v>
      </x:c>
      <x:c r="G741" s="66"/>
      <x:c r="H741" s="67"/>
      <x:c r="I741" s="63"/>
      <x:c r="J741" s="63" t="str">
        <x:v>ZAR</x:v>
      </x:c>
      <x:c r="K741" s="63" t="str">
        <x:v>ZAR</x:v>
      </x:c>
      <x:c r="L741" s="63" t="str">
        <x:v>2025-06-01</x:v>
      </x:c>
      <x:c r="M741" s="63" t="str">
        <x:v>2026-06-30</x:v>
      </x:c>
      <x:c r="N741" s="63" t="str">
        <x:v>2026-06-30</x:v>
      </x:c>
      <x:c r="O741" s="63" t="str">
        <x:v>E0</x:v>
      </x:c>
      <x:c r="P741" s="63" t="str">
        <x:v>APPROVED</x:v>
      </x:c>
      <x:c r="Q741" s="64" t="b">
        <x:v>1</x:v>
      </x:c>
      <x:c r="R741" s="63" t="str">
        <x:v>LIQUIDITY_AND_BUFFER</x:v>
      </x:c>
      <x:c r="S741" s="63" t="str">
        <x:v>Syn Bank transaction and relationship simulation</x:v>
      </x:c>
      <x:c r="T741" s="63"/>
      <x:c r="U741" s="63" t="str">
        <x:v>internal://syn-bank/simulation/ltm</x:v>
      </x:c>
      <x:c r="V741" s="63" t="str">
        <x:v>f5ab4ddbe3875271c259d0ff2ef54780f2c4a565dc31f6e8917808f11c73e2d6</x:v>
      </x:c>
    </x:row>
    <x:row r="742">
      <x:c r="A742" s="63" t="str">
        <x:v>bec:E17:obs:trend:liquidity</x:v>
      </x:c>
      <x:c r="B742" s="63" t="str">
        <x:v>E17</x:v>
      </x:c>
      <x:c r="C742" s="63" t="str">
        <x:v>bank_observed_liquidity_yoy_change</x:v>
      </x:c>
      <x:c r="D742" s="63" t="str">
        <x:v>RATIO</x:v>
      </x:c>
      <x:c r="E742" s="63" t="str">
        <x:v>OBSERVED</x:v>
      </x:c>
      <x:c r="F742" s="65"/>
      <x:c r="G742" s="66" t="n">
        <x:v>-0.044742</x:v>
      </x:c>
      <x:c r="H742" s="67"/>
      <x:c r="I742" s="63"/>
      <x:c r="J742" s="63"/>
      <x:c r="K742" s="63" t="str">
        <x:v>ratio</x:v>
      </x:c>
      <x:c r="L742" s="63" t="str">
        <x:v>2025-06-01</x:v>
      </x:c>
      <x:c r="M742" s="63" t="str">
        <x:v>2026-06-30</x:v>
      </x:c>
      <x:c r="N742" s="63" t="str">
        <x:v>2026-06-30</x:v>
      </x:c>
      <x:c r="O742" s="63" t="str">
        <x:v>E0</x:v>
      </x:c>
      <x:c r="P742" s="63" t="str">
        <x:v>APPROVED</x:v>
      </x:c>
      <x:c r="Q742" s="64" t="b">
        <x:v>0</x:v>
      </x:c>
      <x:c r="R742" s="63" t="str">
        <x:v>LIQUIDITY_AND_BUFFER</x:v>
      </x:c>
      <x:c r="S742" s="63" t="str">
        <x:v>Syn Bank transaction and relationship simulation</x:v>
      </x:c>
      <x:c r="T742" s="63"/>
      <x:c r="U742" s="63" t="str">
        <x:v>internal://syn-bank/simulation/ltm</x:v>
      </x:c>
      <x:c r="V742" s="63" t="str">
        <x:v>2a780cd973d47facd25ecc00bb8f263322e6e3d23bf9edbf44e2df2cd6985597</x:v>
      </x:c>
    </x:row>
    <x:row r="743">
      <x:c r="A743" s="63" t="str">
        <x:v>bec:E17:obs:flow:cross-border-fx</x:v>
      </x:c>
      <x:c r="B743" s="63" t="str">
        <x:v>E17</x:v>
      </x:c>
      <x:c r="C743" s="63" t="str">
        <x:v>bank_observed_cross_border_fx_ltm</x:v>
      </x:c>
      <x:c r="D743" s="63" t="str">
        <x:v>MONEY</x:v>
      </x:c>
      <x:c r="E743" s="63" t="str">
        <x:v>OBSERVED</x:v>
      </x:c>
      <x:c r="F743" s="65" t="n">
        <x:v>2899257210.24</x:v>
      </x:c>
      <x:c r="G743" s="66"/>
      <x:c r="H743" s="67"/>
      <x:c r="I743" s="63"/>
      <x:c r="J743" s="63" t="str">
        <x:v>ZAR</x:v>
      </x:c>
      <x:c r="K743" s="63" t="str">
        <x:v>ZAR</x:v>
      </x:c>
      <x:c r="L743" s="63" t="str">
        <x:v>2025-06-01</x:v>
      </x:c>
      <x:c r="M743" s="63" t="str">
        <x:v>2026-06-30</x:v>
      </x:c>
      <x:c r="N743" s="63" t="str">
        <x:v>2026-06-30</x:v>
      </x:c>
      <x:c r="O743" s="63" t="str">
        <x:v>E0</x:v>
      </x:c>
      <x:c r="P743" s="63" t="str">
        <x:v>APPROVED</x:v>
      </x:c>
      <x:c r="Q743" s="64" t="b">
        <x:v>1</x:v>
      </x:c>
      <x:c r="R743" s="63" t="str">
        <x:v>CURRENCY_AND_COMMODITY_EXPOSURE, GEOGRAPHIC_EXPOSURE</x:v>
      </x:c>
      <x:c r="S743" s="63" t="str">
        <x:v>Syn Bank transaction and relationship simulation</x:v>
      </x:c>
      <x:c r="T743" s="63"/>
      <x:c r="U743" s="63" t="str">
        <x:v>internal://syn-bank/simulation/ltm</x:v>
      </x:c>
      <x:c r="V743" s="63" t="str">
        <x:v>d24ec409239217832e05fb476cdb74f4895aaa4c8f4084ff13a05e6cb976df68</x:v>
      </x:c>
    </x:row>
    <x:row r="744">
      <x:c r="A744" s="63" t="str">
        <x:v>bec:E17:obs:trend:cross-border-fx</x:v>
      </x:c>
      <x:c r="B744" s="63" t="str">
        <x:v>E17</x:v>
      </x:c>
      <x:c r="C744" s="63" t="str">
        <x:v>bank_observed_cross_border_fx_yoy_change</x:v>
      </x:c>
      <x:c r="D744" s="63" t="str">
        <x:v>RATIO</x:v>
      </x:c>
      <x:c r="E744" s="63" t="str">
        <x:v>OBSERVED</x:v>
      </x:c>
      <x:c r="F744" s="65"/>
      <x:c r="G744" s="66" t="n">
        <x:v>-0.05423</x:v>
      </x:c>
      <x:c r="H744" s="67"/>
      <x:c r="I744" s="63"/>
      <x:c r="J744" s="63"/>
      <x:c r="K744" s="63" t="str">
        <x:v>ratio</x:v>
      </x:c>
      <x:c r="L744" s="63" t="str">
        <x:v>2025-06-01</x:v>
      </x:c>
      <x:c r="M744" s="63" t="str">
        <x:v>2026-06-30</x:v>
      </x:c>
      <x:c r="N744" s="63" t="str">
        <x:v>2026-06-30</x:v>
      </x:c>
      <x:c r="O744" s="63" t="str">
        <x:v>E0</x:v>
      </x:c>
      <x:c r="P744" s="63" t="str">
        <x:v>APPROVED</x:v>
      </x:c>
      <x:c r="Q744" s="64" t="b">
        <x:v>0</x:v>
      </x:c>
      <x:c r="R744" s="63" t="str">
        <x:v>CURRENCY_AND_COMMODITY_EXPOSURE, GEOGRAPHIC_EXPOSURE</x:v>
      </x:c>
      <x:c r="S744" s="63" t="str">
        <x:v>Syn Bank transaction and relationship simulation</x:v>
      </x:c>
      <x:c r="T744" s="63"/>
      <x:c r="U744" s="63" t="str">
        <x:v>internal://syn-bank/simulation/ltm</x:v>
      </x:c>
      <x:c r="V744" s="63" t="str">
        <x:v>cec39b483420c65951697bc837bd8f6122fedce5cea761ca958f0fccf231d6b8</x:v>
      </x:c>
    </x:row>
    <x:row r="745">
      <x:c r="A745" s="63" t="str">
        <x:v>bec:E17:obs:flow:trade-finance</x:v>
      </x:c>
      <x:c r="B745" s="63" t="str">
        <x:v>E17</x:v>
      </x:c>
      <x:c r="C745" s="63" t="str">
        <x:v>bank_observed_trade_finance_ltm</x:v>
      </x:c>
      <x:c r="D745" s="63" t="str">
        <x:v>MONEY</x:v>
      </x:c>
      <x:c r="E745" s="63" t="str">
        <x:v>OBSERVED</x:v>
      </x:c>
      <x:c r="F745" s="65" t="n">
        <x:v>180738873.83</x:v>
      </x:c>
      <x:c r="G745" s="66"/>
      <x:c r="H745" s="67"/>
      <x:c r="I745" s="63"/>
      <x:c r="J745" s="63" t="str">
        <x:v>ZAR</x:v>
      </x:c>
      <x:c r="K745" s="63" t="str">
        <x:v>ZAR</x:v>
      </x:c>
      <x:c r="L745" s="63" t="str">
        <x:v>2025-06-01</x:v>
      </x:c>
      <x:c r="M745" s="63" t="str">
        <x:v>2026-06-30</x:v>
      </x:c>
      <x:c r="N745" s="63" t="str">
        <x:v>2026-06-30</x:v>
      </x:c>
      <x:c r="O745" s="63" t="str">
        <x:v>E0</x:v>
      </x:c>
      <x:c r="P745" s="63" t="str">
        <x:v>APPROVED</x:v>
      </x:c>
      <x:c r="Q745" s="64" t="b">
        <x:v>1</x:v>
      </x:c>
      <x:c r="R745" s="63" t="str">
        <x:v>WORKING_CAPITAL_CYCLE, OPERATING_MODEL</x:v>
      </x:c>
      <x:c r="S745" s="63" t="str">
        <x:v>Syn Bank transaction and relationship simulation</x:v>
      </x:c>
      <x:c r="T745" s="63"/>
      <x:c r="U745" s="63" t="str">
        <x:v>internal://syn-bank/simulation/ltm</x:v>
      </x:c>
      <x:c r="V745" s="63" t="str">
        <x:v>0b41e4f7a2f0058a15783af3eb768816d08d73b2fc8e7c8ee0f1a3ecc12917e5</x:v>
      </x:c>
    </x:row>
    <x:row r="746">
      <x:c r="A746" s="63" t="str">
        <x:v>bec:E17:obs:trend:trade-finance</x:v>
      </x:c>
      <x:c r="B746" s="63" t="str">
        <x:v>E17</x:v>
      </x:c>
      <x:c r="C746" s="63" t="str">
        <x:v>bank_observed_trade_finance_yoy_change</x:v>
      </x:c>
      <x:c r="D746" s="63" t="str">
        <x:v>RATIO</x:v>
      </x:c>
      <x:c r="E746" s="63" t="str">
        <x:v>OBSERVED</x:v>
      </x:c>
      <x:c r="F746" s="65"/>
      <x:c r="G746" s="66" t="n">
        <x:v>-0.085143</x:v>
      </x:c>
      <x:c r="H746" s="67"/>
      <x:c r="I746" s="63"/>
      <x:c r="J746" s="63"/>
      <x:c r="K746" s="63" t="str">
        <x:v>ratio</x:v>
      </x:c>
      <x:c r="L746" s="63" t="str">
        <x:v>2025-06-01</x:v>
      </x:c>
      <x:c r="M746" s="63" t="str">
        <x:v>2026-06-30</x:v>
      </x:c>
      <x:c r="N746" s="63" t="str">
        <x:v>2026-06-30</x:v>
      </x:c>
      <x:c r="O746" s="63" t="str">
        <x:v>E0</x:v>
      </x:c>
      <x:c r="P746" s="63" t="str">
        <x:v>APPROVED</x:v>
      </x:c>
      <x:c r="Q746" s="64" t="b">
        <x:v>0</x:v>
      </x:c>
      <x:c r="R746" s="63" t="str">
        <x:v>WORKING_CAPITAL_CYCLE, OPERATING_MODEL</x:v>
      </x:c>
      <x:c r="S746" s="63" t="str">
        <x:v>Syn Bank transaction and relationship simulation</x:v>
      </x:c>
      <x:c r="T746" s="63"/>
      <x:c r="U746" s="63" t="str">
        <x:v>internal://syn-bank/simulation/ltm</x:v>
      </x:c>
      <x:c r="V746" s="63" t="str">
        <x:v>48b4590b72801607de7c0cb9873c524a5fb6d1421127a93d2caa8a6293437dd0</x:v>
      </x:c>
    </x:row>
    <x:row r="747">
      <x:c r="A747" s="63" t="str">
        <x:v>bec:E17:obs:corridor:0</x:v>
      </x:c>
      <x:c r="B747" s="63" t="str">
        <x:v>E17</x:v>
      </x:c>
      <x:c r="C747" s="63" t="str">
        <x:v>bank_observed_corridor_value</x:v>
      </x:c>
      <x:c r="D747" s="63" t="str">
        <x:v>MONEY</x:v>
      </x:c>
      <x:c r="E747" s="63" t="str">
        <x:v>OBSERVED</x:v>
      </x:c>
      <x:c r="F747" s="65" t="n">
        <x:v>840306000.2000003</x:v>
      </x:c>
      <x:c r="G747" s="66"/>
      <x:c r="H747" s="67"/>
      <x:c r="I747" s="63"/>
      <x:c r="J747" s="63" t="str">
        <x:v>ZAR</x:v>
      </x:c>
      <x:c r="K747" s="63" t="str">
        <x:v>ZAR</x:v>
      </x:c>
      <x:c r="L747" s="63" t="str">
        <x:v>2025-06-01</x:v>
      </x:c>
      <x:c r="M747" s="63" t="str">
        <x:v>2026-06-30</x:v>
      </x:c>
      <x:c r="N747" s="63" t="str">
        <x:v>2026-06-30</x:v>
      </x:c>
      <x:c r="O747" s="63" t="str">
        <x:v>E0</x:v>
      </x:c>
      <x:c r="P747" s="63" t="str">
        <x:v>APPROVED</x:v>
      </x:c>
      <x:c r="Q747" s="64" t="b">
        <x:v>1</x:v>
      </x:c>
      <x:c r="R747" s="63" t="str">
        <x:v>GEOGRAPHIC_EXPOSURE</x:v>
      </x:c>
      <x:c r="S747" s="63" t="str">
        <x:v>Syn Bank transaction and relationship simulation</x:v>
      </x:c>
      <x:c r="T747" s="63"/>
      <x:c r="U747" s="63" t="str">
        <x:v>internal://syn-bank/simulation/ltm</x:v>
      </x:c>
      <x:c r="V747" s="63" t="str">
        <x:v>41e8d450802e30d2b519c95608b020baca2fe5c9ec3c0d46a3e0a977fc4e1d08</x:v>
      </x:c>
    </x:row>
    <x:row r="748">
      <x:c r="A748" s="63" t="str">
        <x:v>bec:E17:obs:corridor-name:0</x:v>
      </x:c>
      <x:c r="B748" s="63" t="str">
        <x:v>E17</x:v>
      </x:c>
      <x:c r="C748" s="63" t="str">
        <x:v>bank_observed_corridor_country</x:v>
      </x:c>
      <x:c r="D748" s="63" t="str">
        <x:v>CATEGORICAL</x:v>
      </x:c>
      <x:c r="E748" s="63" t="str">
        <x:v>OBSERVED</x:v>
      </x:c>
      <x:c r="F748" s="65"/>
      <x:c r="G748" s="66"/>
      <x:c r="H748" s="67"/>
      <x:c r="I748" s="63" t="str">
        <x:v>Kenya</x:v>
      </x:c>
      <x:c r="J748" s="63"/>
      <x:c r="K748" s="63" t="str">
        <x:v>country</x:v>
      </x:c>
      <x:c r="L748" s="63" t="str">
        <x:v>2025-06-01</x:v>
      </x:c>
      <x:c r="M748" s="63" t="str">
        <x:v>2026-06-30</x:v>
      </x:c>
      <x:c r="N748" s="63" t="str">
        <x:v>2026-06-30</x:v>
      </x:c>
      <x:c r="O748" s="63" t="str">
        <x:v>E0</x:v>
      </x:c>
      <x:c r="P748" s="63" t="str">
        <x:v>APPROVED</x:v>
      </x:c>
      <x:c r="Q748" s="64" t="b">
        <x:v>0</x:v>
      </x:c>
      <x:c r="R748" s="63" t="str">
        <x:v>GEOGRAPHIC_EXPOSURE</x:v>
      </x:c>
      <x:c r="S748" s="63" t="str">
        <x:v>Syn Bank transaction and relationship simulation</x:v>
      </x:c>
      <x:c r="T748" s="63"/>
      <x:c r="U748" s="63" t="str">
        <x:v>internal://syn-bank/simulation/ltm</x:v>
      </x:c>
      <x:c r="V748" s="63" t="str">
        <x:v>0e139cea7e4ab4eb10e12ea870da079665cf04b4d4546734a2636786f44fe653</x:v>
      </x:c>
    </x:row>
    <x:row r="749">
      <x:c r="A749" s="63" t="str">
        <x:v>bec:E17:obs:corridor:1</x:v>
      </x:c>
      <x:c r="B749" s="63" t="str">
        <x:v>E17</x:v>
      </x:c>
      <x:c r="C749" s="63" t="str">
        <x:v>bank_observed_corridor_value</x:v>
      </x:c>
      <x:c r="D749" s="63" t="str">
        <x:v>MONEY</x:v>
      </x:c>
      <x:c r="E749" s="63" t="str">
        <x:v>OBSERVED</x:v>
      </x:c>
      <x:c r="F749" s="65" t="n">
        <x:v>703338119.8499986</x:v>
      </x:c>
      <x:c r="G749" s="66"/>
      <x:c r="H749" s="67"/>
      <x:c r="I749" s="63"/>
      <x:c r="J749" s="63" t="str">
        <x:v>ZAR</x:v>
      </x:c>
      <x:c r="K749" s="63" t="str">
        <x:v>ZAR</x:v>
      </x:c>
      <x:c r="L749" s="63" t="str">
        <x:v>2025-06-01</x:v>
      </x:c>
      <x:c r="M749" s="63" t="str">
        <x:v>2026-06-30</x:v>
      </x:c>
      <x:c r="N749" s="63" t="str">
        <x:v>2026-06-30</x:v>
      </x:c>
      <x:c r="O749" s="63" t="str">
        <x:v>E0</x:v>
      </x:c>
      <x:c r="P749" s="63" t="str">
        <x:v>APPROVED</x:v>
      </x:c>
      <x:c r="Q749" s="64" t="b">
        <x:v>0</x:v>
      </x:c>
      <x:c r="R749" s="63" t="str">
        <x:v>GEOGRAPHIC_EXPOSURE</x:v>
      </x:c>
      <x:c r="S749" s="63" t="str">
        <x:v>Syn Bank transaction and relationship simulation</x:v>
      </x:c>
      <x:c r="T749" s="63"/>
      <x:c r="U749" s="63" t="str">
        <x:v>internal://syn-bank/simulation/ltm</x:v>
      </x:c>
      <x:c r="V749" s="63" t="str">
        <x:v>08fd82d2bcc41d850856d62bdb6a0ee8b926d38b773b212bbcd3e2c0baa4daf4</x:v>
      </x:c>
    </x:row>
    <x:row r="750">
      <x:c r="A750" s="63" t="str">
        <x:v>bec:E17:obs:corridor-name:1</x:v>
      </x:c>
      <x:c r="B750" s="63" t="str">
        <x:v>E17</x:v>
      </x:c>
      <x:c r="C750" s="63" t="str">
        <x:v>bank_observed_corridor_country</x:v>
      </x:c>
      <x:c r="D750" s="63" t="str">
        <x:v>CATEGORICAL</x:v>
      </x:c>
      <x:c r="E750" s="63" t="str">
        <x:v>OBSERVED</x:v>
      </x:c>
      <x:c r="F750" s="65"/>
      <x:c r="G750" s="66"/>
      <x:c r="H750" s="67"/>
      <x:c r="I750" s="63" t="str">
        <x:v>Egypt</x:v>
      </x:c>
      <x:c r="J750" s="63"/>
      <x:c r="K750" s="63" t="str">
        <x:v>country</x:v>
      </x:c>
      <x:c r="L750" s="63" t="str">
        <x:v>2025-06-01</x:v>
      </x:c>
      <x:c r="M750" s="63" t="str">
        <x:v>2026-06-30</x:v>
      </x:c>
      <x:c r="N750" s="63" t="str">
        <x:v>2026-06-30</x:v>
      </x:c>
      <x:c r="O750" s="63" t="str">
        <x:v>E0</x:v>
      </x:c>
      <x:c r="P750" s="63" t="str">
        <x:v>APPROVED</x:v>
      </x:c>
      <x:c r="Q750" s="64" t="b">
        <x:v>0</x:v>
      </x:c>
      <x:c r="R750" s="63" t="str">
        <x:v>GEOGRAPHIC_EXPOSURE</x:v>
      </x:c>
      <x:c r="S750" s="63" t="str">
        <x:v>Syn Bank transaction and relationship simulation</x:v>
      </x:c>
      <x:c r="T750" s="63"/>
      <x:c r="U750" s="63" t="str">
        <x:v>internal://syn-bank/simulation/ltm</x:v>
      </x:c>
      <x:c r="V750" s="63" t="str">
        <x:v>5e4ea329716b71601b62abc3b38739c44d110a745939ea6ef45329bd8c46e2ff</x:v>
      </x:c>
    </x:row>
    <x:row r="751">
      <x:c r="A751" s="63" t="str">
        <x:v>bec:E17:obs:corridor:2</x:v>
      </x:c>
      <x:c r="B751" s="63" t="str">
        <x:v>E17</x:v>
      </x:c>
      <x:c r="C751" s="63" t="str">
        <x:v>bank_observed_corridor_value</x:v>
      </x:c>
      <x:c r="D751" s="63" t="str">
        <x:v>MONEY</x:v>
      </x:c>
      <x:c r="E751" s="63" t="str">
        <x:v>OBSERVED</x:v>
      </x:c>
      <x:c r="F751" s="65" t="n">
        <x:v>697763322.8200012</x:v>
      </x:c>
      <x:c r="G751" s="66"/>
      <x:c r="H751" s="67"/>
      <x:c r="I751" s="63"/>
      <x:c r="J751" s="63" t="str">
        <x:v>ZAR</x:v>
      </x:c>
      <x:c r="K751" s="63" t="str">
        <x:v>ZAR</x:v>
      </x:c>
      <x:c r="L751" s="63" t="str">
        <x:v>2025-06-01</x:v>
      </x:c>
      <x:c r="M751" s="63" t="str">
        <x:v>2026-06-30</x:v>
      </x:c>
      <x:c r="N751" s="63" t="str">
        <x:v>2026-06-30</x:v>
      </x:c>
      <x:c r="O751" s="63" t="str">
        <x:v>E0</x:v>
      </x:c>
      <x:c r="P751" s="63" t="str">
        <x:v>APPROVED</x:v>
      </x:c>
      <x:c r="Q751" s="64" t="b">
        <x:v>0</x:v>
      </x:c>
      <x:c r="R751" s="63" t="str">
        <x:v>GEOGRAPHIC_EXPOSURE</x:v>
      </x:c>
      <x:c r="S751" s="63" t="str">
        <x:v>Syn Bank transaction and relationship simulation</x:v>
      </x:c>
      <x:c r="T751" s="63"/>
      <x:c r="U751" s="63" t="str">
        <x:v>internal://syn-bank/simulation/ltm</x:v>
      </x:c>
      <x:c r="V751" s="63" t="str">
        <x:v>49f583febd309ff20ca6229796a6e09e9679e4f489623a1389abd918772d78d5</x:v>
      </x:c>
    </x:row>
    <x:row r="752">
      <x:c r="A752" s="63" t="str">
        <x:v>bec:E17:obs:corridor-name:2</x:v>
      </x:c>
      <x:c r="B752" s="63" t="str">
        <x:v>E17</x:v>
      </x:c>
      <x:c r="C752" s="63" t="str">
        <x:v>bank_observed_corridor_country</x:v>
      </x:c>
      <x:c r="D752" s="63" t="str">
        <x:v>CATEGORICAL</x:v>
      </x:c>
      <x:c r="E752" s="63" t="str">
        <x:v>OBSERVED</x:v>
      </x:c>
      <x:c r="F752" s="65"/>
      <x:c r="G752" s="66"/>
      <x:c r="H752" s="67"/>
      <x:c r="I752" s="63" t="str">
        <x:v>Lesotho</x:v>
      </x:c>
      <x:c r="J752" s="63"/>
      <x:c r="K752" s="63" t="str">
        <x:v>country</x:v>
      </x:c>
      <x:c r="L752" s="63" t="str">
        <x:v>2025-06-01</x:v>
      </x:c>
      <x:c r="M752" s="63" t="str">
        <x:v>2026-06-30</x:v>
      </x:c>
      <x:c r="N752" s="63" t="str">
        <x:v>2026-06-30</x:v>
      </x:c>
      <x:c r="O752" s="63" t="str">
        <x:v>E0</x:v>
      </x:c>
      <x:c r="P752" s="63" t="str">
        <x:v>APPROVED</x:v>
      </x:c>
      <x:c r="Q752" s="64" t="b">
        <x:v>0</x:v>
      </x:c>
      <x:c r="R752" s="63" t="str">
        <x:v>GEOGRAPHIC_EXPOSURE</x:v>
      </x:c>
      <x:c r="S752" s="63" t="str">
        <x:v>Syn Bank transaction and relationship simulation</x:v>
      </x:c>
      <x:c r="T752" s="63"/>
      <x:c r="U752" s="63" t="str">
        <x:v>internal://syn-bank/simulation/ltm</x:v>
      </x:c>
      <x:c r="V752" s="63" t="str">
        <x:v>e5b02b16aebf5af79ccb7361156d7b557aa638b7ea11134a3117dd3b82cb3805</x:v>
      </x:c>
    </x:row>
    <x:row r="753">
      <x:c r="A753" s="63" t="str">
        <x:v>bec:E17:obs:currency:0</x:v>
      </x:c>
      <x:c r="B753" s="63" t="str">
        <x:v>E17</x:v>
      </x:c>
      <x:c r="C753" s="63" t="str">
        <x:v>bank_observed_currency_pair_value</x:v>
      </x:c>
      <x:c r="D753" s="63" t="str">
        <x:v>MONEY</x:v>
      </x:c>
      <x:c r="E753" s="63" t="str">
        <x:v>OBSERVED</x:v>
      </x:c>
      <x:c r="F753" s="65" t="n">
        <x:v>1883247974.6199992</x:v>
      </x:c>
      <x:c r="G753" s="66"/>
      <x:c r="H753" s="67"/>
      <x:c r="I753" s="63"/>
      <x:c r="J753" s="63" t="str">
        <x:v>ZAR</x:v>
      </x:c>
      <x:c r="K753" s="63" t="str">
        <x:v>ZAR</x:v>
      </x:c>
      <x:c r="L753" s="63" t="str">
        <x:v>2025-06-01</x:v>
      </x:c>
      <x:c r="M753" s="63" t="str">
        <x:v>2026-06-30</x:v>
      </x:c>
      <x:c r="N753" s="63" t="str">
        <x:v>2026-06-30</x:v>
      </x:c>
      <x:c r="O753" s="63" t="str">
        <x:v>E0</x:v>
      </x:c>
      <x:c r="P753" s="63" t="str">
        <x:v>APPROVED</x:v>
      </x:c>
      <x:c r="Q753" s="64" t="b">
        <x:v>1</x:v>
      </x:c>
      <x:c r="R753" s="63" t="str">
        <x:v>CURRENCY_AND_COMMODITY_EXPOSURE</x:v>
      </x:c>
      <x:c r="S753" s="63" t="str">
        <x:v>Syn Bank transaction and relationship simulation</x:v>
      </x:c>
      <x:c r="T753" s="63"/>
      <x:c r="U753" s="63" t="str">
        <x:v>internal://syn-bank/simulation/ltm</x:v>
      </x:c>
      <x:c r="V753" s="63" t="str">
        <x:v>d3d095bd7a483126c417a82e6107816003a7ec2b014cb79e4ec668fb65aa3e16</x:v>
      </x:c>
    </x:row>
    <x:row r="754">
      <x:c r="A754" s="63" t="str">
        <x:v>bec:E17:obs:currency-pair:0</x:v>
      </x:c>
      <x:c r="B754" s="63" t="str">
        <x:v>E17</x:v>
      </x:c>
      <x:c r="C754" s="63" t="str">
        <x:v>bank_observed_currency_pair</x:v>
      </x:c>
      <x:c r="D754" s="63" t="str">
        <x:v>CATEGORICAL</x:v>
      </x:c>
      <x:c r="E754" s="63" t="str">
        <x:v>OBSERVED</x:v>
      </x:c>
      <x:c r="F754" s="65"/>
      <x:c r="G754" s="66"/>
      <x:c r="H754" s="67"/>
      <x:c r="I754" s="63" t="str">
        <x:v>AED/ZAR</x:v>
      </x:c>
      <x:c r="J754" s="63"/>
      <x:c r="K754" s="63" t="str">
        <x:v>currency_pair</x:v>
      </x:c>
      <x:c r="L754" s="63" t="str">
        <x:v>2025-06-01</x:v>
      </x:c>
      <x:c r="M754" s="63" t="str">
        <x:v>2026-06-30</x:v>
      </x:c>
      <x:c r="N754" s="63" t="str">
        <x:v>2026-06-30</x:v>
      </x:c>
      <x:c r="O754" s="63" t="str">
        <x:v>E0</x:v>
      </x:c>
      <x:c r="P754" s="63" t="str">
        <x:v>APPROVED</x:v>
      </x:c>
      <x:c r="Q754" s="64" t="b">
        <x:v>0</x:v>
      </x:c>
      <x:c r="R754" s="63" t="str">
        <x:v>CURRENCY_AND_COMMODITY_EXPOSURE</x:v>
      </x:c>
      <x:c r="S754" s="63" t="str">
        <x:v>Syn Bank transaction and relationship simulation</x:v>
      </x:c>
      <x:c r="T754" s="63"/>
      <x:c r="U754" s="63" t="str">
        <x:v>internal://syn-bank/simulation/ltm</x:v>
      </x:c>
      <x:c r="V754" s="63" t="str">
        <x:v>9c500ab6eda179c55fe147532f96843e86625c901b9620f86036198794efaf50</x:v>
      </x:c>
    </x:row>
    <x:row r="755">
      <x:c r="A755" s="63" t="str">
        <x:v>bec:E17:obs:currency:1</x:v>
      </x:c>
      <x:c r="B755" s="63" t="str">
        <x:v>E17</x:v>
      </x:c>
      <x:c r="C755" s="63" t="str">
        <x:v>bank_observed_currency_pair_value</x:v>
      </x:c>
      <x:c r="D755" s="63" t="str">
        <x:v>MONEY</x:v>
      </x:c>
      <x:c r="E755" s="63" t="str">
        <x:v>OBSERVED</x:v>
      </x:c>
      <x:c r="F755" s="65" t="n">
        <x:v>1797974311.5499985</x:v>
      </x:c>
      <x:c r="G755" s="66"/>
      <x:c r="H755" s="67"/>
      <x:c r="I755" s="63"/>
      <x:c r="J755" s="63" t="str">
        <x:v>ZAR</x:v>
      </x:c>
      <x:c r="K755" s="63" t="str">
        <x:v>ZAR</x:v>
      </x:c>
      <x:c r="L755" s="63" t="str">
        <x:v>2025-06-01</x:v>
      </x:c>
      <x:c r="M755" s="63" t="str">
        <x:v>2026-06-30</x:v>
      </x:c>
      <x:c r="N755" s="63" t="str">
        <x:v>2026-06-30</x:v>
      </x:c>
      <x:c r="O755" s="63" t="str">
        <x:v>E0</x:v>
      </x:c>
      <x:c r="P755" s="63" t="str">
        <x:v>APPROVED</x:v>
      </x:c>
      <x:c r="Q755" s="64" t="b">
        <x:v>0</x:v>
      </x:c>
      <x:c r="R755" s="63" t="str">
        <x:v>CURRENCY_AND_COMMODITY_EXPOSURE</x:v>
      </x:c>
      <x:c r="S755" s="63" t="str">
        <x:v>Syn Bank transaction and relationship simulation</x:v>
      </x:c>
      <x:c r="T755" s="63"/>
      <x:c r="U755" s="63" t="str">
        <x:v>internal://syn-bank/simulation/ltm</x:v>
      </x:c>
      <x:c r="V755" s="63" t="str">
        <x:v>40dbbb5177e765d53aac11f7f53577f6bf7d5af0d202a42a740d0158216bafcc</x:v>
      </x:c>
    </x:row>
    <x:row r="756">
      <x:c r="A756" s="63" t="str">
        <x:v>bec:E17:obs:currency-pair:1</x:v>
      </x:c>
      <x:c r="B756" s="63" t="str">
        <x:v>E17</x:v>
      </x:c>
      <x:c r="C756" s="63" t="str">
        <x:v>bank_observed_currency_pair</x:v>
      </x:c>
      <x:c r="D756" s="63" t="str">
        <x:v>CATEGORICAL</x:v>
      </x:c>
      <x:c r="E756" s="63" t="str">
        <x:v>OBSERVED</x:v>
      </x:c>
      <x:c r="F756" s="65"/>
      <x:c r="G756" s="66"/>
      <x:c r="H756" s="67"/>
      <x:c r="I756" s="63" t="str">
        <x:v>USD/ZAR</x:v>
      </x:c>
      <x:c r="J756" s="63"/>
      <x:c r="K756" s="63" t="str">
        <x:v>currency_pair</x:v>
      </x:c>
      <x:c r="L756" s="63" t="str">
        <x:v>2025-06-01</x:v>
      </x:c>
      <x:c r="M756" s="63" t="str">
        <x:v>2026-06-30</x:v>
      </x:c>
      <x:c r="N756" s="63" t="str">
        <x:v>2026-06-30</x:v>
      </x:c>
      <x:c r="O756" s="63" t="str">
        <x:v>E0</x:v>
      </x:c>
      <x:c r="P756" s="63" t="str">
        <x:v>APPROVED</x:v>
      </x:c>
      <x:c r="Q756" s="64" t="b">
        <x:v>0</x:v>
      </x:c>
      <x:c r="R756" s="63" t="str">
        <x:v>CURRENCY_AND_COMMODITY_EXPOSURE</x:v>
      </x:c>
      <x:c r="S756" s="63" t="str">
        <x:v>Syn Bank transaction and relationship simulation</x:v>
      </x:c>
      <x:c r="T756" s="63"/>
      <x:c r="U756" s="63" t="str">
        <x:v>internal://syn-bank/simulation/ltm</x:v>
      </x:c>
      <x:c r="V756" s="63" t="str">
        <x:v>974807ec8b42984c2bbef3b40b13e4458bdbe3fb1865d9a127203f3bcac4ce6f</x:v>
      </x:c>
    </x:row>
    <x:row r="757">
      <x:c r="A757" s="63" t="str">
        <x:v>bec:E17:obs:currency:2</x:v>
      </x:c>
      <x:c r="B757" s="63" t="str">
        <x:v>E17</x:v>
      </x:c>
      <x:c r="C757" s="63" t="str">
        <x:v>bank_observed_currency_pair_value</x:v>
      </x:c>
      <x:c r="D757" s="63" t="str">
        <x:v>MONEY</x:v>
      </x:c>
      <x:c r="E757" s="63" t="str">
        <x:v>OBSERVED</x:v>
      </x:c>
      <x:c r="F757" s="65" t="n">
        <x:v>1778376261.2500045</x:v>
      </x:c>
      <x:c r="G757" s="66"/>
      <x:c r="H757" s="67"/>
      <x:c r="I757" s="63"/>
      <x:c r="J757" s="63" t="str">
        <x:v>ZAR</x:v>
      </x:c>
      <x:c r="K757" s="63" t="str">
        <x:v>ZAR</x:v>
      </x:c>
      <x:c r="L757" s="63" t="str">
        <x:v>2025-06-01</x:v>
      </x:c>
      <x:c r="M757" s="63" t="str">
        <x:v>2026-06-30</x:v>
      </x:c>
      <x:c r="N757" s="63" t="str">
        <x:v>2026-06-30</x:v>
      </x:c>
      <x:c r="O757" s="63" t="str">
        <x:v>E0</x:v>
      </x:c>
      <x:c r="P757" s="63" t="str">
        <x:v>APPROVED</x:v>
      </x:c>
      <x:c r="Q757" s="64" t="b">
        <x:v>0</x:v>
      </x:c>
      <x:c r="R757" s="63" t="str">
        <x:v>CURRENCY_AND_COMMODITY_EXPOSURE</x:v>
      </x:c>
      <x:c r="S757" s="63" t="str">
        <x:v>Syn Bank transaction and relationship simulation</x:v>
      </x:c>
      <x:c r="T757" s="63"/>
      <x:c r="U757" s="63" t="str">
        <x:v>internal://syn-bank/simulation/ltm</x:v>
      </x:c>
      <x:c r="V757" s="63" t="str">
        <x:v>7d03e7123fc7d7f54f2916b7ca6fef8f76c383a0dcd3ebb2ffbf1bc14e7bd9b8</x:v>
      </x:c>
    </x:row>
    <x:row r="758">
      <x:c r="A758" s="63" t="str">
        <x:v>bec:E17:obs:currency-pair:2</x:v>
      </x:c>
      <x:c r="B758" s="63" t="str">
        <x:v>E17</x:v>
      </x:c>
      <x:c r="C758" s="63" t="str">
        <x:v>bank_observed_currency_pair</x:v>
      </x:c>
      <x:c r="D758" s="63" t="str">
        <x:v>CATEGORICAL</x:v>
      </x:c>
      <x:c r="E758" s="63" t="str">
        <x:v>OBSERVED</x:v>
      </x:c>
      <x:c r="F758" s="65"/>
      <x:c r="G758" s="66"/>
      <x:c r="H758" s="67"/>
      <x:c r="I758" s="63" t="str">
        <x:v>EUR/ZAR</x:v>
      </x:c>
      <x:c r="J758" s="63"/>
      <x:c r="K758" s="63" t="str">
        <x:v>currency_pair</x:v>
      </x:c>
      <x:c r="L758" s="63" t="str">
        <x:v>2025-06-01</x:v>
      </x:c>
      <x:c r="M758" s="63" t="str">
        <x:v>2026-06-30</x:v>
      </x:c>
      <x:c r="N758" s="63" t="str">
        <x:v>2026-06-30</x:v>
      </x:c>
      <x:c r="O758" s="63" t="str">
        <x:v>E0</x:v>
      </x:c>
      <x:c r="P758" s="63" t="str">
        <x:v>APPROVED</x:v>
      </x:c>
      <x:c r="Q758" s="64" t="b">
        <x:v>0</x:v>
      </x:c>
      <x:c r="R758" s="63" t="str">
        <x:v>CURRENCY_AND_COMMODITY_EXPOSURE</x:v>
      </x:c>
      <x:c r="S758" s="63" t="str">
        <x:v>Syn Bank transaction and relationship simulation</x:v>
      </x:c>
      <x:c r="T758" s="63"/>
      <x:c r="U758" s="63" t="str">
        <x:v>internal://syn-bank/simulation/ltm</x:v>
      </x:c>
      <x:c r="V758" s="63" t="str">
        <x:v>110c5b8807dc347a32579f16401c66b2f8e384afa459448fa4b45f2605e70c6a</x:v>
      </x:c>
    </x:row>
    <x:row r="759">
      <x:c r="A759" s="63" t="str">
        <x:v>bec:E17:obs:country-count</x:v>
      </x:c>
      <x:c r="B759" s="63" t="str">
        <x:v>E17</x:v>
      </x:c>
      <x:c r="C759" s="63" t="str">
        <x:v>bank_observed_active_country_count</x:v>
      </x:c>
      <x:c r="D759" s="63" t="str">
        <x:v>COUNT</x:v>
      </x:c>
      <x:c r="E759" s="63" t="str">
        <x:v>OBSERVED</x:v>
      </x:c>
      <x:c r="F759" s="65"/>
      <x:c r="G759" s="66"/>
      <x:c r="H759" s="67" t="n">
        <x:v>20</x:v>
      </x:c>
      <x:c r="I759" s="63"/>
      <x:c r="J759" s="63"/>
      <x:c r="K759" s="63" t="str">
        <x:v>countries</x:v>
      </x:c>
      <x:c r="L759" s="63" t="str">
        <x:v>2025-06-01</x:v>
      </x:c>
      <x:c r="M759" s="63" t="str">
        <x:v>2026-06-30</x:v>
      </x:c>
      <x:c r="N759" s="63" t="str">
        <x:v>2026-06-30</x:v>
      </x:c>
      <x:c r="O759" s="63" t="str">
        <x:v>E0</x:v>
      </x:c>
      <x:c r="P759" s="63" t="str">
        <x:v>APPROVED</x:v>
      </x:c>
      <x:c r="Q759" s="64" t="b">
        <x:v>1</x:v>
      </x:c>
      <x:c r="R759" s="63" t="str">
        <x:v>GEOGRAPHIC_EXPOSURE</x:v>
      </x:c>
      <x:c r="S759" s="63" t="str">
        <x:v>Syn Bank transaction and relationship simulation</x:v>
      </x:c>
      <x:c r="T759" s="63"/>
      <x:c r="U759" s="63" t="str">
        <x:v>internal://syn-bank/simulation/ltm</x:v>
      </x:c>
      <x:c r="V759" s="63" t="str">
        <x:v>17e4198549ff2e181eb94451e775e2e70e1b294dfe485814cad1ea963c0bbade</x:v>
      </x:c>
    </x:row>
    <x:row r="760">
      <x:c r="A760" s="63" t="str">
        <x:v>bec:E17:obs:relationship-breadth</x:v>
      </x:c>
      <x:c r="B760" s="63" t="str">
        <x:v>E17</x:v>
      </x:c>
      <x:c r="C760" s="63" t="str">
        <x:v>bank_observed_product_relationship_breadth</x:v>
      </x:c>
      <x:c r="D760" s="63" t="str">
        <x:v>COUNT</x:v>
      </x:c>
      <x:c r="E760" s="63" t="str">
        <x:v>OBSERVED</x:v>
      </x:c>
      <x:c r="F760" s="65"/>
      <x:c r="G760" s="66"/>
      <x:c r="H760" s="67" t="n">
        <x:v>5</x:v>
      </x:c>
      <x:c r="I760" s="63"/>
      <x:c r="J760" s="63"/>
      <x:c r="K760" s="63" t="str">
        <x:v>products</x:v>
      </x:c>
      <x:c r="L760" s="63" t="str">
        <x:v>2025-06-01</x:v>
      </x:c>
      <x:c r="M760" s="63" t="str">
        <x:v>2026-06-30</x:v>
      </x:c>
      <x:c r="N760" s="63" t="str">
        <x:v>2026-06-30</x:v>
      </x:c>
      <x:c r="O760" s="63" t="str">
        <x:v>E0</x:v>
      </x:c>
      <x:c r="P760" s="63" t="str">
        <x:v>APPROVED</x:v>
      </x:c>
      <x:c r="Q760" s="64" t="b">
        <x:v>1</x:v>
      </x:c>
      <x:c r="R760" s="63" t="str">
        <x:v>OPERATING_MODEL</x:v>
      </x:c>
      <x:c r="S760" s="63" t="str">
        <x:v>Syn Bank transaction and relationship simulation</x:v>
      </x:c>
      <x:c r="T760" s="63"/>
      <x:c r="U760" s="63" t="str">
        <x:v>internal://syn-bank/simulation/ltm</x:v>
      </x:c>
      <x:c r="V760" s="63" t="str">
        <x:v>1e829e39b69b05ada71083cbe8e918859d3260d9b6c619b0497f347b1a5e09bc</x:v>
      </x:c>
    </x:row>
    <x:row r="761">
      <x:c r="A761" s="63" t="str">
        <x:v>bec:E17:obs:latent:operating_scale</x:v>
      </x:c>
      <x:c r="B761" s="63" t="str">
        <x:v>E17</x:v>
      </x:c>
      <x:c r="C761" s="63" t="str">
        <x:v>bank_observed_operating_scale_index</x:v>
      </x:c>
      <x:c r="D761" s="63" t="str">
        <x:v>RATIO</x:v>
      </x:c>
      <x:c r="E761" s="63" t="str">
        <x:v>OBSERVED</x:v>
      </x:c>
      <x:c r="F761" s="65"/>
      <x:c r="G761" s="66" t="n">
        <x:v>0.4</x:v>
      </x:c>
      <x:c r="H761" s="67"/>
      <x:c r="I761" s="63"/>
      <x:c r="J761" s="63"/>
      <x:c r="K761" s="63" t="str">
        <x:v>index_0_1</x:v>
      </x:c>
      <x:c r="L761" s="63" t="str">
        <x:v>2025-06-01</x:v>
      </x:c>
      <x:c r="M761" s="63" t="str">
        <x:v>2026-06-30</x:v>
      </x:c>
      <x:c r="N761" s="63" t="str">
        <x:v>2026-06-30</x:v>
      </x:c>
      <x:c r="O761" s="63" t="str">
        <x:v>E0</x:v>
      </x:c>
      <x:c r="P761" s="63" t="str">
        <x:v>APPROVED</x:v>
      </x:c>
      <x:c r="Q761" s="64" t="b">
        <x:v>0</x:v>
      </x:c>
      <x:c r="R761" s="63" t="str">
        <x:v>OPERATING_MODEL</x:v>
      </x:c>
      <x:c r="S761" s="63" t="str">
        <x:v>Syn Bank transaction and relationship simulation</x:v>
      </x:c>
      <x:c r="T761" s="63"/>
      <x:c r="U761" s="63" t="str">
        <x:v>internal://syn-bank/simulation/ltm</x:v>
      </x:c>
      <x:c r="V761" s="63" t="str">
        <x:v>361e127c2414a5d0419029a3096e39bdfcf3300bbdee3247790db7df77457ebc</x:v>
      </x:c>
    </x:row>
    <x:row r="762">
      <x:c r="A762" s="63" t="str">
        <x:v>bec:E17:obs:latent:working_capital_intensity</x:v>
      </x:c>
      <x:c r="B762" s="63" t="str">
        <x:v>E17</x:v>
      </x:c>
      <x:c r="C762" s="63" t="str">
        <x:v>bank_observed_working_capital_intensity_index</x:v>
      </x:c>
      <x:c r="D762" s="63" t="str">
        <x:v>RATIO</x:v>
      </x:c>
      <x:c r="E762" s="63" t="str">
        <x:v>OBSERVED</x:v>
      </x:c>
      <x:c r="F762" s="65"/>
      <x:c r="G762" s="66" t="n">
        <x:v>0.071</x:v>
      </x:c>
      <x:c r="H762" s="67"/>
      <x:c r="I762" s="63"/>
      <x:c r="J762" s="63"/>
      <x:c r="K762" s="63" t="str">
        <x:v>index_0_1</x:v>
      </x:c>
      <x:c r="L762" s="63" t="str">
        <x:v>2025-06-01</x:v>
      </x:c>
      <x:c r="M762" s="63" t="str">
        <x:v>2026-06-30</x:v>
      </x:c>
      <x:c r="N762" s="63" t="str">
        <x:v>2026-06-30</x:v>
      </x:c>
      <x:c r="O762" s="63" t="str">
        <x:v>E0</x:v>
      </x:c>
      <x:c r="P762" s="63" t="str">
        <x:v>APPROVED</x:v>
      </x:c>
      <x:c r="Q762" s="64" t="b">
        <x:v>0</x:v>
      </x:c>
      <x:c r="R762" s="63" t="str">
        <x:v>WORKING_CAPITAL_CYCLE</x:v>
      </x:c>
      <x:c r="S762" s="63" t="str">
        <x:v>Syn Bank transaction and relationship simulation</x:v>
      </x:c>
      <x:c r="T762" s="63"/>
      <x:c r="U762" s="63" t="str">
        <x:v>internal://syn-bank/simulation/ltm</x:v>
      </x:c>
      <x:c r="V762" s="63" t="str">
        <x:v>d2967fd26acc979be9c24c48be34c8b3d63e70807b6616dc918e30b252e9f1c8</x:v>
      </x:c>
    </x:row>
    <x:row r="763">
      <x:c r="A763" s="63" t="str">
        <x:v>bec:E17:obs:latent:liquidity_volatility</x:v>
      </x:c>
      <x:c r="B763" s="63" t="str">
        <x:v>E17</x:v>
      </x:c>
      <x:c r="C763" s="63" t="str">
        <x:v>bank_observed_liquidity_volatility_index</x:v>
      </x:c>
      <x:c r="D763" s="63" t="str">
        <x:v>RATIO</x:v>
      </x:c>
      <x:c r="E763" s="63" t="str">
        <x:v>OBSERVED</x:v>
      </x:c>
      <x:c r="F763" s="65"/>
      <x:c r="G763" s="66" t="n">
        <x:v>0.123</x:v>
      </x:c>
      <x:c r="H763" s="67"/>
      <x:c r="I763" s="63"/>
      <x:c r="J763" s="63"/>
      <x:c r="K763" s="63" t="str">
        <x:v>index_0_1</x:v>
      </x:c>
      <x:c r="L763" s="63" t="str">
        <x:v>2025-06-01</x:v>
      </x:c>
      <x:c r="M763" s="63" t="str">
        <x:v>2026-06-30</x:v>
      </x:c>
      <x:c r="N763" s="63" t="str">
        <x:v>2026-06-30</x:v>
      </x:c>
      <x:c r="O763" s="63" t="str">
        <x:v>E0</x:v>
      </x:c>
      <x:c r="P763" s="63" t="str">
        <x:v>APPROVED</x:v>
      </x:c>
      <x:c r="Q763" s="64" t="b">
        <x:v>0</x:v>
      </x:c>
      <x:c r="R763" s="63" t="str">
        <x:v>LIQUIDITY_AND_BUFFER</x:v>
      </x:c>
      <x:c r="S763" s="63" t="str">
        <x:v>Syn Bank transaction and relationship simulation</x:v>
      </x:c>
      <x:c r="T763" s="63"/>
      <x:c r="U763" s="63" t="str">
        <x:v>internal://syn-bank/simulation/ltm</x:v>
      </x:c>
      <x:c r="V763" s="63" t="str">
        <x:v>0b782ff6efd52e73f658fc3201ee08ad98896fb44a2db8ba5db5ba440a83d065</x:v>
      </x:c>
    </x:row>
    <x:row r="764">
      <x:c r="A764" s="63" t="str">
        <x:v>bec:E17:obs:latent:international_exposure</x:v>
      </x:c>
      <x:c r="B764" s="63" t="str">
        <x:v>E17</x:v>
      </x:c>
      <x:c r="C764" s="63" t="str">
        <x:v>bank_observed_international_exposure_index</x:v>
      </x:c>
      <x:c r="D764" s="63" t="str">
        <x:v>RATIO</x:v>
      </x:c>
      <x:c r="E764" s="63" t="str">
        <x:v>OBSERVED</x:v>
      </x:c>
      <x:c r="F764" s="65"/>
      <x:c r="G764" s="66" t="n">
        <x:v>0.929</x:v>
      </x:c>
      <x:c r="H764" s="67"/>
      <x:c r="I764" s="63"/>
      <x:c r="J764" s="63"/>
      <x:c r="K764" s="63" t="str">
        <x:v>index_0_1</x:v>
      </x:c>
      <x:c r="L764" s="63" t="str">
        <x:v>2025-06-01</x:v>
      </x:c>
      <x:c r="M764" s="63" t="str">
        <x:v>2026-06-30</x:v>
      </x:c>
      <x:c r="N764" s="63" t="str">
        <x:v>2026-06-30</x:v>
      </x:c>
      <x:c r="O764" s="63" t="str">
        <x:v>E0</x:v>
      </x:c>
      <x:c r="P764" s="63" t="str">
        <x:v>APPROVED</x:v>
      </x:c>
      <x:c r="Q764" s="64" t="b">
        <x:v>0</x:v>
      </x:c>
      <x:c r="R764" s="63" t="str">
        <x:v>GEOGRAPHIC_EXPOSURE</x:v>
      </x:c>
      <x:c r="S764" s="63" t="str">
        <x:v>Syn Bank transaction and relationship simulation</x:v>
      </x:c>
      <x:c r="T764" s="63"/>
      <x:c r="U764" s="63" t="str">
        <x:v>internal://syn-bank/simulation/ltm</x:v>
      </x:c>
      <x:c r="V764" s="63" t="str">
        <x:v>dff3c2b3024d41de5511e1148eb7ade929b3628ee447a673a6ebc1644a01eb2c</x:v>
      </x:c>
    </x:row>
    <x:row r="765">
      <x:c r="A765" s="63" t="str">
        <x:v>bec:E17:obs:latent:financing_need</x:v>
      </x:c>
      <x:c r="B765" s="63" t="str">
        <x:v>E17</x:v>
      </x:c>
      <x:c r="C765" s="63" t="str">
        <x:v>bank_observed_financing_need_index</x:v>
      </x:c>
      <x:c r="D765" s="63" t="str">
        <x:v>RATIO</x:v>
      </x:c>
      <x:c r="E765" s="63" t="str">
        <x:v>OBSERVED</x:v>
      </x:c>
      <x:c r="F765" s="65"/>
      <x:c r="G765" s="66" t="n">
        <x:v>0.059</x:v>
      </x:c>
      <x:c r="H765" s="67"/>
      <x:c r="I765" s="63"/>
      <x:c r="J765" s="63"/>
      <x:c r="K765" s="63" t="str">
        <x:v>index_0_1</x:v>
      </x:c>
      <x:c r="L765" s="63" t="str">
        <x:v>2025-06-01</x:v>
      </x:c>
      <x:c r="M765" s="63" t="str">
        <x:v>2026-06-30</x:v>
      </x:c>
      <x:c r="N765" s="63" t="str">
        <x:v>2026-06-30</x:v>
      </x:c>
      <x:c r="O765" s="63" t="str">
        <x:v>E0</x:v>
      </x:c>
      <x:c r="P765" s="63" t="str">
        <x:v>APPROVED</x:v>
      </x:c>
      <x:c r="Q765" s="64" t="b">
        <x:v>0</x:v>
      </x:c>
      <x:c r="R765" s="63" t="str">
        <x:v>FUNDING_STRUCTURE</x:v>
      </x:c>
      <x:c r="S765" s="63" t="str">
        <x:v>Syn Bank transaction and relationship simulation</x:v>
      </x:c>
      <x:c r="T765" s="63"/>
      <x:c r="U765" s="63" t="str">
        <x:v>internal://syn-bank/simulation/ltm</x:v>
      </x:c>
      <x:c r="V765" s="63" t="str">
        <x:v>8a4e3d4f15c633a4bd1437fa0e80794e0a109e3c8c0a70f21d681042a890251e</x:v>
      </x:c>
    </x:row>
    <x:row r="766">
      <x:c r="A766" s="63" t="str">
        <x:v>bec:E17:obs:latent:event_intensity</x:v>
      </x:c>
      <x:c r="B766" s="63" t="str">
        <x:v>E17</x:v>
      </x:c>
      <x:c r="C766" s="63" t="str">
        <x:v>bank_observed_event_intensity_index</x:v>
      </x:c>
      <x:c r="D766" s="63" t="str">
        <x:v>RATIO</x:v>
      </x:c>
      <x:c r="E766" s="63" t="str">
        <x:v>OBSERVED</x:v>
      </x:c>
      <x:c r="F766" s="65"/>
      <x:c r="G766" s="66" t="n">
        <x:v>1</x:v>
      </x:c>
      <x:c r="H766" s="67"/>
      <x:c r="I766" s="63"/>
      <x:c r="J766" s="63"/>
      <x:c r="K766" s="63" t="str">
        <x:v>index_0_1</x:v>
      </x:c>
      <x:c r="L766" s="63" t="str">
        <x:v>2025-06-01</x:v>
      </x:c>
      <x:c r="M766" s="63" t="str">
        <x:v>2026-06-30</x:v>
      </x:c>
      <x:c r="N766" s="63" t="str">
        <x:v>2026-06-30</x:v>
      </x:c>
      <x:c r="O766" s="63" t="str">
        <x:v>E0</x:v>
      </x:c>
      <x:c r="P766" s="63" t="str">
        <x:v>APPROVED</x:v>
      </x:c>
      <x:c r="Q766" s="64" t="b">
        <x:v>0</x:v>
      </x:c>
      <x:c r="R766" s="63" t="str">
        <x:v>STRATEGY_ACTIONS_AND_ESG</x:v>
      </x:c>
      <x:c r="S766" s="63" t="str">
        <x:v>Syn Bank transaction and relationship simulation</x:v>
      </x:c>
      <x:c r="T766" s="63"/>
      <x:c r="U766" s="63" t="str">
        <x:v>internal://syn-bank/simulation/ltm</x:v>
      </x:c>
      <x:c r="V766" s="63" t="str">
        <x:v>8ae872839d031509183ac1d5aaebb66df39a2aca15ee1cd7e49eff183ac1d0a2</x:v>
      </x:c>
    </x:row>
    <x:row r="767">
      <x:c r="A767" s="63" t="str">
        <x:v>bec:E17:obs:latent:relationship_complexity</x:v>
      </x:c>
      <x:c r="B767" s="63" t="str">
        <x:v>E17</x:v>
      </x:c>
      <x:c r="C767" s="63" t="str">
        <x:v>bank_observed_relationship_complexity_index</x:v>
      </x:c>
      <x:c r="D767" s="63" t="str">
        <x:v>RATIO</x:v>
      </x:c>
      <x:c r="E767" s="63" t="str">
        <x:v>OBSERVED</x:v>
      </x:c>
      <x:c r="F767" s="65"/>
      <x:c r="G767" s="66" t="n">
        <x:v>1</x:v>
      </x:c>
      <x:c r="H767" s="67"/>
      <x:c r="I767" s="63"/>
      <x:c r="J767" s="63"/>
      <x:c r="K767" s="63" t="str">
        <x:v>index_0_1</x:v>
      </x:c>
      <x:c r="L767" s="63" t="str">
        <x:v>2025-06-01</x:v>
      </x:c>
      <x:c r="M767" s="63" t="str">
        <x:v>2026-06-30</x:v>
      </x:c>
      <x:c r="N767" s="63" t="str">
        <x:v>2026-06-30</x:v>
      </x:c>
      <x:c r="O767" s="63" t="str">
        <x:v>E0</x:v>
      </x:c>
      <x:c r="P767" s="63" t="str">
        <x:v>APPROVED</x:v>
      </x:c>
      <x:c r="Q767" s="64" t="b">
        <x:v>0</x:v>
      </x:c>
      <x:c r="R767" s="63" t="str">
        <x:v>OPERATING_MODEL</x:v>
      </x:c>
      <x:c r="S767" s="63" t="str">
        <x:v>Syn Bank transaction and relationship simulation</x:v>
      </x:c>
      <x:c r="T767" s="63"/>
      <x:c r="U767" s="63" t="str">
        <x:v>internal://syn-bank/simulation/ltm</x:v>
      </x:c>
      <x:c r="V767" s="63" t="str">
        <x:v>fa2715dd35eb989534143a18b6a49e46476159168760afe7cdeb8ab6358572c3</x:v>
      </x:c>
    </x:row>
    <x:row r="768">
      <x:c r="A768" s="63" t="str">
        <x:v>bec:E17:obs:events:trade-90d</x:v>
      </x:c>
      <x:c r="B768" s="63" t="str">
        <x:v>E17</x:v>
      </x:c>
      <x:c r="C768" s="63" t="str">
        <x:v>bank_observed_trade_events_next_90d</x:v>
      </x:c>
      <x:c r="D768" s="63" t="str">
        <x:v>COUNT</x:v>
      </x:c>
      <x:c r="E768" s="63" t="str">
        <x:v>OBSERVED</x:v>
      </x:c>
      <x:c r="F768" s="65"/>
      <x:c r="G768" s="66"/>
      <x:c r="H768" s="67" t="n">
        <x:v>19</x:v>
      </x:c>
      <x:c r="I768" s="63"/>
      <x:c r="J768" s="63"/>
      <x:c r="K768" s="63" t="str">
        <x:v>events</x:v>
      </x:c>
      <x:c r="L768" s="63" t="str">
        <x:v>2025-06-01</x:v>
      </x:c>
      <x:c r="M768" s="63" t="str">
        <x:v>2026-06-30</x:v>
      </x:c>
      <x:c r="N768" s="63" t="str">
        <x:v>2026-06-30</x:v>
      </x:c>
      <x:c r="O768" s="63" t="str">
        <x:v>E0</x:v>
      </x:c>
      <x:c r="P768" s="63" t="str">
        <x:v>APPROVED</x:v>
      </x:c>
      <x:c r="Q768" s="64" t="b">
        <x:v>1</x:v>
      </x:c>
      <x:c r="R768" s="63" t="str">
        <x:v>OPERATING_MODEL, WORKING_CAPITAL_CYCLE</x:v>
      </x:c>
      <x:c r="S768" s="63" t="str">
        <x:v>Syn Bank transaction and relationship simulation</x:v>
      </x:c>
      <x:c r="T768" s="63"/>
      <x:c r="U768" s="63" t="str">
        <x:v>internal://syn-bank/simulation/ltm</x:v>
      </x:c>
      <x:c r="V768" s="63" t="str">
        <x:v>c786001bb96339bca9dcf6ae120d82c3004217dc0aaedf6a434a523a3173f061</x:v>
      </x:c>
    </x:row>
    <x:row r="769">
      <x:c r="A769" s="63" t="str">
        <x:v>bec:E17:obs:events:trade-90d-value</x:v>
      </x:c>
      <x:c r="B769" s="63" t="str">
        <x:v>E17</x:v>
      </x:c>
      <x:c r="C769" s="63" t="str">
        <x:v>bank_observed_trade_events_value_next_90d</x:v>
      </x:c>
      <x:c r="D769" s="63" t="str">
        <x:v>MONEY</x:v>
      </x:c>
      <x:c r="E769" s="63" t="str">
        <x:v>OBSERVED</x:v>
      </x:c>
      <x:c r="F769" s="65" t="n">
        <x:v>24956880.960000005</x:v>
      </x:c>
      <x:c r="G769" s="66"/>
      <x:c r="H769" s="67"/>
      <x:c r="I769" s="63"/>
      <x:c r="J769" s="63" t="str">
        <x:v>ZAR</x:v>
      </x:c>
      <x:c r="K769" s="63" t="str">
        <x:v>ZAR</x:v>
      </x:c>
      <x:c r="L769" s="63" t="str">
        <x:v>2025-06-01</x:v>
      </x:c>
      <x:c r="M769" s="63" t="str">
        <x:v>2026-06-30</x:v>
      </x:c>
      <x:c r="N769" s="63" t="str">
        <x:v>2026-06-30</x:v>
      </x:c>
      <x:c r="O769" s="63" t="str">
        <x:v>E0</x:v>
      </x:c>
      <x:c r="P769" s="63" t="str">
        <x:v>APPROVED</x:v>
      </x:c>
      <x:c r="Q769" s="64" t="b">
        <x:v>0</x:v>
      </x:c>
      <x:c r="R769" s="63" t="str">
        <x:v>WORKING_CAPITAL_CYCLE</x:v>
      </x:c>
      <x:c r="S769" s="63" t="str">
        <x:v>Syn Bank transaction and relationship simulation</x:v>
      </x:c>
      <x:c r="T769" s="63"/>
      <x:c r="U769" s="63" t="str">
        <x:v>internal://syn-bank/simulation/ltm</x:v>
      </x:c>
      <x:c r="V769" s="63" t="str">
        <x:v>3688b347e47001bcb3eed4afc8092698b12a369ca2d0af799fd5d7e13b4b2f33</x:v>
      </x:c>
    </x:row>
    <x:row r="770">
      <x:c r="A770" s="63" t="str">
        <x:v>bec:E17:struct:operating-model</x:v>
      </x:c>
      <x:c r="B770" s="63" t="str">
        <x:v>E17</x:v>
      </x:c>
      <x:c r="C770" s="63" t="str">
        <x:v>sector_operating_model</x:v>
      </x:c>
      <x:c r="D770" s="63" t="str">
        <x:v>TEXTUAL</x:v>
      </x:c>
      <x:c r="E770" s="63" t="str">
        <x:v>SCENARIO</x:v>
      </x:c>
      <x:c r="F770" s="65"/>
      <x:c r="G770" s="66"/>
      <x:c r="H770" s="67"/>
      <x:c r="I770" s="63" t="str">
        <x:v>Capital-intensive network operator with recurring subscriber collections and multi-country licence obligations.</x:v>
      </x:c>
      <x:c r="J770" s="63"/>
      <x:c r="K770" s="63" t="str">
        <x:v>statement</x:v>
      </x:c>
      <x:c r="L770" s="63" t="str">
        <x:v>2025-06-01</x:v>
      </x:c>
      <x:c r="M770" s="63" t="str">
        <x:v>2026-06-30</x:v>
      </x:c>
      <x:c r="N770" s="63" t="str">
        <x:v>2026-06-30</x:v>
      </x:c>
      <x:c r="O770" s="63" t="str">
        <x:v>E0</x:v>
      </x:c>
      <x:c r="P770" s="63" t="str">
        <x:v>APPROVED</x:v>
      </x:c>
      <x:c r="Q770" s="64" t="b">
        <x:v>0</x:v>
      </x:c>
      <x:c r="R770" s="63" t="str">
        <x:v>OPERATING_MODEL</x:v>
      </x:c>
      <x:c r="S770" s="63" t="str">
        <x:v>Governed sector operating-model and responsibility policy</x:v>
      </x:c>
      <x:c r="T770" s="63"/>
      <x:c r="U770" s="63" t="str">
        <x:v>internal://v31/governed-policy</x:v>
      </x:c>
      <x:c r="V770" s="63" t="str">
        <x:v>2780bc4d806d095833deeda9e3dc620d78f9352308713bd657cbe871ace6ec15</x:v>
      </x:c>
    </x:row>
    <x:row r="771">
      <x:c r="A771" s="63" t="str">
        <x:v>bec:E17:struct:risk:0</x:v>
      </x:c>
      <x:c r="B771" s="63" t="str">
        <x:v>E17</x:v>
      </x:c>
      <x:c r="C771" s="63" t="str">
        <x:v>sector_primary_risk</x:v>
      </x:c>
      <x:c r="D771" s="63" t="str">
        <x:v>CATEGORICAL</x:v>
      </x:c>
      <x:c r="E771" s="63" t="str">
        <x:v>SCENARIO</x:v>
      </x:c>
      <x:c r="F771" s="65"/>
      <x:c r="G771" s="66"/>
      <x:c r="H771" s="67"/>
      <x:c r="I771" s="63" t="str">
        <x:v>licence and spectrum cost</x:v>
      </x:c>
      <x:c r="J771" s="63"/>
      <x:c r="K771" s="63" t="str">
        <x:v>statement</x:v>
      </x:c>
      <x:c r="L771" s="63" t="str">
        <x:v>2025-06-01</x:v>
      </x:c>
      <x:c r="M771" s="63" t="str">
        <x:v>2026-06-30</x:v>
      </x:c>
      <x:c r="N771" s="63" t="str">
        <x:v>2026-06-30</x:v>
      </x:c>
      <x:c r="O771" s="63" t="str">
        <x:v>E0</x:v>
      </x:c>
      <x:c r="P771" s="63" t="str">
        <x:v>APPROVED</x:v>
      </x:c>
      <x:c r="Q771" s="64" t="b">
        <x:v>0</x:v>
      </x:c>
      <x:c r="R771" s="63" t="str">
        <x:v>BUSINESS_AND_FINANCIAL_RISKS</x:v>
      </x:c>
      <x:c r="S771" s="63" t="str">
        <x:v>Governed sector operating-model and responsibility policy</x:v>
      </x:c>
      <x:c r="T771" s="63"/>
      <x:c r="U771" s="63" t="str">
        <x:v>internal://v31/governed-policy</x:v>
      </x:c>
      <x:c r="V771" s="63" t="str">
        <x:v>05851308ff58475938c434b7a1c6c03e53d2bbb7c765c19b0cc8f41cc35253ec</x:v>
      </x:c>
    </x:row>
    <x:row r="772">
      <x:c r="A772" s="63" t="str">
        <x:v>bec:E17:struct:risk:1</x:v>
      </x:c>
      <x:c r="B772" s="63" t="str">
        <x:v>E17</x:v>
      </x:c>
      <x:c r="C772" s="63" t="str">
        <x:v>sector_primary_risk</x:v>
      </x:c>
      <x:c r="D772" s="63" t="str">
        <x:v>CATEGORICAL</x:v>
      </x:c>
      <x:c r="E772" s="63" t="str">
        <x:v>SCENARIO</x:v>
      </x:c>
      <x:c r="F772" s="65"/>
      <x:c r="G772" s="66"/>
      <x:c r="H772" s="67"/>
      <x:c r="I772" s="63" t="str">
        <x:v>currency translation on multi-country earnings</x:v>
      </x:c>
      <x:c r="J772" s="63"/>
      <x:c r="K772" s="63" t="str">
        <x:v>statement</x:v>
      </x:c>
      <x:c r="L772" s="63" t="str">
        <x:v>2025-06-01</x:v>
      </x:c>
      <x:c r="M772" s="63" t="str">
        <x:v>2026-06-30</x:v>
      </x:c>
      <x:c r="N772" s="63" t="str">
        <x:v>2026-06-30</x:v>
      </x:c>
      <x:c r="O772" s="63" t="str">
        <x:v>E0</x:v>
      </x:c>
      <x:c r="P772" s="63" t="str">
        <x:v>APPROVED</x:v>
      </x:c>
      <x:c r="Q772" s="64" t="b">
        <x:v>0</x:v>
      </x:c>
      <x:c r="R772" s="63" t="str">
        <x:v>BUSINESS_AND_FINANCIAL_RISKS</x:v>
      </x:c>
      <x:c r="S772" s="63" t="str">
        <x:v>Governed sector operating-model and responsibility policy</x:v>
      </x:c>
      <x:c r="T772" s="63"/>
      <x:c r="U772" s="63" t="str">
        <x:v>internal://v31/governed-policy</x:v>
      </x:c>
      <x:c r="V772" s="63" t="str">
        <x:v>ed9c76e92584df776d6627519d131d9d1dc9575b75f6a6ffbfeeedffc3432986</x:v>
      </x:c>
    </x:row>
    <x:row r="773">
      <x:c r="A773" s="63" t="str">
        <x:v>bec:E17:struct:risk:2</x:v>
      </x:c>
      <x:c r="B773" s="63" t="str">
        <x:v>E17</x:v>
      </x:c>
      <x:c r="C773" s="63" t="str">
        <x:v>sector_primary_risk</x:v>
      </x:c>
      <x:c r="D773" s="63" t="str">
        <x:v>CATEGORICAL</x:v>
      </x:c>
      <x:c r="E773" s="63" t="str">
        <x:v>SCENARIO</x:v>
      </x:c>
      <x:c r="F773" s="65"/>
      <x:c r="G773" s="66"/>
      <x:c r="H773" s="67"/>
      <x:c r="I773" s="63" t="str">
        <x:v>capex funding</x:v>
      </x:c>
      <x:c r="J773" s="63"/>
      <x:c r="K773" s="63" t="str">
        <x:v>statement</x:v>
      </x:c>
      <x:c r="L773" s="63" t="str">
        <x:v>2025-06-01</x:v>
      </x:c>
      <x:c r="M773" s="63" t="str">
        <x:v>2026-06-30</x:v>
      </x:c>
      <x:c r="N773" s="63" t="str">
        <x:v>2026-06-30</x:v>
      </x:c>
      <x:c r="O773" s="63" t="str">
        <x:v>E0</x:v>
      </x:c>
      <x:c r="P773" s="63" t="str">
        <x:v>APPROVED</x:v>
      </x:c>
      <x:c r="Q773" s="64" t="b">
        <x:v>0</x:v>
      </x:c>
      <x:c r="R773" s="63" t="str">
        <x:v>BUSINESS_AND_FINANCIAL_RISKS</x:v>
      </x:c>
      <x:c r="S773" s="63" t="str">
        <x:v>Governed sector operating-model and responsibility policy</x:v>
      </x:c>
      <x:c r="T773" s="63"/>
      <x:c r="U773" s="63" t="str">
        <x:v>internal://v31/governed-policy</x:v>
      </x:c>
      <x:c r="V773" s="63" t="str">
        <x:v>8278198a40ae011a2b48146c10b867771a223cd45d276d2b7b6ab2e4fc662663</x:v>
      </x:c>
    </x:row>
    <x:row r="774">
      <x:c r="A774" s="63" t="str">
        <x:v>bec:E17:struct:responsibility-model</x:v>
      </x:c>
      <x:c r="B774" s="63" t="str">
        <x:v>E17</x:v>
      </x:c>
      <x:c r="C774" s="63" t="str">
        <x:v>stakeholder_responsibility_model</x:v>
      </x:c>
      <x:c r="D774" s="63" t="str">
        <x:v>TEXTUAL</x:v>
      </x:c>
      <x:c r="E774" s="63" t="str">
        <x:v>SCENARIO</x:v>
      </x:c>
      <x:c r="F774" s="65"/>
      <x:c r="G774" s="66"/>
      <x:c r="H774" s="67"/>
      <x:c r="I774" s="63" t="str">
        <x:v>Responsibility is assigned by role persona using governed matrix v31-stakeholder-responsibility-3.1.0. Named individuals are not resolved in the demonstration and require CRM entitlement checks in production.</x:v>
      </x:c>
      <x:c r="J774" s="63"/>
      <x:c r="K774" s="63" t="str">
        <x:v>statement</x:v>
      </x:c>
      <x:c r="L774" s="63" t="str">
        <x:v>2025-06-01</x:v>
      </x:c>
      <x:c r="M774" s="63" t="str">
        <x:v>2026-06-30</x:v>
      </x:c>
      <x:c r="N774" s="63" t="str">
        <x:v>2026-06-30</x:v>
      </x:c>
      <x:c r="O774" s="63" t="str">
        <x:v>E0</x:v>
      </x:c>
      <x:c r="P774" s="63" t="str">
        <x:v>APPROVED</x:v>
      </x:c>
      <x:c r="Q774" s="64" t="b">
        <x:v>0</x:v>
      </x:c>
      <x:c r="R774" s="63" t="str">
        <x:v>STAKEHOLDER_RESPONSIBILITY</x:v>
      </x:c>
      <x:c r="S774" s="63" t="str">
        <x:v>Governed sector operating-model and responsibility policy</x:v>
      </x:c>
      <x:c r="T774" s="63"/>
      <x:c r="U774" s="63" t="str">
        <x:v>internal://v31/governed-policy</x:v>
      </x:c>
      <x:c r="V774" s="63" t="str">
        <x:v>2062d806f85a978f15187a12c962f89b068da1dabfeabc1e2b17a5e8e3941c9a</x:v>
      </x:c>
    </x:row>
    <x:row r="775">
      <x:c r="A775" s="63" t="str">
        <x:v>bec:E17:struct:responsibility:fx_exposure</x:v>
      </x:c>
      <x:c r="B775" s="63" t="str">
        <x:v>E17</x:v>
      </x:c>
      <x:c r="C775" s="63" t="str">
        <x:v>problem_role_ownership</x:v>
      </x:c>
      <x:c r="D775" s="63" t="str">
        <x:v>STRUCTURE_RELATIONSHIP</x:v>
      </x:c>
      <x:c r="E775" s="63" t="str">
        <x:v>SCENARIO</x:v>
      </x:c>
      <x:c r="F775" s="65"/>
      <x:c r="G775" s="66"/>
      <x:c r="H775" s="67"/>
      <x:c r="I775" s="63"/>
      <x:c r="J775" s="63"/>
      <x:c r="K775" s="63" t="str">
        <x:v>statement</x:v>
      </x:c>
      <x:c r="L775" s="63" t="str">
        <x:v>2025-06-01</x:v>
      </x:c>
      <x:c r="M775" s="63" t="str">
        <x:v>2026-06-30</x:v>
      </x:c>
      <x:c r="N775" s="63" t="str">
        <x:v>2026-06-30</x:v>
      </x:c>
      <x:c r="O775" s="63" t="str">
        <x:v>E0</x:v>
      </x:c>
      <x:c r="P775" s="63" t="str">
        <x:v>APPROVED</x:v>
      </x:c>
      <x:c r="Q775" s="64" t="b">
        <x:v>0</x:v>
      </x:c>
      <x:c r="R775" s="63" t="str">
        <x:v>STAKEHOLDER_RESPONSIBILITY</x:v>
      </x:c>
      <x:c r="S775" s="63" t="str">
        <x:v>Governed sector operating-model and responsibility policy</x:v>
      </x:c>
      <x:c r="T775" s="63"/>
      <x:c r="U775" s="63" t="str">
        <x:v>internal://v31/governed-policy</x:v>
      </x:c>
      <x:c r="V775" s="63" t="str">
        <x:v>322c77ffe646499e5f4a7c8c307e2ddf6799c005d79b26d493ae0528d66ee088</x:v>
      </x:c>
    </x:row>
    <x:row r="776">
      <x:c r="A776" s="63" t="str">
        <x:v>bec:E17:struct:responsibility:refinancing_cliff</x:v>
      </x:c>
      <x:c r="B776" s="63" t="str">
        <x:v>E17</x:v>
      </x:c>
      <x:c r="C776" s="63" t="str">
        <x:v>problem_role_ownership</x:v>
      </x:c>
      <x:c r="D776" s="63" t="str">
        <x:v>STRUCTURE_RELATIONSHIP</x:v>
      </x:c>
      <x:c r="E776" s="63" t="str">
        <x:v>SCENARIO</x:v>
      </x:c>
      <x:c r="F776" s="65"/>
      <x:c r="G776" s="66"/>
      <x:c r="H776" s="67"/>
      <x:c r="I776" s="63"/>
      <x:c r="J776" s="63"/>
      <x:c r="K776" s="63" t="str">
        <x:v>statement</x:v>
      </x:c>
      <x:c r="L776" s="63" t="str">
        <x:v>2025-06-01</x:v>
      </x:c>
      <x:c r="M776" s="63" t="str">
        <x:v>2026-06-30</x:v>
      </x:c>
      <x:c r="N776" s="63" t="str">
        <x:v>2026-06-30</x:v>
      </x:c>
      <x:c r="O776" s="63" t="str">
        <x:v>E0</x:v>
      </x:c>
      <x:c r="P776" s="63" t="str">
        <x:v>APPROVED</x:v>
      </x:c>
      <x:c r="Q776" s="64" t="b">
        <x:v>0</x:v>
      </x:c>
      <x:c r="R776" s="63" t="str">
        <x:v>STAKEHOLDER_RESPONSIBILITY</x:v>
      </x:c>
      <x:c r="S776" s="63" t="str">
        <x:v>Governed sector operating-model and responsibility policy</x:v>
      </x:c>
      <x:c r="T776" s="63"/>
      <x:c r="U776" s="63" t="str">
        <x:v>internal://v31/governed-policy</x:v>
      </x:c>
      <x:c r="V776" s="63" t="str">
        <x:v>4899f468e1005d84daaaf58ec33b4cd1a7e3ced78b70b9d62ba2bad978158b86</x:v>
      </x:c>
    </x:row>
    <x:row r="777">
      <x:c r="A777" s="63" t="str">
        <x:v>bec:E17:struct:responsibility:working_capital_pressure</x:v>
      </x:c>
      <x:c r="B777" s="63" t="str">
        <x:v>E17</x:v>
      </x:c>
      <x:c r="C777" s="63" t="str">
        <x:v>problem_role_ownership</x:v>
      </x:c>
      <x:c r="D777" s="63" t="str">
        <x:v>STRUCTURE_RELATIONSHIP</x:v>
      </x:c>
      <x:c r="E777" s="63" t="str">
        <x:v>SCENARIO</x:v>
      </x:c>
      <x:c r="F777" s="65"/>
      <x:c r="G777" s="66"/>
      <x:c r="H777" s="67"/>
      <x:c r="I777" s="63"/>
      <x:c r="J777" s="63"/>
      <x:c r="K777" s="63" t="str">
        <x:v>statement</x:v>
      </x:c>
      <x:c r="L777" s="63" t="str">
        <x:v>2025-06-01</x:v>
      </x:c>
      <x:c r="M777" s="63" t="str">
        <x:v>2026-06-30</x:v>
      </x:c>
      <x:c r="N777" s="63" t="str">
        <x:v>2026-06-30</x:v>
      </x:c>
      <x:c r="O777" s="63" t="str">
        <x:v>E0</x:v>
      </x:c>
      <x:c r="P777" s="63" t="str">
        <x:v>APPROVED</x:v>
      </x:c>
      <x:c r="Q777" s="64" t="b">
        <x:v>0</x:v>
      </x:c>
      <x:c r="R777" s="63" t="str">
        <x:v>STAKEHOLDER_RESPONSIBILITY</x:v>
      </x:c>
      <x:c r="S777" s="63" t="str">
        <x:v>Governed sector operating-model and responsibility policy</x:v>
      </x:c>
      <x:c r="T777" s="63"/>
      <x:c r="U777" s="63" t="str">
        <x:v>internal://v31/governed-policy</x:v>
      </x:c>
      <x:c r="V777" s="63" t="str">
        <x:v>daecf5c2eb8b327fdfb5a01c1b3dfb971f0544a73a13a923794da4d500b989ad</x:v>
      </x:c>
    </x:row>
    <x:row r="778">
      <x:c r="A778" s="63" t="str">
        <x:v>bec:BIDVEST-2025-REV</x:v>
      </x:c>
      <x:c r="B778" s="63" t="str">
        <x:v>E18</x:v>
      </x:c>
      <x:c r="C778" s="63" t="str">
        <x:v>revenue</x:v>
      </x:c>
      <x:c r="D778" s="63" t="str">
        <x:v>MONEY</x:v>
      </x:c>
      <x:c r="E778" s="63" t="str">
        <x:v>OBSERVED</x:v>
      </x:c>
      <x:c r="F778" s="65" t="n">
        <x:v>126605.406</x:v>
      </x:c>
      <x:c r="G778" s="66"/>
      <x:c r="H778" s="67"/>
      <x:c r="I778" s="63"/>
      <x:c r="J778" s="63" t="str">
        <x:v>ZAR</x:v>
      </x:c>
      <x:c r="K778" s="63" t="str">
        <x:v>million</x:v>
      </x:c>
      <x:c r="L778" s="63" t="str">
        <x:v>2024-07-01</x:v>
      </x:c>
      <x:c r="M778" s="63" t="str">
        <x:v>2025-06-30</x:v>
      </x:c>
      <x:c r="N778" s="63" t="str">
        <x:v>2025-10-24</x:v>
      </x:c>
      <x:c r="O778" s="63" t="str">
        <x:v>E1</x:v>
      </x:c>
      <x:c r="P778" s="63" t="str">
        <x:v>PENDING_REVIEW</x:v>
      </x:c>
      <x:c r="Q778" s="64" t="b">
        <x:v>1</x:v>
      </x:c>
      <x:c r="R778" s="63" t="str">
        <x:v>REVENUE_ENGINE</x:v>
      </x:c>
      <x:c r="S778" s="63" t="str">
        <x:v>Bidvest Integrated Report 2025</x:v>
      </x:c>
      <x:c r="T778" s="63" t="n">
        <x:v>40</x:v>
      </x:c>
      <x:c r="U778" s="63" t="str">
        <x:v>https://bidvest.co.za/pdf/annual-reports/2025/bidvest-iar-2025.pdf</x:v>
      </x:c>
      <x:c r="V778" s="63" t="str">
        <x:v>2a44e26a70a3c05c45814de4aba756ef39bfa15e05137f49edd3ec22b722260a</x:v>
      </x:c>
    </x:row>
    <x:row r="779">
      <x:c r="A779" s="63" t="str">
        <x:v>bec:BIDVEST-2025-CASH</x:v>
      </x:c>
      <x:c r="B779" s="63" t="str">
        <x:v>E18</x:v>
      </x:c>
      <x:c r="C779" s="63" t="str">
        <x:v>cash_and_cash_equivalents</x:v>
      </x:c>
      <x:c r="D779" s="63" t="str">
        <x:v>MONEY</x:v>
      </x:c>
      <x:c r="E779" s="63" t="str">
        <x:v>OBSERVED</x:v>
      </x:c>
      <x:c r="F779" s="65" t="n">
        <x:v>6193.638</x:v>
      </x:c>
      <x:c r="G779" s="66"/>
      <x:c r="H779" s="67"/>
      <x:c r="I779" s="63"/>
      <x:c r="J779" s="63" t="str">
        <x:v>ZAR</x:v>
      </x:c>
      <x:c r="K779" s="63" t="str">
        <x:v>million</x:v>
      </x:c>
      <x:c r="L779" s="63" t="str">
        <x:v>2025-06-30</x:v>
      </x:c>
      <x:c r="M779" s="63" t="str">
        <x:v>2025-06-30</x:v>
      </x:c>
      <x:c r="N779" s="63" t="str">
        <x:v>2025-10-24</x:v>
      </x:c>
      <x:c r="O779" s="63" t="str">
        <x:v>E1</x:v>
      </x:c>
      <x:c r="P779" s="63" t="str">
        <x:v>PENDING_REVIEW</x:v>
      </x:c>
      <x:c r="Q779" s="64" t="b">
        <x:v>1</x:v>
      </x:c>
      <x:c r="R779" s="63" t="str">
        <x:v>LIQUIDITY_AND_BUFFER</x:v>
      </x:c>
      <x:c r="S779" s="63" t="str">
        <x:v>Bidvest Integrated Report 2025</x:v>
      </x:c>
      <x:c r="T779" s="63" t="n">
        <x:v>43</x:v>
      </x:c>
      <x:c r="U779" s="63" t="str">
        <x:v>https://bidvest.co.za/pdf/annual-reports/2025/bidvest-iar-2025.pdf</x:v>
      </x:c>
      <x:c r="V779" s="63" t="str">
        <x:v>2a44e26a70a3c05c45814de4aba756ef39bfa15e05137f49edd3ec22b722260a</x:v>
      </x:c>
    </x:row>
    <x:row r="780">
      <x:c r="A780" s="63" t="str">
        <x:v>bec:BIDVEST-2025-DEBT</x:v>
      </x:c>
      <x:c r="B780" s="63" t="str">
        <x:v>E18</x:v>
      </x:c>
      <x:c r="C780" s="63" t="str">
        <x:v>current_debt</x:v>
      </x:c>
      <x:c r="D780" s="63" t="str">
        <x:v>MONEY</x:v>
      </x:c>
      <x:c r="E780" s="63" t="str">
        <x:v>OBSERVED</x:v>
      </x:c>
      <x:c r="F780" s="65" t="n">
        <x:v>5336.113</x:v>
      </x:c>
      <x:c r="G780" s="66"/>
      <x:c r="H780" s="67"/>
      <x:c r="I780" s="63"/>
      <x:c r="J780" s="63" t="str">
        <x:v>ZAR</x:v>
      </x:c>
      <x:c r="K780" s="63" t="str">
        <x:v>million</x:v>
      </x:c>
      <x:c r="L780" s="63" t="str">
        <x:v>2025-06-30</x:v>
      </x:c>
      <x:c r="M780" s="63" t="str">
        <x:v>2025-06-30</x:v>
      </x:c>
      <x:c r="N780" s="63" t="str">
        <x:v>2025-10-24</x:v>
      </x:c>
      <x:c r="O780" s="63" t="str">
        <x:v>E1</x:v>
      </x:c>
      <x:c r="P780" s="63" t="str">
        <x:v>PENDING_REVIEW</x:v>
      </x:c>
      <x:c r="Q780" s="64" t="b">
        <x:v>1</x:v>
      </x:c>
      <x:c r="R780" s="63" t="str">
        <x:v>FUNDING_STRUCTURE</x:v>
      </x:c>
      <x:c r="S780" s="63" t="str">
        <x:v>Bidvest Integrated Report 2025</x:v>
      </x:c>
      <x:c r="T780" s="63" t="n">
        <x:v>44</x:v>
      </x:c>
      <x:c r="U780" s="63" t="str">
        <x:v>https://bidvest.co.za/pdf/annual-reports/2025/bidvest-iar-2025.pdf</x:v>
      </x:c>
      <x:c r="V780" s="63" t="str">
        <x:v>2a44e26a70a3c05c45814de4aba756ef39bfa15e05137f49edd3ec22b722260a</x:v>
      </x:c>
    </x:row>
    <x:row r="781">
      <x:c r="A781" s="63" t="str">
        <x:v>bec:E18:obs:flow:collections</x:v>
      </x:c>
      <x:c r="B781" s="63" t="str">
        <x:v>E18</x:v>
      </x:c>
      <x:c r="C781" s="63" t="str">
        <x:v>bank_observed_collections_ltm</x:v>
      </x:c>
      <x:c r="D781" s="63" t="str">
        <x:v>MONEY</x:v>
      </x:c>
      <x:c r="E781" s="63" t="str">
        <x:v>OBSERVED</x:v>
      </x:c>
      <x:c r="F781" s="65" t="n">
        <x:v>1241040470.6599996</x:v>
      </x:c>
      <x:c r="G781" s="66"/>
      <x:c r="H781" s="67"/>
      <x:c r="I781" s="63"/>
      <x:c r="J781" s="63" t="str">
        <x:v>ZAR</x:v>
      </x:c>
      <x:c r="K781" s="63" t="str">
        <x:v>ZAR</x:v>
      </x:c>
      <x:c r="L781" s="63" t="str">
        <x:v>2025-06-01</x:v>
      </x:c>
      <x:c r="M781" s="63" t="str">
        <x:v>2026-06-30</x:v>
      </x:c>
      <x:c r="N781" s="63" t="str">
        <x:v>2026-06-30</x:v>
      </x:c>
      <x:c r="O781" s="63" t="str">
        <x:v>E0</x:v>
      </x:c>
      <x:c r="P781" s="63" t="str">
        <x:v>APPROVED</x:v>
      </x:c>
      <x:c r="Q781" s="64" t="b">
        <x:v>1</x:v>
      </x:c>
      <x:c r="R781" s="63" t="str">
        <x:v>REVENUE_ENGINE, WORKING_CAPITAL_CYCLE</x:v>
      </x:c>
      <x:c r="S781" s="63" t="str">
        <x:v>Syn Bank transaction and relationship simulation</x:v>
      </x:c>
      <x:c r="T781" s="63"/>
      <x:c r="U781" s="63" t="str">
        <x:v>internal://syn-bank/simulation/ltm</x:v>
      </x:c>
      <x:c r="V781" s="63" t="str">
        <x:v>153f37ecb159a9d23a71ddaa85c1801612ebbe7516df3dc028024d4ca3f954d3</x:v>
      </x:c>
    </x:row>
    <x:row r="782">
      <x:c r="A782" s="63" t="str">
        <x:v>bec:E18:obs:trend:collections</x:v>
      </x:c>
      <x:c r="B782" s="63" t="str">
        <x:v>E18</x:v>
      </x:c>
      <x:c r="C782" s="63" t="str">
        <x:v>bank_observed_collections_yoy_change</x:v>
      </x:c>
      <x:c r="D782" s="63" t="str">
        <x:v>RATIO</x:v>
      </x:c>
      <x:c r="E782" s="63" t="str">
        <x:v>OBSERVED</x:v>
      </x:c>
      <x:c r="F782" s="65"/>
      <x:c r="G782" s="66" t="n">
        <x:v>0.122871</x:v>
      </x:c>
      <x:c r="H782" s="67"/>
      <x:c r="I782" s="63"/>
      <x:c r="J782" s="63"/>
      <x:c r="K782" s="63" t="str">
        <x:v>ratio</x:v>
      </x:c>
      <x:c r="L782" s="63" t="str">
        <x:v>2025-06-01</x:v>
      </x:c>
      <x:c r="M782" s="63" t="str">
        <x:v>2026-06-30</x:v>
      </x:c>
      <x:c r="N782" s="63" t="str">
        <x:v>2026-06-30</x:v>
      </x:c>
      <x:c r="O782" s="63" t="str">
        <x:v>E0</x:v>
      </x:c>
      <x:c r="P782" s="63" t="str">
        <x:v>APPROVED</x:v>
      </x:c>
      <x:c r="Q782" s="64" t="b">
        <x:v>0</x:v>
      </x:c>
      <x:c r="R782" s="63" t="str">
        <x:v>REVENUE_ENGINE, WORKING_CAPITAL_CYCLE</x:v>
      </x:c>
      <x:c r="S782" s="63" t="str">
        <x:v>Syn Bank transaction and relationship simulation</x:v>
      </x:c>
      <x:c r="T782" s="63"/>
      <x:c r="U782" s="63" t="str">
        <x:v>internal://syn-bank/simulation/ltm</x:v>
      </x:c>
      <x:c r="V782" s="63" t="str">
        <x:v>1363b2e4baaca4c20221b54d3b55bdeab341b51681c893f6ae87f6116015a7ce</x:v>
      </x:c>
    </x:row>
    <x:row r="783">
      <x:c r="A783" s="63" t="str">
        <x:v>bec:E18:obs:flow:payments</x:v>
      </x:c>
      <x:c r="B783" s="63" t="str">
        <x:v>E18</x:v>
      </x:c>
      <x:c r="C783" s="63" t="str">
        <x:v>bank_observed_payments_ltm</x:v>
      </x:c>
      <x:c r="D783" s="63" t="str">
        <x:v>MONEY</x:v>
      </x:c>
      <x:c r="E783" s="63" t="str">
        <x:v>OBSERVED</x:v>
      </x:c>
      <x:c r="F783" s="65" t="n">
        <x:v>3384008828.950001</x:v>
      </x:c>
      <x:c r="G783" s="66"/>
      <x:c r="H783" s="67"/>
      <x:c r="I783" s="63"/>
      <x:c r="J783" s="63" t="str">
        <x:v>ZAR</x:v>
      </x:c>
      <x:c r="K783" s="63" t="str">
        <x:v>ZAR</x:v>
      </x:c>
      <x:c r="L783" s="63" t="str">
        <x:v>2025-06-01</x:v>
      </x:c>
      <x:c r="M783" s="63" t="str">
        <x:v>2026-06-30</x:v>
      </x:c>
      <x:c r="N783" s="63" t="str">
        <x:v>2026-06-30</x:v>
      </x:c>
      <x:c r="O783" s="63" t="str">
        <x:v>E0</x:v>
      </x:c>
      <x:c r="P783" s="63" t="str">
        <x:v>APPROVED</x:v>
      </x:c>
      <x:c r="Q783" s="64" t="b">
        <x:v>1</x:v>
      </x:c>
      <x:c r="R783" s="63" t="str">
        <x:v>COST_ENGINE, WORKING_CAPITAL_CYCLE</x:v>
      </x:c>
      <x:c r="S783" s="63" t="str">
        <x:v>Syn Bank transaction and relationship simulation</x:v>
      </x:c>
      <x:c r="T783" s="63"/>
      <x:c r="U783" s="63" t="str">
        <x:v>internal://syn-bank/simulation/ltm</x:v>
      </x:c>
      <x:c r="V783" s="63" t="str">
        <x:v>85ec0802ed3fb99dfeb6ec400c01848f59c1720f109b8ed6c467e0a81032a73c</x:v>
      </x:c>
    </x:row>
    <x:row r="784">
      <x:c r="A784" s="63" t="str">
        <x:v>bec:E18:obs:trend:payments</x:v>
      </x:c>
      <x:c r="B784" s="63" t="str">
        <x:v>E18</x:v>
      </x:c>
      <x:c r="C784" s="63" t="str">
        <x:v>bank_observed_payments_yoy_change</x:v>
      </x:c>
      <x:c r="D784" s="63" t="str">
        <x:v>RATIO</x:v>
      </x:c>
      <x:c r="E784" s="63" t="str">
        <x:v>OBSERVED</x:v>
      </x:c>
      <x:c r="F784" s="65"/>
      <x:c r="G784" s="66" t="n">
        <x:v>0.067979</x:v>
      </x:c>
      <x:c r="H784" s="67"/>
      <x:c r="I784" s="63"/>
      <x:c r="J784" s="63"/>
      <x:c r="K784" s="63" t="str">
        <x:v>ratio</x:v>
      </x:c>
      <x:c r="L784" s="63" t="str">
        <x:v>2025-06-01</x:v>
      </x:c>
      <x:c r="M784" s="63" t="str">
        <x:v>2026-06-30</x:v>
      </x:c>
      <x:c r="N784" s="63" t="str">
        <x:v>2026-06-30</x:v>
      </x:c>
      <x:c r="O784" s="63" t="str">
        <x:v>E0</x:v>
      </x:c>
      <x:c r="P784" s="63" t="str">
        <x:v>APPROVED</x:v>
      </x:c>
      <x:c r="Q784" s="64" t="b">
        <x:v>0</x:v>
      </x:c>
      <x:c r="R784" s="63" t="str">
        <x:v>COST_ENGINE, WORKING_CAPITAL_CYCLE</x:v>
      </x:c>
      <x:c r="S784" s="63" t="str">
        <x:v>Syn Bank transaction and relationship simulation</x:v>
      </x:c>
      <x:c r="T784" s="63"/>
      <x:c r="U784" s="63" t="str">
        <x:v>internal://syn-bank/simulation/ltm</x:v>
      </x:c>
      <x:c r="V784" s="63" t="str">
        <x:v>1ca3a31d285556f3d300410bd8d3f0a56892d958eb25bb6fbecf689ba561824b</x:v>
      </x:c>
    </x:row>
    <x:row r="785">
      <x:c r="A785" s="63" t="str">
        <x:v>bec:E18:obs:flow:liquidity</x:v>
      </x:c>
      <x:c r="B785" s="63" t="str">
        <x:v>E18</x:v>
      </x:c>
      <x:c r="C785" s="63" t="str">
        <x:v>bank_observed_liquidity_ltm</x:v>
      </x:c>
      <x:c r="D785" s="63" t="str">
        <x:v>MONEY</x:v>
      </x:c>
      <x:c r="E785" s="63" t="str">
        <x:v>OBSERVED</x:v>
      </x:c>
      <x:c r="F785" s="65" t="n">
        <x:v>2312524649.8050003</x:v>
      </x:c>
      <x:c r="G785" s="66"/>
      <x:c r="H785" s="67"/>
      <x:c r="I785" s="63"/>
      <x:c r="J785" s="63" t="str">
        <x:v>ZAR</x:v>
      </x:c>
      <x:c r="K785" s="63" t="str">
        <x:v>ZAR</x:v>
      </x:c>
      <x:c r="L785" s="63" t="str">
        <x:v>2025-06-01</x:v>
      </x:c>
      <x:c r="M785" s="63" t="str">
        <x:v>2026-06-30</x:v>
      </x:c>
      <x:c r="N785" s="63" t="str">
        <x:v>2026-06-30</x:v>
      </x:c>
      <x:c r="O785" s="63" t="str">
        <x:v>E0</x:v>
      </x:c>
      <x:c r="P785" s="63" t="str">
        <x:v>APPROVED</x:v>
      </x:c>
      <x:c r="Q785" s="64" t="b">
        <x:v>1</x:v>
      </x:c>
      <x:c r="R785" s="63" t="str">
        <x:v>LIQUIDITY_AND_BUFFER</x:v>
      </x:c>
      <x:c r="S785" s="63" t="str">
        <x:v>Syn Bank transaction and relationship simulation</x:v>
      </x:c>
      <x:c r="T785" s="63"/>
      <x:c r="U785" s="63" t="str">
        <x:v>internal://syn-bank/simulation/ltm</x:v>
      </x:c>
      <x:c r="V785" s="63" t="str">
        <x:v>51c6464dcc98fa596e1d413ec1f50455aa30e35e4e3965c18e63a66b6d20816a</x:v>
      </x:c>
    </x:row>
    <x:row r="786">
      <x:c r="A786" s="63" t="str">
        <x:v>bec:E18:obs:trend:liquidity</x:v>
      </x:c>
      <x:c r="B786" s="63" t="str">
        <x:v>E18</x:v>
      </x:c>
      <x:c r="C786" s="63" t="str">
        <x:v>bank_observed_liquidity_yoy_change</x:v>
      </x:c>
      <x:c r="D786" s="63" t="str">
        <x:v>RATIO</x:v>
      </x:c>
      <x:c r="E786" s="63" t="str">
        <x:v>OBSERVED</x:v>
      </x:c>
      <x:c r="F786" s="65"/>
      <x:c r="G786" s="66" t="n">
        <x:v>0.082174</x:v>
      </x:c>
      <x:c r="H786" s="67"/>
      <x:c r="I786" s="63"/>
      <x:c r="J786" s="63"/>
      <x:c r="K786" s="63" t="str">
        <x:v>ratio</x:v>
      </x:c>
      <x:c r="L786" s="63" t="str">
        <x:v>2025-06-01</x:v>
      </x:c>
      <x:c r="M786" s="63" t="str">
        <x:v>2026-06-30</x:v>
      </x:c>
      <x:c r="N786" s="63" t="str">
        <x:v>2026-06-30</x:v>
      </x:c>
      <x:c r="O786" s="63" t="str">
        <x:v>E0</x:v>
      </x:c>
      <x:c r="P786" s="63" t="str">
        <x:v>APPROVED</x:v>
      </x:c>
      <x:c r="Q786" s="64" t="b">
        <x:v>0</x:v>
      </x:c>
      <x:c r="R786" s="63" t="str">
        <x:v>LIQUIDITY_AND_BUFFER</x:v>
      </x:c>
      <x:c r="S786" s="63" t="str">
        <x:v>Syn Bank transaction and relationship simulation</x:v>
      </x:c>
      <x:c r="T786" s="63"/>
      <x:c r="U786" s="63" t="str">
        <x:v>internal://syn-bank/simulation/ltm</x:v>
      </x:c>
      <x:c r="V786" s="63" t="str">
        <x:v>2ecab3c2e53fc9a34b1c9595610db478bff23bc73ad5e14069aea7e2fd12a8f2</x:v>
      </x:c>
    </x:row>
    <x:row r="787">
      <x:c r="A787" s="63" t="str">
        <x:v>bec:E18:obs:flow:cross-border-fx</x:v>
      </x:c>
      <x:c r="B787" s="63" t="str">
        <x:v>E18</x:v>
      </x:c>
      <x:c r="C787" s="63" t="str">
        <x:v>bank_observed_cross_border_fx_ltm</x:v>
      </x:c>
      <x:c r="D787" s="63" t="str">
        <x:v>MONEY</x:v>
      </x:c>
      <x:c r="E787" s="63" t="str">
        <x:v>OBSERVED</x:v>
      </x:c>
      <x:c r="F787" s="65" t="n">
        <x:v>1612092315.4000003</x:v>
      </x:c>
      <x:c r="G787" s="66"/>
      <x:c r="H787" s="67"/>
      <x:c r="I787" s="63"/>
      <x:c r="J787" s="63" t="str">
        <x:v>ZAR</x:v>
      </x:c>
      <x:c r="K787" s="63" t="str">
        <x:v>ZAR</x:v>
      </x:c>
      <x:c r="L787" s="63" t="str">
        <x:v>2025-06-01</x:v>
      </x:c>
      <x:c r="M787" s="63" t="str">
        <x:v>2026-06-30</x:v>
      </x:c>
      <x:c r="N787" s="63" t="str">
        <x:v>2026-06-30</x:v>
      </x:c>
      <x:c r="O787" s="63" t="str">
        <x:v>E0</x:v>
      </x:c>
      <x:c r="P787" s="63" t="str">
        <x:v>APPROVED</x:v>
      </x:c>
      <x:c r="Q787" s="64" t="b">
        <x:v>1</x:v>
      </x:c>
      <x:c r="R787" s="63" t="str">
        <x:v>CURRENCY_AND_COMMODITY_EXPOSURE, GEOGRAPHIC_EXPOSURE</x:v>
      </x:c>
      <x:c r="S787" s="63" t="str">
        <x:v>Syn Bank transaction and relationship simulation</x:v>
      </x:c>
      <x:c r="T787" s="63"/>
      <x:c r="U787" s="63" t="str">
        <x:v>internal://syn-bank/simulation/ltm</x:v>
      </x:c>
      <x:c r="V787" s="63" t="str">
        <x:v>0e67c23aba8f2c0a5420cf32d51517bc28e64a0551d623a297ace46fb507fbfe</x:v>
      </x:c>
    </x:row>
    <x:row r="788">
      <x:c r="A788" s="63" t="str">
        <x:v>bec:E18:obs:trend:cross-border-fx</x:v>
      </x:c>
      <x:c r="B788" s="63" t="str">
        <x:v>E18</x:v>
      </x:c>
      <x:c r="C788" s="63" t="str">
        <x:v>bank_observed_cross_border_fx_yoy_change</x:v>
      </x:c>
      <x:c r="D788" s="63" t="str">
        <x:v>RATIO</x:v>
      </x:c>
      <x:c r="E788" s="63" t="str">
        <x:v>OBSERVED</x:v>
      </x:c>
      <x:c r="F788" s="65"/>
      <x:c r="G788" s="66" t="n">
        <x:v>-0.028874</x:v>
      </x:c>
      <x:c r="H788" s="67"/>
      <x:c r="I788" s="63"/>
      <x:c r="J788" s="63"/>
      <x:c r="K788" s="63" t="str">
        <x:v>ratio</x:v>
      </x:c>
      <x:c r="L788" s="63" t="str">
        <x:v>2025-06-01</x:v>
      </x:c>
      <x:c r="M788" s="63" t="str">
        <x:v>2026-06-30</x:v>
      </x:c>
      <x:c r="N788" s="63" t="str">
        <x:v>2026-06-30</x:v>
      </x:c>
      <x:c r="O788" s="63" t="str">
        <x:v>E0</x:v>
      </x:c>
      <x:c r="P788" s="63" t="str">
        <x:v>APPROVED</x:v>
      </x:c>
      <x:c r="Q788" s="64" t="b">
        <x:v>0</x:v>
      </x:c>
      <x:c r="R788" s="63" t="str">
        <x:v>CURRENCY_AND_COMMODITY_EXPOSURE, GEOGRAPHIC_EXPOSURE</x:v>
      </x:c>
      <x:c r="S788" s="63" t="str">
        <x:v>Syn Bank transaction and relationship simulation</x:v>
      </x:c>
      <x:c r="T788" s="63"/>
      <x:c r="U788" s="63" t="str">
        <x:v>internal://syn-bank/simulation/ltm</x:v>
      </x:c>
      <x:c r="V788" s="63" t="str">
        <x:v>77c5e907ccc066b21cb33db4fa653ce68f8175329a412c7de6f0c5edf5a836a1</x:v>
      </x:c>
    </x:row>
    <x:row r="789">
      <x:c r="A789" s="63" t="str">
        <x:v>bec:E18:obs:flow:trade-finance</x:v>
      </x:c>
      <x:c r="B789" s="63" t="str">
        <x:v>E18</x:v>
      </x:c>
      <x:c r="C789" s="63" t="str">
        <x:v>bank_observed_trade_finance_ltm</x:v>
      </x:c>
      <x:c r="D789" s="63" t="str">
        <x:v>MONEY</x:v>
      </x:c>
      <x:c r="E789" s="63" t="str">
        <x:v>OBSERVED</x:v>
      </x:c>
      <x:c r="F789" s="65" t="n">
        <x:v>1462356646.29</x:v>
      </x:c>
      <x:c r="G789" s="66"/>
      <x:c r="H789" s="67"/>
      <x:c r="I789" s="63"/>
      <x:c r="J789" s="63" t="str">
        <x:v>ZAR</x:v>
      </x:c>
      <x:c r="K789" s="63" t="str">
        <x:v>ZAR</x:v>
      </x:c>
      <x:c r="L789" s="63" t="str">
        <x:v>2025-06-01</x:v>
      </x:c>
      <x:c r="M789" s="63" t="str">
        <x:v>2026-06-30</x:v>
      </x:c>
      <x:c r="N789" s="63" t="str">
        <x:v>2026-06-30</x:v>
      </x:c>
      <x:c r="O789" s="63" t="str">
        <x:v>E0</x:v>
      </x:c>
      <x:c r="P789" s="63" t="str">
        <x:v>APPROVED</x:v>
      </x:c>
      <x:c r="Q789" s="64" t="b">
        <x:v>1</x:v>
      </x:c>
      <x:c r="R789" s="63" t="str">
        <x:v>WORKING_CAPITAL_CYCLE, OPERATING_MODEL</x:v>
      </x:c>
      <x:c r="S789" s="63" t="str">
        <x:v>Syn Bank transaction and relationship simulation</x:v>
      </x:c>
      <x:c r="T789" s="63"/>
      <x:c r="U789" s="63" t="str">
        <x:v>internal://syn-bank/simulation/ltm</x:v>
      </x:c>
      <x:c r="V789" s="63" t="str">
        <x:v>f2515aa372f862756cd91f2fa915f106a10be3949da2cd4dd05031f6c00635b8</x:v>
      </x:c>
    </x:row>
    <x:row r="790">
      <x:c r="A790" s="63" t="str">
        <x:v>bec:E18:obs:trend:trade-finance</x:v>
      </x:c>
      <x:c r="B790" s="63" t="str">
        <x:v>E18</x:v>
      </x:c>
      <x:c r="C790" s="63" t="str">
        <x:v>bank_observed_trade_finance_yoy_change</x:v>
      </x:c>
      <x:c r="D790" s="63" t="str">
        <x:v>RATIO</x:v>
      </x:c>
      <x:c r="E790" s="63" t="str">
        <x:v>OBSERVED</x:v>
      </x:c>
      <x:c r="F790" s="65"/>
      <x:c r="G790" s="66" t="n">
        <x:v>0.272545</x:v>
      </x:c>
      <x:c r="H790" s="67"/>
      <x:c r="I790" s="63"/>
      <x:c r="J790" s="63"/>
      <x:c r="K790" s="63" t="str">
        <x:v>ratio</x:v>
      </x:c>
      <x:c r="L790" s="63" t="str">
        <x:v>2025-06-01</x:v>
      </x:c>
      <x:c r="M790" s="63" t="str">
        <x:v>2026-06-30</x:v>
      </x:c>
      <x:c r="N790" s="63" t="str">
        <x:v>2026-06-30</x:v>
      </x:c>
      <x:c r="O790" s="63" t="str">
        <x:v>E0</x:v>
      </x:c>
      <x:c r="P790" s="63" t="str">
        <x:v>APPROVED</x:v>
      </x:c>
      <x:c r="Q790" s="64" t="b">
        <x:v>0</x:v>
      </x:c>
      <x:c r="R790" s="63" t="str">
        <x:v>WORKING_CAPITAL_CYCLE, OPERATING_MODEL</x:v>
      </x:c>
      <x:c r="S790" s="63" t="str">
        <x:v>Syn Bank transaction and relationship simulation</x:v>
      </x:c>
      <x:c r="T790" s="63"/>
      <x:c r="U790" s="63" t="str">
        <x:v>internal://syn-bank/simulation/ltm</x:v>
      </x:c>
      <x:c r="V790" s="63" t="str">
        <x:v>1f6c82dfa0a68658685b5109a26f4829ee61daa34412ff152a8eef8917ef9ba6</x:v>
      </x:c>
    </x:row>
    <x:row r="791">
      <x:c r="A791" s="63" t="str">
        <x:v>bec:E18:obs:corridor:0</x:v>
      </x:c>
      <x:c r="B791" s="63" t="str">
        <x:v>E18</x:v>
      </x:c>
      <x:c r="C791" s="63" t="str">
        <x:v>bank_observed_corridor_value</x:v>
      </x:c>
      <x:c r="D791" s="63" t="str">
        <x:v>MONEY</x:v>
      </x:c>
      <x:c r="E791" s="63" t="str">
        <x:v>OBSERVED</x:v>
      </x:c>
      <x:c r="F791" s="65" t="n">
        <x:v>526727367.8500002</x:v>
      </x:c>
      <x:c r="G791" s="66"/>
      <x:c r="H791" s="67"/>
      <x:c r="I791" s="63"/>
      <x:c r="J791" s="63" t="str">
        <x:v>ZAR</x:v>
      </x:c>
      <x:c r="K791" s="63" t="str">
        <x:v>ZAR</x:v>
      </x:c>
      <x:c r="L791" s="63" t="str">
        <x:v>2025-06-01</x:v>
      </x:c>
      <x:c r="M791" s="63" t="str">
        <x:v>2026-06-30</x:v>
      </x:c>
      <x:c r="N791" s="63" t="str">
        <x:v>2026-06-30</x:v>
      </x:c>
      <x:c r="O791" s="63" t="str">
        <x:v>E0</x:v>
      </x:c>
      <x:c r="P791" s="63" t="str">
        <x:v>APPROVED</x:v>
      </x:c>
      <x:c r="Q791" s="64" t="b">
        <x:v>1</x:v>
      </x:c>
      <x:c r="R791" s="63" t="str">
        <x:v>GEOGRAPHIC_EXPOSURE</x:v>
      </x:c>
      <x:c r="S791" s="63" t="str">
        <x:v>Syn Bank transaction and relationship simulation</x:v>
      </x:c>
      <x:c r="T791" s="63"/>
      <x:c r="U791" s="63" t="str">
        <x:v>internal://syn-bank/simulation/ltm</x:v>
      </x:c>
      <x:c r="V791" s="63" t="str">
        <x:v>33375bd8711889519d6f9e20339e5221c0297f5ad42cc7dac56c9a9ff21182f4</x:v>
      </x:c>
    </x:row>
    <x:row r="792">
      <x:c r="A792" s="63" t="str">
        <x:v>bec:E18:obs:corridor-name:0</x:v>
      </x:c>
      <x:c r="B792" s="63" t="str">
        <x:v>E18</x:v>
      </x:c>
      <x:c r="C792" s="63" t="str">
        <x:v>bank_observed_corridor_country</x:v>
      </x:c>
      <x:c r="D792" s="63" t="str">
        <x:v>CATEGORICAL</x:v>
      </x:c>
      <x:c r="E792" s="63" t="str">
        <x:v>OBSERVED</x:v>
      </x:c>
      <x:c r="F792" s="65"/>
      <x:c r="G792" s="66"/>
      <x:c r="H792" s="67"/>
      <x:c r="I792" s="63" t="str">
        <x:v>India</x:v>
      </x:c>
      <x:c r="J792" s="63"/>
      <x:c r="K792" s="63" t="str">
        <x:v>country</x:v>
      </x:c>
      <x:c r="L792" s="63" t="str">
        <x:v>2025-06-01</x:v>
      </x:c>
      <x:c r="M792" s="63" t="str">
        <x:v>2026-06-30</x:v>
      </x:c>
      <x:c r="N792" s="63" t="str">
        <x:v>2026-06-30</x:v>
      </x:c>
      <x:c r="O792" s="63" t="str">
        <x:v>E0</x:v>
      </x:c>
      <x:c r="P792" s="63" t="str">
        <x:v>APPROVED</x:v>
      </x:c>
      <x:c r="Q792" s="64" t="b">
        <x:v>0</x:v>
      </x:c>
      <x:c r="R792" s="63" t="str">
        <x:v>GEOGRAPHIC_EXPOSURE</x:v>
      </x:c>
      <x:c r="S792" s="63" t="str">
        <x:v>Syn Bank transaction and relationship simulation</x:v>
      </x:c>
      <x:c r="T792" s="63"/>
      <x:c r="U792" s="63" t="str">
        <x:v>internal://syn-bank/simulation/ltm</x:v>
      </x:c>
      <x:c r="V792" s="63" t="str">
        <x:v>61a57c9c120c78367628c403a4806ebd2d0e3a67af62bb244e2ee16d39106b7a</x:v>
      </x:c>
    </x:row>
    <x:row r="793">
      <x:c r="A793" s="63" t="str">
        <x:v>bec:E18:obs:corridor:1</x:v>
      </x:c>
      <x:c r="B793" s="63" t="str">
        <x:v>E18</x:v>
      </x:c>
      <x:c r="C793" s="63" t="str">
        <x:v>bank_observed_corridor_value</x:v>
      </x:c>
      <x:c r="D793" s="63" t="str">
        <x:v>MONEY</x:v>
      </x:c>
      <x:c r="E793" s="63" t="str">
        <x:v>OBSERVED</x:v>
      </x:c>
      <x:c r="F793" s="65" t="n">
        <x:v>513217924.43999994</x:v>
      </x:c>
      <x:c r="G793" s="66"/>
      <x:c r="H793" s="67"/>
      <x:c r="I793" s="63"/>
      <x:c r="J793" s="63" t="str">
        <x:v>ZAR</x:v>
      </x:c>
      <x:c r="K793" s="63" t="str">
        <x:v>ZAR</x:v>
      </x:c>
      <x:c r="L793" s="63" t="str">
        <x:v>2025-06-01</x:v>
      </x:c>
      <x:c r="M793" s="63" t="str">
        <x:v>2026-06-30</x:v>
      </x:c>
      <x:c r="N793" s="63" t="str">
        <x:v>2026-06-30</x:v>
      </x:c>
      <x:c r="O793" s="63" t="str">
        <x:v>E0</x:v>
      </x:c>
      <x:c r="P793" s="63" t="str">
        <x:v>APPROVED</x:v>
      </x:c>
      <x:c r="Q793" s="64" t="b">
        <x:v>0</x:v>
      </x:c>
      <x:c r="R793" s="63" t="str">
        <x:v>GEOGRAPHIC_EXPOSURE</x:v>
      </x:c>
      <x:c r="S793" s="63" t="str">
        <x:v>Syn Bank transaction and relationship simulation</x:v>
      </x:c>
      <x:c r="T793" s="63"/>
      <x:c r="U793" s="63" t="str">
        <x:v>internal://syn-bank/simulation/ltm</x:v>
      </x:c>
      <x:c r="V793" s="63" t="str">
        <x:v>22f7c457f4a87c538b7ce34124734b58b90d29d66e6662dd4e5c894309a5386e</x:v>
      </x:c>
    </x:row>
    <x:row r="794">
      <x:c r="A794" s="63" t="str">
        <x:v>bec:E18:obs:corridor-name:1</x:v>
      </x:c>
      <x:c r="B794" s="63" t="str">
        <x:v>E18</x:v>
      </x:c>
      <x:c r="C794" s="63" t="str">
        <x:v>bank_observed_corridor_country</x:v>
      </x:c>
      <x:c r="D794" s="63" t="str">
        <x:v>CATEGORICAL</x:v>
      </x:c>
      <x:c r="E794" s="63" t="str">
        <x:v>OBSERVED</x:v>
      </x:c>
      <x:c r="F794" s="65"/>
      <x:c r="G794" s="66"/>
      <x:c r="H794" s="67"/>
      <x:c r="I794" s="63" t="str">
        <x:v>United Arab Emirates</x:v>
      </x:c>
      <x:c r="J794" s="63"/>
      <x:c r="K794" s="63" t="str">
        <x:v>country</x:v>
      </x:c>
      <x:c r="L794" s="63" t="str">
        <x:v>2025-06-01</x:v>
      </x:c>
      <x:c r="M794" s="63" t="str">
        <x:v>2026-06-30</x:v>
      </x:c>
      <x:c r="N794" s="63" t="str">
        <x:v>2026-06-30</x:v>
      </x:c>
      <x:c r="O794" s="63" t="str">
        <x:v>E0</x:v>
      </x:c>
      <x:c r="P794" s="63" t="str">
        <x:v>APPROVED</x:v>
      </x:c>
      <x:c r="Q794" s="64" t="b">
        <x:v>0</x:v>
      </x:c>
      <x:c r="R794" s="63" t="str">
        <x:v>GEOGRAPHIC_EXPOSURE</x:v>
      </x:c>
      <x:c r="S794" s="63" t="str">
        <x:v>Syn Bank transaction and relationship simulation</x:v>
      </x:c>
      <x:c r="T794" s="63"/>
      <x:c r="U794" s="63" t="str">
        <x:v>internal://syn-bank/simulation/ltm</x:v>
      </x:c>
      <x:c r="V794" s="63" t="str">
        <x:v>bd69ebb9a5e662613f8c65f20b561b436747d6e5ace0c09d4b991f169e52f939</x:v>
      </x:c>
    </x:row>
    <x:row r="795">
      <x:c r="A795" s="63" t="str">
        <x:v>bec:E18:obs:corridor:2</x:v>
      </x:c>
      <x:c r="B795" s="63" t="str">
        <x:v>E18</x:v>
      </x:c>
      <x:c r="C795" s="63" t="str">
        <x:v>bank_observed_corridor_value</x:v>
      </x:c>
      <x:c r="D795" s="63" t="str">
        <x:v>MONEY</x:v>
      </x:c>
      <x:c r="E795" s="63" t="str">
        <x:v>OBSERVED</x:v>
      </x:c>
      <x:c r="F795" s="65" t="n">
        <x:v>487822529.07</x:v>
      </x:c>
      <x:c r="G795" s="66"/>
      <x:c r="H795" s="67"/>
      <x:c r="I795" s="63"/>
      <x:c r="J795" s="63" t="str">
        <x:v>ZAR</x:v>
      </x:c>
      <x:c r="K795" s="63" t="str">
        <x:v>ZAR</x:v>
      </x:c>
      <x:c r="L795" s="63" t="str">
        <x:v>2025-06-01</x:v>
      </x:c>
      <x:c r="M795" s="63" t="str">
        <x:v>2026-06-30</x:v>
      </x:c>
      <x:c r="N795" s="63" t="str">
        <x:v>2026-06-30</x:v>
      </x:c>
      <x:c r="O795" s="63" t="str">
        <x:v>E0</x:v>
      </x:c>
      <x:c r="P795" s="63" t="str">
        <x:v>APPROVED</x:v>
      </x:c>
      <x:c r="Q795" s="64" t="b">
        <x:v>0</x:v>
      </x:c>
      <x:c r="R795" s="63" t="str">
        <x:v>GEOGRAPHIC_EXPOSURE</x:v>
      </x:c>
      <x:c r="S795" s="63" t="str">
        <x:v>Syn Bank transaction and relationship simulation</x:v>
      </x:c>
      <x:c r="T795" s="63"/>
      <x:c r="U795" s="63" t="str">
        <x:v>internal://syn-bank/simulation/ltm</x:v>
      </x:c>
      <x:c r="V795" s="63" t="str">
        <x:v>72587afb3faa2d93b9e2bf69e9742cbf9a9dc1d9e345ff330e32f5b253bf34b5</x:v>
      </x:c>
    </x:row>
    <x:row r="796">
      <x:c r="A796" s="63" t="str">
        <x:v>bec:E18:obs:corridor-name:2</x:v>
      </x:c>
      <x:c r="B796" s="63" t="str">
        <x:v>E18</x:v>
      </x:c>
      <x:c r="C796" s="63" t="str">
        <x:v>bank_observed_corridor_country</x:v>
      </x:c>
      <x:c r="D796" s="63" t="str">
        <x:v>CATEGORICAL</x:v>
      </x:c>
      <x:c r="E796" s="63" t="str">
        <x:v>OBSERVED</x:v>
      </x:c>
      <x:c r="F796" s="65"/>
      <x:c r="G796" s="66"/>
      <x:c r="H796" s="67"/>
      <x:c r="I796" s="63" t="str">
        <x:v>China</x:v>
      </x:c>
      <x:c r="J796" s="63"/>
      <x:c r="K796" s="63" t="str">
        <x:v>country</x:v>
      </x:c>
      <x:c r="L796" s="63" t="str">
        <x:v>2025-06-01</x:v>
      </x:c>
      <x:c r="M796" s="63" t="str">
        <x:v>2026-06-30</x:v>
      </x:c>
      <x:c r="N796" s="63" t="str">
        <x:v>2026-06-30</x:v>
      </x:c>
      <x:c r="O796" s="63" t="str">
        <x:v>E0</x:v>
      </x:c>
      <x:c r="P796" s="63" t="str">
        <x:v>APPROVED</x:v>
      </x:c>
      <x:c r="Q796" s="64" t="b">
        <x:v>0</x:v>
      </x:c>
      <x:c r="R796" s="63" t="str">
        <x:v>GEOGRAPHIC_EXPOSURE</x:v>
      </x:c>
      <x:c r="S796" s="63" t="str">
        <x:v>Syn Bank transaction and relationship simulation</x:v>
      </x:c>
      <x:c r="T796" s="63"/>
      <x:c r="U796" s="63" t="str">
        <x:v>internal://syn-bank/simulation/ltm</x:v>
      </x:c>
      <x:c r="V796" s="63" t="str">
        <x:v>166ea7a8bcf6ed97f778fe83d594f3dde84ce5229a2632d67dc9243714979651</x:v>
      </x:c>
    </x:row>
    <x:row r="797">
      <x:c r="A797" s="63" t="str">
        <x:v>bec:E18:obs:currency:0</x:v>
      </x:c>
      <x:c r="B797" s="63" t="str">
        <x:v>E18</x:v>
      </x:c>
      <x:c r="C797" s="63" t="str">
        <x:v>bank_observed_currency_pair_value</x:v>
      </x:c>
      <x:c r="D797" s="63" t="str">
        <x:v>MONEY</x:v>
      </x:c>
      <x:c r="E797" s="63" t="str">
        <x:v>OBSERVED</x:v>
      </x:c>
      <x:c r="F797" s="65" t="n">
        <x:v>1071175978.2099985</x:v>
      </x:c>
      <x:c r="G797" s="66"/>
      <x:c r="H797" s="67"/>
      <x:c r="I797" s="63"/>
      <x:c r="J797" s="63" t="str">
        <x:v>ZAR</x:v>
      </x:c>
      <x:c r="K797" s="63" t="str">
        <x:v>ZAR</x:v>
      </x:c>
      <x:c r="L797" s="63" t="str">
        <x:v>2025-06-01</x:v>
      </x:c>
      <x:c r="M797" s="63" t="str">
        <x:v>2026-06-30</x:v>
      </x:c>
      <x:c r="N797" s="63" t="str">
        <x:v>2026-06-30</x:v>
      </x:c>
      <x:c r="O797" s="63" t="str">
        <x:v>E0</x:v>
      </x:c>
      <x:c r="P797" s="63" t="str">
        <x:v>APPROVED</x:v>
      </x:c>
      <x:c r="Q797" s="64" t="b">
        <x:v>1</x:v>
      </x:c>
      <x:c r="R797" s="63" t="str">
        <x:v>CURRENCY_AND_COMMODITY_EXPOSURE</x:v>
      </x:c>
      <x:c r="S797" s="63" t="str">
        <x:v>Syn Bank transaction and relationship simulation</x:v>
      </x:c>
      <x:c r="T797" s="63"/>
      <x:c r="U797" s="63" t="str">
        <x:v>internal://syn-bank/simulation/ltm</x:v>
      </x:c>
      <x:c r="V797" s="63" t="str">
        <x:v>8c900f6f5b5422ea5cff072ec191daaea4c96bbcfa48fdf232b07b1ee138cb88</x:v>
      </x:c>
    </x:row>
    <x:row r="798">
      <x:c r="A798" s="63" t="str">
        <x:v>bec:E18:obs:currency-pair:0</x:v>
      </x:c>
      <x:c r="B798" s="63" t="str">
        <x:v>E18</x:v>
      </x:c>
      <x:c r="C798" s="63" t="str">
        <x:v>bank_observed_currency_pair</x:v>
      </x:c>
      <x:c r="D798" s="63" t="str">
        <x:v>CATEGORICAL</x:v>
      </x:c>
      <x:c r="E798" s="63" t="str">
        <x:v>OBSERVED</x:v>
      </x:c>
      <x:c r="F798" s="65"/>
      <x:c r="G798" s="66"/>
      <x:c r="H798" s="67"/>
      <x:c r="I798" s="63" t="str">
        <x:v>CNY/ZAR</x:v>
      </x:c>
      <x:c r="J798" s="63"/>
      <x:c r="K798" s="63" t="str">
        <x:v>currency_pair</x:v>
      </x:c>
      <x:c r="L798" s="63" t="str">
        <x:v>2025-06-01</x:v>
      </x:c>
      <x:c r="M798" s="63" t="str">
        <x:v>2026-06-30</x:v>
      </x:c>
      <x:c r="N798" s="63" t="str">
        <x:v>2026-06-30</x:v>
      </x:c>
      <x:c r="O798" s="63" t="str">
        <x:v>E0</x:v>
      </x:c>
      <x:c r="P798" s="63" t="str">
        <x:v>APPROVED</x:v>
      </x:c>
      <x:c r="Q798" s="64" t="b">
        <x:v>0</x:v>
      </x:c>
      <x:c r="R798" s="63" t="str">
        <x:v>CURRENCY_AND_COMMODITY_EXPOSURE</x:v>
      </x:c>
      <x:c r="S798" s="63" t="str">
        <x:v>Syn Bank transaction and relationship simulation</x:v>
      </x:c>
      <x:c r="T798" s="63"/>
      <x:c r="U798" s="63" t="str">
        <x:v>internal://syn-bank/simulation/ltm</x:v>
      </x:c>
      <x:c r="V798" s="63" t="str">
        <x:v>90d048285d772f66da756275521d86acaa0f520d663818331b890cdb9455e68c</x:v>
      </x:c>
    </x:row>
    <x:row r="799">
      <x:c r="A799" s="63" t="str">
        <x:v>bec:E18:obs:currency:1</x:v>
      </x:c>
      <x:c r="B799" s="63" t="str">
        <x:v>E18</x:v>
      </x:c>
      <x:c r="C799" s="63" t="str">
        <x:v>bank_observed_currency_pair_value</x:v>
      </x:c>
      <x:c r="D799" s="63" t="str">
        <x:v>MONEY</x:v>
      </x:c>
      <x:c r="E799" s="63" t="str">
        <x:v>OBSERVED</x:v>
      </x:c>
      <x:c r="F799" s="65" t="n">
        <x:v>1001523984.2399987</x:v>
      </x:c>
      <x:c r="G799" s="66"/>
      <x:c r="H799" s="67"/>
      <x:c r="I799" s="63"/>
      <x:c r="J799" s="63" t="str">
        <x:v>ZAR</x:v>
      </x:c>
      <x:c r="K799" s="63" t="str">
        <x:v>ZAR</x:v>
      </x:c>
      <x:c r="L799" s="63" t="str">
        <x:v>2025-06-01</x:v>
      </x:c>
      <x:c r="M799" s="63" t="str">
        <x:v>2026-06-30</x:v>
      </x:c>
      <x:c r="N799" s="63" t="str">
        <x:v>2026-06-30</x:v>
      </x:c>
      <x:c r="O799" s="63" t="str">
        <x:v>E0</x:v>
      </x:c>
      <x:c r="P799" s="63" t="str">
        <x:v>APPROVED</x:v>
      </x:c>
      <x:c r="Q799" s="64" t="b">
        <x:v>0</x:v>
      </x:c>
      <x:c r="R799" s="63" t="str">
        <x:v>CURRENCY_AND_COMMODITY_EXPOSURE</x:v>
      </x:c>
      <x:c r="S799" s="63" t="str">
        <x:v>Syn Bank transaction and relationship simulation</x:v>
      </x:c>
      <x:c r="T799" s="63"/>
      <x:c r="U799" s="63" t="str">
        <x:v>internal://syn-bank/simulation/ltm</x:v>
      </x:c>
      <x:c r="V799" s="63" t="str">
        <x:v>869f13bdad4dbc5a1c2d58c2fee0c5c872fd9ad5b5124f096114ae47ea1b9db2</x:v>
      </x:c>
    </x:row>
    <x:row r="800">
      <x:c r="A800" s="63" t="str">
        <x:v>bec:E18:obs:currency-pair:1</x:v>
      </x:c>
      <x:c r="B800" s="63" t="str">
        <x:v>E18</x:v>
      </x:c>
      <x:c r="C800" s="63" t="str">
        <x:v>bank_observed_currency_pair</x:v>
      </x:c>
      <x:c r="D800" s="63" t="str">
        <x:v>CATEGORICAL</x:v>
      </x:c>
      <x:c r="E800" s="63" t="str">
        <x:v>OBSERVED</x:v>
      </x:c>
      <x:c r="F800" s="65"/>
      <x:c r="G800" s="66"/>
      <x:c r="H800" s="67"/>
      <x:c r="I800" s="63" t="str">
        <x:v>GBP/ZAR</x:v>
      </x:c>
      <x:c r="J800" s="63"/>
      <x:c r="K800" s="63" t="str">
        <x:v>currency_pair</x:v>
      </x:c>
      <x:c r="L800" s="63" t="str">
        <x:v>2025-06-01</x:v>
      </x:c>
      <x:c r="M800" s="63" t="str">
        <x:v>2026-06-30</x:v>
      </x:c>
      <x:c r="N800" s="63" t="str">
        <x:v>2026-06-30</x:v>
      </x:c>
      <x:c r="O800" s="63" t="str">
        <x:v>E0</x:v>
      </x:c>
      <x:c r="P800" s="63" t="str">
        <x:v>APPROVED</x:v>
      </x:c>
      <x:c r="Q800" s="64" t="b">
        <x:v>0</x:v>
      </x:c>
      <x:c r="R800" s="63" t="str">
        <x:v>CURRENCY_AND_COMMODITY_EXPOSURE</x:v>
      </x:c>
      <x:c r="S800" s="63" t="str">
        <x:v>Syn Bank transaction and relationship simulation</x:v>
      </x:c>
      <x:c r="T800" s="63"/>
      <x:c r="U800" s="63" t="str">
        <x:v>internal://syn-bank/simulation/ltm</x:v>
      </x:c>
      <x:c r="V800" s="63" t="str">
        <x:v>86f05320fb3a41cb1fd95167096235579011137d6ab2841181a330229876314b</x:v>
      </x:c>
    </x:row>
    <x:row r="801">
      <x:c r="A801" s="63" t="str">
        <x:v>bec:E18:obs:currency:2</x:v>
      </x:c>
      <x:c r="B801" s="63" t="str">
        <x:v>E18</x:v>
      </x:c>
      <x:c r="C801" s="63" t="str">
        <x:v>bank_observed_currency_pair_value</x:v>
      </x:c>
      <x:c r="D801" s="63" t="str">
        <x:v>MONEY</x:v>
      </x:c>
      <x:c r="E801" s="63" t="str">
        <x:v>OBSERVED</x:v>
      </x:c>
      <x:c r="F801" s="65" t="n">
        <x:v>972884166.5600001</x:v>
      </x:c>
      <x:c r="G801" s="66"/>
      <x:c r="H801" s="67"/>
      <x:c r="I801" s="63"/>
      <x:c r="J801" s="63" t="str">
        <x:v>ZAR</x:v>
      </x:c>
      <x:c r="K801" s="63" t="str">
        <x:v>ZAR</x:v>
      </x:c>
      <x:c r="L801" s="63" t="str">
        <x:v>2025-06-01</x:v>
      </x:c>
      <x:c r="M801" s="63" t="str">
        <x:v>2026-06-30</x:v>
      </x:c>
      <x:c r="N801" s="63" t="str">
        <x:v>2026-06-30</x:v>
      </x:c>
      <x:c r="O801" s="63" t="str">
        <x:v>E0</x:v>
      </x:c>
      <x:c r="P801" s="63" t="str">
        <x:v>APPROVED</x:v>
      </x:c>
      <x:c r="Q801" s="64" t="b">
        <x:v>0</x:v>
      </x:c>
      <x:c r="R801" s="63" t="str">
        <x:v>CURRENCY_AND_COMMODITY_EXPOSURE</x:v>
      </x:c>
      <x:c r="S801" s="63" t="str">
        <x:v>Syn Bank transaction and relationship simulation</x:v>
      </x:c>
      <x:c r="T801" s="63"/>
      <x:c r="U801" s="63" t="str">
        <x:v>internal://syn-bank/simulation/ltm</x:v>
      </x:c>
      <x:c r="V801" s="63" t="str">
        <x:v>00f06f0a36e9f2d46ae33942bb249975757eeafaca82762b4ac22aa14eb8daa2</x:v>
      </x:c>
    </x:row>
    <x:row r="802">
      <x:c r="A802" s="63" t="str">
        <x:v>bec:E18:obs:currency-pair:2</x:v>
      </x:c>
      <x:c r="B802" s="63" t="str">
        <x:v>E18</x:v>
      </x:c>
      <x:c r="C802" s="63" t="str">
        <x:v>bank_observed_currency_pair</x:v>
      </x:c>
      <x:c r="D802" s="63" t="str">
        <x:v>CATEGORICAL</x:v>
      </x:c>
      <x:c r="E802" s="63" t="str">
        <x:v>OBSERVED</x:v>
      </x:c>
      <x:c r="F802" s="65"/>
      <x:c r="G802" s="66"/>
      <x:c r="H802" s="67"/>
      <x:c r="I802" s="63" t="str">
        <x:v>AED/ZAR</x:v>
      </x:c>
      <x:c r="J802" s="63"/>
      <x:c r="K802" s="63" t="str">
        <x:v>currency_pair</x:v>
      </x:c>
      <x:c r="L802" s="63" t="str">
        <x:v>2025-06-01</x:v>
      </x:c>
      <x:c r="M802" s="63" t="str">
        <x:v>2026-06-30</x:v>
      </x:c>
      <x:c r="N802" s="63" t="str">
        <x:v>2026-06-30</x:v>
      </x:c>
      <x:c r="O802" s="63" t="str">
        <x:v>E0</x:v>
      </x:c>
      <x:c r="P802" s="63" t="str">
        <x:v>APPROVED</x:v>
      </x:c>
      <x:c r="Q802" s="64" t="b">
        <x:v>0</x:v>
      </x:c>
      <x:c r="R802" s="63" t="str">
        <x:v>CURRENCY_AND_COMMODITY_EXPOSURE</x:v>
      </x:c>
      <x:c r="S802" s="63" t="str">
        <x:v>Syn Bank transaction and relationship simulation</x:v>
      </x:c>
      <x:c r="T802" s="63"/>
      <x:c r="U802" s="63" t="str">
        <x:v>internal://syn-bank/simulation/ltm</x:v>
      </x:c>
      <x:c r="V802" s="63" t="str">
        <x:v>460179423ea93b9c526a8599425b3548d762cdc4607d635988a5195864645a85</x:v>
      </x:c>
    </x:row>
    <x:row r="803">
      <x:c r="A803" s="63" t="str">
        <x:v>bec:E18:obs:country-count</x:v>
      </x:c>
      <x:c r="B803" s="63" t="str">
        <x:v>E18</x:v>
      </x:c>
      <x:c r="C803" s="63" t="str">
        <x:v>bank_observed_active_country_count</x:v>
      </x:c>
      <x:c r="D803" s="63" t="str">
        <x:v>COUNT</x:v>
      </x:c>
      <x:c r="E803" s="63" t="str">
        <x:v>OBSERVED</x:v>
      </x:c>
      <x:c r="F803" s="65"/>
      <x:c r="G803" s="66"/>
      <x:c r="H803" s="67" t="n">
        <x:v>22</x:v>
      </x:c>
      <x:c r="I803" s="63"/>
      <x:c r="J803" s="63"/>
      <x:c r="K803" s="63" t="str">
        <x:v>countries</x:v>
      </x:c>
      <x:c r="L803" s="63" t="str">
        <x:v>2025-06-01</x:v>
      </x:c>
      <x:c r="M803" s="63" t="str">
        <x:v>2026-06-30</x:v>
      </x:c>
      <x:c r="N803" s="63" t="str">
        <x:v>2026-06-30</x:v>
      </x:c>
      <x:c r="O803" s="63" t="str">
        <x:v>E0</x:v>
      </x:c>
      <x:c r="P803" s="63" t="str">
        <x:v>APPROVED</x:v>
      </x:c>
      <x:c r="Q803" s="64" t="b">
        <x:v>1</x:v>
      </x:c>
      <x:c r="R803" s="63" t="str">
        <x:v>GEOGRAPHIC_EXPOSURE</x:v>
      </x:c>
      <x:c r="S803" s="63" t="str">
        <x:v>Syn Bank transaction and relationship simulation</x:v>
      </x:c>
      <x:c r="T803" s="63"/>
      <x:c r="U803" s="63" t="str">
        <x:v>internal://syn-bank/simulation/ltm</x:v>
      </x:c>
      <x:c r="V803" s="63" t="str">
        <x:v>ffded6298d1cb9e23ce2a94356c2c7d793c4937cf4aa2812f626b75a50377013</x:v>
      </x:c>
    </x:row>
    <x:row r="804">
      <x:c r="A804" s="63" t="str">
        <x:v>bec:E18:obs:relationship-breadth</x:v>
      </x:c>
      <x:c r="B804" s="63" t="str">
        <x:v>E18</x:v>
      </x:c>
      <x:c r="C804" s="63" t="str">
        <x:v>bank_observed_product_relationship_breadth</x:v>
      </x:c>
      <x:c r="D804" s="63" t="str">
        <x:v>COUNT</x:v>
      </x:c>
      <x:c r="E804" s="63" t="str">
        <x:v>OBSERVED</x:v>
      </x:c>
      <x:c r="F804" s="65"/>
      <x:c r="G804" s="66"/>
      <x:c r="H804" s="67" t="n">
        <x:v>5</x:v>
      </x:c>
      <x:c r="I804" s="63"/>
      <x:c r="J804" s="63"/>
      <x:c r="K804" s="63" t="str">
        <x:v>products</x:v>
      </x:c>
      <x:c r="L804" s="63" t="str">
        <x:v>2025-06-01</x:v>
      </x:c>
      <x:c r="M804" s="63" t="str">
        <x:v>2026-06-30</x:v>
      </x:c>
      <x:c r="N804" s="63" t="str">
        <x:v>2026-06-30</x:v>
      </x:c>
      <x:c r="O804" s="63" t="str">
        <x:v>E0</x:v>
      </x:c>
      <x:c r="P804" s="63" t="str">
        <x:v>APPROVED</x:v>
      </x:c>
      <x:c r="Q804" s="64" t="b">
        <x:v>1</x:v>
      </x:c>
      <x:c r="R804" s="63" t="str">
        <x:v>OPERATING_MODEL</x:v>
      </x:c>
      <x:c r="S804" s="63" t="str">
        <x:v>Syn Bank transaction and relationship simulation</x:v>
      </x:c>
      <x:c r="T804" s="63"/>
      <x:c r="U804" s="63" t="str">
        <x:v>internal://syn-bank/simulation/ltm</x:v>
      </x:c>
      <x:c r="V804" s="63" t="str">
        <x:v>362e5c3fb2732319140835153900b2a7319b3b764cda59770404e049e499d185</x:v>
      </x:c>
    </x:row>
    <x:row r="805">
      <x:c r="A805" s="63" t="str">
        <x:v>bec:E18:obs:latent:operating_scale</x:v>
      </x:c>
      <x:c r="B805" s="63" t="str">
        <x:v>E18</x:v>
      </x:c>
      <x:c r="C805" s="63" t="str">
        <x:v>bank_observed_operating_scale_index</x:v>
      </x:c>
      <x:c r="D805" s="63" t="str">
        <x:v>RATIO</x:v>
      </x:c>
      <x:c r="E805" s="63" t="str">
        <x:v>OBSERVED</x:v>
      </x:c>
      <x:c r="F805" s="65"/>
      <x:c r="G805" s="66" t="n">
        <x:v>0.6</x:v>
      </x:c>
      <x:c r="H805" s="67"/>
      <x:c r="I805" s="63"/>
      <x:c r="J805" s="63"/>
      <x:c r="K805" s="63" t="str">
        <x:v>index_0_1</x:v>
      </x:c>
      <x:c r="L805" s="63" t="str">
        <x:v>2025-06-01</x:v>
      </x:c>
      <x:c r="M805" s="63" t="str">
        <x:v>2026-06-30</x:v>
      </x:c>
      <x:c r="N805" s="63" t="str">
        <x:v>2026-06-30</x:v>
      </x:c>
      <x:c r="O805" s="63" t="str">
        <x:v>E0</x:v>
      </x:c>
      <x:c r="P805" s="63" t="str">
        <x:v>APPROVED</x:v>
      </x:c>
      <x:c r="Q805" s="64" t="b">
        <x:v>0</x:v>
      </x:c>
      <x:c r="R805" s="63" t="str">
        <x:v>OPERATING_MODEL</x:v>
      </x:c>
      <x:c r="S805" s="63" t="str">
        <x:v>Syn Bank transaction and relationship simulation</x:v>
      </x:c>
      <x:c r="T805" s="63"/>
      <x:c r="U805" s="63" t="str">
        <x:v>internal://syn-bank/simulation/ltm</x:v>
      </x:c>
      <x:c r="V805" s="63" t="str">
        <x:v>cc946062a04bd37d655921a9c463d7e3822e968ca347d7206f457ef0cc5e4da2</x:v>
      </x:c>
    </x:row>
    <x:row r="806">
      <x:c r="A806" s="63" t="str">
        <x:v>bec:E18:obs:latent:working_capital_intensity</x:v>
      </x:c>
      <x:c r="B806" s="63" t="str">
        <x:v>E18</x:v>
      </x:c>
      <x:c r="C806" s="63" t="str">
        <x:v>bank_observed_working_capital_intensity_index</x:v>
      </x:c>
      <x:c r="D806" s="63" t="str">
        <x:v>RATIO</x:v>
      </x:c>
      <x:c r="E806" s="63" t="str">
        <x:v>OBSERVED</x:v>
      </x:c>
      <x:c r="F806" s="65"/>
      <x:c r="G806" s="66" t="n">
        <x:v>0.601</x:v>
      </x:c>
      <x:c r="H806" s="67"/>
      <x:c r="I806" s="63"/>
      <x:c r="J806" s="63"/>
      <x:c r="K806" s="63" t="str">
        <x:v>index_0_1</x:v>
      </x:c>
      <x:c r="L806" s="63" t="str">
        <x:v>2025-06-01</x:v>
      </x:c>
      <x:c r="M806" s="63" t="str">
        <x:v>2026-06-30</x:v>
      </x:c>
      <x:c r="N806" s="63" t="str">
        <x:v>2026-06-30</x:v>
      </x:c>
      <x:c r="O806" s="63" t="str">
        <x:v>E0</x:v>
      </x:c>
      <x:c r="P806" s="63" t="str">
        <x:v>APPROVED</x:v>
      </x:c>
      <x:c r="Q806" s="64" t="b">
        <x:v>0</x:v>
      </x:c>
      <x:c r="R806" s="63" t="str">
        <x:v>WORKING_CAPITAL_CYCLE</x:v>
      </x:c>
      <x:c r="S806" s="63" t="str">
        <x:v>Syn Bank transaction and relationship simulation</x:v>
      </x:c>
      <x:c r="T806" s="63"/>
      <x:c r="U806" s="63" t="str">
        <x:v>internal://syn-bank/simulation/ltm</x:v>
      </x:c>
      <x:c r="V806" s="63" t="str">
        <x:v>9249b8d5a634363c190f6ef57b04a58f9206ee0f48611d2a676bf6cb43450434</x:v>
      </x:c>
    </x:row>
    <x:row r="807">
      <x:c r="A807" s="63" t="str">
        <x:v>bec:E18:obs:latent:liquidity_volatility</x:v>
      </x:c>
      <x:c r="B807" s="63" t="str">
        <x:v>E18</x:v>
      </x:c>
      <x:c r="C807" s="63" t="str">
        <x:v>bank_observed_liquidity_volatility_index</x:v>
      </x:c>
      <x:c r="D807" s="63" t="str">
        <x:v>RATIO</x:v>
      </x:c>
      <x:c r="E807" s="63" t="str">
        <x:v>OBSERVED</x:v>
      </x:c>
      <x:c r="F807" s="65"/>
      <x:c r="G807" s="66" t="n">
        <x:v>0.052</x:v>
      </x:c>
      <x:c r="H807" s="67"/>
      <x:c r="I807" s="63"/>
      <x:c r="J807" s="63"/>
      <x:c r="K807" s="63" t="str">
        <x:v>index_0_1</x:v>
      </x:c>
      <x:c r="L807" s="63" t="str">
        <x:v>2025-06-01</x:v>
      </x:c>
      <x:c r="M807" s="63" t="str">
        <x:v>2026-06-30</x:v>
      </x:c>
      <x:c r="N807" s="63" t="str">
        <x:v>2026-06-30</x:v>
      </x:c>
      <x:c r="O807" s="63" t="str">
        <x:v>E0</x:v>
      </x:c>
      <x:c r="P807" s="63" t="str">
        <x:v>APPROVED</x:v>
      </x:c>
      <x:c r="Q807" s="64" t="b">
        <x:v>0</x:v>
      </x:c>
      <x:c r="R807" s="63" t="str">
        <x:v>LIQUIDITY_AND_BUFFER</x:v>
      </x:c>
      <x:c r="S807" s="63" t="str">
        <x:v>Syn Bank transaction and relationship simulation</x:v>
      </x:c>
      <x:c r="T807" s="63"/>
      <x:c r="U807" s="63" t="str">
        <x:v>internal://syn-bank/simulation/ltm</x:v>
      </x:c>
      <x:c r="V807" s="63" t="str">
        <x:v>c2ff714b7d123aeea64b310386266bf91803264d3d978d811df5d29295c9a8cf</x:v>
      </x:c>
    </x:row>
    <x:row r="808">
      <x:c r="A808" s="63" t="str">
        <x:v>bec:E18:obs:latent:international_exposure</x:v>
      </x:c>
      <x:c r="B808" s="63" t="str">
        <x:v>E18</x:v>
      </x:c>
      <x:c r="C808" s="63" t="str">
        <x:v>bank_observed_international_exposure_index</x:v>
      </x:c>
      <x:c r="D808" s="63" t="str">
        <x:v>RATIO</x:v>
      </x:c>
      <x:c r="E808" s="63" t="str">
        <x:v>OBSERVED</x:v>
      </x:c>
      <x:c r="F808" s="65"/>
      <x:c r="G808" s="66" t="n">
        <x:v>0.399</x:v>
      </x:c>
      <x:c r="H808" s="67"/>
      <x:c r="I808" s="63"/>
      <x:c r="J808" s="63"/>
      <x:c r="K808" s="63" t="str">
        <x:v>index_0_1</x:v>
      </x:c>
      <x:c r="L808" s="63" t="str">
        <x:v>2025-06-01</x:v>
      </x:c>
      <x:c r="M808" s="63" t="str">
        <x:v>2026-06-30</x:v>
      </x:c>
      <x:c r="N808" s="63" t="str">
        <x:v>2026-06-30</x:v>
      </x:c>
      <x:c r="O808" s="63" t="str">
        <x:v>E0</x:v>
      </x:c>
      <x:c r="P808" s="63" t="str">
        <x:v>APPROVED</x:v>
      </x:c>
      <x:c r="Q808" s="64" t="b">
        <x:v>0</x:v>
      </x:c>
      <x:c r="R808" s="63" t="str">
        <x:v>GEOGRAPHIC_EXPOSURE</x:v>
      </x:c>
      <x:c r="S808" s="63" t="str">
        <x:v>Syn Bank transaction and relationship simulation</x:v>
      </x:c>
      <x:c r="T808" s="63"/>
      <x:c r="U808" s="63" t="str">
        <x:v>internal://syn-bank/simulation/ltm</x:v>
      </x:c>
      <x:c r="V808" s="63" t="str">
        <x:v>5b291d98d74b7bc0cff914b0bd8ecf7bb6fcb2ec61bd16534df2a68e62922ab7</x:v>
      </x:c>
    </x:row>
    <x:row r="809">
      <x:c r="A809" s="63" t="str">
        <x:v>bec:E18:obs:latent:financing_need</x:v>
      </x:c>
      <x:c r="B809" s="63" t="str">
        <x:v>E18</x:v>
      </x:c>
      <x:c r="C809" s="63" t="str">
        <x:v>bank_observed_financing_need_index</x:v>
      </x:c>
      <x:c r="D809" s="63" t="str">
        <x:v>RATIO</x:v>
      </x:c>
      <x:c r="E809" s="63" t="str">
        <x:v>OBSERVED</x:v>
      </x:c>
      <x:c r="F809" s="65"/>
      <x:c r="G809" s="66" t="n">
        <x:v>0.092</x:v>
      </x:c>
      <x:c r="H809" s="67"/>
      <x:c r="I809" s="63"/>
      <x:c r="J809" s="63"/>
      <x:c r="K809" s="63" t="str">
        <x:v>index_0_1</x:v>
      </x:c>
      <x:c r="L809" s="63" t="str">
        <x:v>2025-06-01</x:v>
      </x:c>
      <x:c r="M809" s="63" t="str">
        <x:v>2026-06-30</x:v>
      </x:c>
      <x:c r="N809" s="63" t="str">
        <x:v>2026-06-30</x:v>
      </x:c>
      <x:c r="O809" s="63" t="str">
        <x:v>E0</x:v>
      </x:c>
      <x:c r="P809" s="63" t="str">
        <x:v>APPROVED</x:v>
      </x:c>
      <x:c r="Q809" s="64" t="b">
        <x:v>0</x:v>
      </x:c>
      <x:c r="R809" s="63" t="str">
        <x:v>FUNDING_STRUCTURE</x:v>
      </x:c>
      <x:c r="S809" s="63" t="str">
        <x:v>Syn Bank transaction and relationship simulation</x:v>
      </x:c>
      <x:c r="T809" s="63"/>
      <x:c r="U809" s="63" t="str">
        <x:v>internal://syn-bank/simulation/ltm</x:v>
      </x:c>
      <x:c r="V809" s="63" t="str">
        <x:v>7414f01c1570b80d19cd43e43568e4b35a5534fa1dbb74c7aa5463a1f0d2e637</x:v>
      </x:c>
    </x:row>
    <x:row r="810">
      <x:c r="A810" s="63" t="str">
        <x:v>bec:E18:obs:latent:event_intensity</x:v>
      </x:c>
      <x:c r="B810" s="63" t="str">
        <x:v>E18</x:v>
      </x:c>
      <x:c r="C810" s="63" t="str">
        <x:v>bank_observed_event_intensity_index</x:v>
      </x:c>
      <x:c r="D810" s="63" t="str">
        <x:v>RATIO</x:v>
      </x:c>
      <x:c r="E810" s="63" t="str">
        <x:v>OBSERVED</x:v>
      </x:c>
      <x:c r="F810" s="65"/>
      <x:c r="G810" s="66" t="n">
        <x:v>1</x:v>
      </x:c>
      <x:c r="H810" s="67"/>
      <x:c r="I810" s="63"/>
      <x:c r="J810" s="63"/>
      <x:c r="K810" s="63" t="str">
        <x:v>index_0_1</x:v>
      </x:c>
      <x:c r="L810" s="63" t="str">
        <x:v>2025-06-01</x:v>
      </x:c>
      <x:c r="M810" s="63" t="str">
        <x:v>2026-06-30</x:v>
      </x:c>
      <x:c r="N810" s="63" t="str">
        <x:v>2026-06-30</x:v>
      </x:c>
      <x:c r="O810" s="63" t="str">
        <x:v>E0</x:v>
      </x:c>
      <x:c r="P810" s="63" t="str">
        <x:v>APPROVED</x:v>
      </x:c>
      <x:c r="Q810" s="64" t="b">
        <x:v>0</x:v>
      </x:c>
      <x:c r="R810" s="63" t="str">
        <x:v>STRATEGY_ACTIONS_AND_ESG</x:v>
      </x:c>
      <x:c r="S810" s="63" t="str">
        <x:v>Syn Bank transaction and relationship simulation</x:v>
      </x:c>
      <x:c r="T810" s="63"/>
      <x:c r="U810" s="63" t="str">
        <x:v>internal://syn-bank/simulation/ltm</x:v>
      </x:c>
      <x:c r="V810" s="63" t="str">
        <x:v>3cf196723d01c74f2c0820d4f2716f9af74f9c0de28e5efeeaa25d079b8448ea</x:v>
      </x:c>
    </x:row>
    <x:row r="811">
      <x:c r="A811" s="63" t="str">
        <x:v>bec:E18:obs:latent:relationship_complexity</x:v>
      </x:c>
      <x:c r="B811" s="63" t="str">
        <x:v>E18</x:v>
      </x:c>
      <x:c r="C811" s="63" t="str">
        <x:v>bank_observed_relationship_complexity_index</x:v>
      </x:c>
      <x:c r="D811" s="63" t="str">
        <x:v>RATIO</x:v>
      </x:c>
      <x:c r="E811" s="63" t="str">
        <x:v>OBSERVED</x:v>
      </x:c>
      <x:c r="F811" s="65"/>
      <x:c r="G811" s="66" t="n">
        <x:v>1</x:v>
      </x:c>
      <x:c r="H811" s="67"/>
      <x:c r="I811" s="63"/>
      <x:c r="J811" s="63"/>
      <x:c r="K811" s="63" t="str">
        <x:v>index_0_1</x:v>
      </x:c>
      <x:c r="L811" s="63" t="str">
        <x:v>2025-06-01</x:v>
      </x:c>
      <x:c r="M811" s="63" t="str">
        <x:v>2026-06-30</x:v>
      </x:c>
      <x:c r="N811" s="63" t="str">
        <x:v>2026-06-30</x:v>
      </x:c>
      <x:c r="O811" s="63" t="str">
        <x:v>E0</x:v>
      </x:c>
      <x:c r="P811" s="63" t="str">
        <x:v>APPROVED</x:v>
      </x:c>
      <x:c r="Q811" s="64" t="b">
        <x:v>0</x:v>
      </x:c>
      <x:c r="R811" s="63" t="str">
        <x:v>OPERATING_MODEL</x:v>
      </x:c>
      <x:c r="S811" s="63" t="str">
        <x:v>Syn Bank transaction and relationship simulation</x:v>
      </x:c>
      <x:c r="T811" s="63"/>
      <x:c r="U811" s="63" t="str">
        <x:v>internal://syn-bank/simulation/ltm</x:v>
      </x:c>
      <x:c r="V811" s="63" t="str">
        <x:v>42b240fb4f55db39f6f86a9033d2bdc0e0cfadca264f5cd26f52d2b3402d5d22</x:v>
      </x:c>
    </x:row>
    <x:row r="812">
      <x:c r="A812" s="63" t="str">
        <x:v>bec:E18:obs:events:trade-90d</x:v>
      </x:c>
      <x:c r="B812" s="63" t="str">
        <x:v>E18</x:v>
      </x:c>
      <x:c r="C812" s="63" t="str">
        <x:v>bank_observed_trade_events_next_90d</x:v>
      </x:c>
      <x:c r="D812" s="63" t="str">
        <x:v>COUNT</x:v>
      </x:c>
      <x:c r="E812" s="63" t="str">
        <x:v>OBSERVED</x:v>
      </x:c>
      <x:c r="F812" s="65"/>
      <x:c r="G812" s="66"/>
      <x:c r="H812" s="67" t="n">
        <x:v>202</x:v>
      </x:c>
      <x:c r="I812" s="63"/>
      <x:c r="J812" s="63"/>
      <x:c r="K812" s="63" t="str">
        <x:v>events</x:v>
      </x:c>
      <x:c r="L812" s="63" t="str">
        <x:v>2025-06-01</x:v>
      </x:c>
      <x:c r="M812" s="63" t="str">
        <x:v>2026-06-30</x:v>
      </x:c>
      <x:c r="N812" s="63" t="str">
        <x:v>2026-06-30</x:v>
      </x:c>
      <x:c r="O812" s="63" t="str">
        <x:v>E0</x:v>
      </x:c>
      <x:c r="P812" s="63" t="str">
        <x:v>APPROVED</x:v>
      </x:c>
      <x:c r="Q812" s="64" t="b">
        <x:v>1</x:v>
      </x:c>
      <x:c r="R812" s="63" t="str">
        <x:v>OPERATING_MODEL, WORKING_CAPITAL_CYCLE</x:v>
      </x:c>
      <x:c r="S812" s="63" t="str">
        <x:v>Syn Bank transaction and relationship simulation</x:v>
      </x:c>
      <x:c r="T812" s="63"/>
      <x:c r="U812" s="63" t="str">
        <x:v>internal://syn-bank/simulation/ltm</x:v>
      </x:c>
      <x:c r="V812" s="63" t="str">
        <x:v>e27d5c7b47d2da9230b21fee100795ada9d56b89644a23f44b2b72c3d56ae17e</x:v>
      </x:c>
    </x:row>
    <x:row r="813">
      <x:c r="A813" s="63" t="str">
        <x:v>bec:E18:obs:events:trade-90d-value</x:v>
      </x:c>
      <x:c r="B813" s="63" t="str">
        <x:v>E18</x:v>
      </x:c>
      <x:c r="C813" s="63" t="str">
        <x:v>bank_observed_trade_events_value_next_90d</x:v>
      </x:c>
      <x:c r="D813" s="63" t="str">
        <x:v>MONEY</x:v>
      </x:c>
      <x:c r="E813" s="63" t="str">
        <x:v>OBSERVED</x:v>
      </x:c>
      <x:c r="F813" s="65" t="n">
        <x:v>413642382.10000014</x:v>
      </x:c>
      <x:c r="G813" s="66"/>
      <x:c r="H813" s="67"/>
      <x:c r="I813" s="63"/>
      <x:c r="J813" s="63" t="str">
        <x:v>ZAR</x:v>
      </x:c>
      <x:c r="K813" s="63" t="str">
        <x:v>ZAR</x:v>
      </x:c>
      <x:c r="L813" s="63" t="str">
        <x:v>2025-06-01</x:v>
      </x:c>
      <x:c r="M813" s="63" t="str">
        <x:v>2026-06-30</x:v>
      </x:c>
      <x:c r="N813" s="63" t="str">
        <x:v>2026-06-30</x:v>
      </x:c>
      <x:c r="O813" s="63" t="str">
        <x:v>E0</x:v>
      </x:c>
      <x:c r="P813" s="63" t="str">
        <x:v>APPROVED</x:v>
      </x:c>
      <x:c r="Q813" s="64" t="b">
        <x:v>0</x:v>
      </x:c>
      <x:c r="R813" s="63" t="str">
        <x:v>WORKING_CAPITAL_CYCLE</x:v>
      </x:c>
      <x:c r="S813" s="63" t="str">
        <x:v>Syn Bank transaction and relationship simulation</x:v>
      </x:c>
      <x:c r="T813" s="63"/>
      <x:c r="U813" s="63" t="str">
        <x:v>internal://syn-bank/simulation/ltm</x:v>
      </x:c>
      <x:c r="V813" s="63" t="str">
        <x:v>a0c979e864dd0d4fb3a76f7adb706ddca9f652beb096f1c91a529cbbd6723f76</x:v>
      </x:c>
    </x:row>
    <x:row r="814">
      <x:c r="A814" s="63" t="str">
        <x:v>bec:E18:struct:operating-model</x:v>
      </x:c>
      <x:c r="B814" s="63" t="str">
        <x:v>E18</x:v>
      </x:c>
      <x:c r="C814" s="63" t="str">
        <x:v>sector_operating_model</x:v>
      </x:c>
      <x:c r="D814" s="63" t="str">
        <x:v>TEXTUAL</x:v>
      </x:c>
      <x:c r="E814" s="63" t="str">
        <x:v>SCENARIO</x:v>
      </x:c>
      <x:c r="F814" s="65"/>
      <x:c r="G814" s="66"/>
      <x:c r="H814" s="67"/>
      <x:c r="I814" s="63" t="str">
        <x:v>Manufacturing and distribution operator with regulated product flows and cross-border input sourcing.</x:v>
      </x:c>
      <x:c r="J814" s="63"/>
      <x:c r="K814" s="63" t="str">
        <x:v>statement</x:v>
      </x:c>
      <x:c r="L814" s="63" t="str">
        <x:v>2025-06-01</x:v>
      </x:c>
      <x:c r="M814" s="63" t="str">
        <x:v>2026-06-30</x:v>
      </x:c>
      <x:c r="N814" s="63" t="str">
        <x:v>2026-06-30</x:v>
      </x:c>
      <x:c r="O814" s="63" t="str">
        <x:v>E0</x:v>
      </x:c>
      <x:c r="P814" s="63" t="str">
        <x:v>APPROVED</x:v>
      </x:c>
      <x:c r="Q814" s="64" t="b">
        <x:v>0</x:v>
      </x:c>
      <x:c r="R814" s="63" t="str">
        <x:v>OPERATING_MODEL</x:v>
      </x:c>
      <x:c r="S814" s="63" t="str">
        <x:v>Governed sector operating-model and responsibility policy</x:v>
      </x:c>
      <x:c r="T814" s="63"/>
      <x:c r="U814" s="63" t="str">
        <x:v>internal://v31/governed-policy</x:v>
      </x:c>
      <x:c r="V814" s="63" t="str">
        <x:v>e5bff9e71f6e140cf23a0f639ccfcd6fd92e89745e09c24fa9d8e34fae55f8be</x:v>
      </x:c>
    </x:row>
    <x:row r="815">
      <x:c r="A815" s="63" t="str">
        <x:v>bec:E18:struct:risk:0</x:v>
      </x:c>
      <x:c r="B815" s="63" t="str">
        <x:v>E18</x:v>
      </x:c>
      <x:c r="C815" s="63" t="str">
        <x:v>sector_primary_risk</x:v>
      </x:c>
      <x:c r="D815" s="63" t="str">
        <x:v>CATEGORICAL</x:v>
      </x:c>
      <x:c r="E815" s="63" t="str">
        <x:v>SCENARIO</x:v>
      </x:c>
      <x:c r="F815" s="65"/>
      <x:c r="G815" s="66"/>
      <x:c r="H815" s="67"/>
      <x:c r="I815" s="63" t="str">
        <x:v>regulatory approval risk</x:v>
      </x:c>
      <x:c r="J815" s="63"/>
      <x:c r="K815" s="63" t="str">
        <x:v>statement</x:v>
      </x:c>
      <x:c r="L815" s="63" t="str">
        <x:v>2025-06-01</x:v>
      </x:c>
      <x:c r="M815" s="63" t="str">
        <x:v>2026-06-30</x:v>
      </x:c>
      <x:c r="N815" s="63" t="str">
        <x:v>2026-06-30</x:v>
      </x:c>
      <x:c r="O815" s="63" t="str">
        <x:v>E0</x:v>
      </x:c>
      <x:c r="P815" s="63" t="str">
        <x:v>APPROVED</x:v>
      </x:c>
      <x:c r="Q815" s="64" t="b">
        <x:v>0</x:v>
      </x:c>
      <x:c r="R815" s="63" t="str">
        <x:v>BUSINESS_AND_FINANCIAL_RISKS</x:v>
      </x:c>
      <x:c r="S815" s="63" t="str">
        <x:v>Governed sector operating-model and responsibility policy</x:v>
      </x:c>
      <x:c r="T815" s="63"/>
      <x:c r="U815" s="63" t="str">
        <x:v>internal://v31/governed-policy</x:v>
      </x:c>
      <x:c r="V815" s="63" t="str">
        <x:v>bbbacca8405a5af501af93b471978f8f63437b4b2de27512cf1395d6b3140979</x:v>
      </x:c>
    </x:row>
    <x:row r="816">
      <x:c r="A816" s="63" t="str">
        <x:v>bec:E18:struct:risk:1</x:v>
      </x:c>
      <x:c r="B816" s="63" t="str">
        <x:v>E18</x:v>
      </x:c>
      <x:c r="C816" s="63" t="str">
        <x:v>sector_primary_risk</x:v>
      </x:c>
      <x:c r="D816" s="63" t="str">
        <x:v>CATEGORICAL</x:v>
      </x:c>
      <x:c r="E816" s="63" t="str">
        <x:v>SCENARIO</x:v>
      </x:c>
      <x:c r="F816" s="65"/>
      <x:c r="G816" s="66"/>
      <x:c r="H816" s="67"/>
      <x:c r="I816" s="63" t="str">
        <x:v>input cost inflation</x:v>
      </x:c>
      <x:c r="J816" s="63"/>
      <x:c r="K816" s="63" t="str">
        <x:v>statement</x:v>
      </x:c>
      <x:c r="L816" s="63" t="str">
        <x:v>2025-06-01</x:v>
      </x:c>
      <x:c r="M816" s="63" t="str">
        <x:v>2026-06-30</x:v>
      </x:c>
      <x:c r="N816" s="63" t="str">
        <x:v>2026-06-30</x:v>
      </x:c>
      <x:c r="O816" s="63" t="str">
        <x:v>E0</x:v>
      </x:c>
      <x:c r="P816" s="63" t="str">
        <x:v>APPROVED</x:v>
      </x:c>
      <x:c r="Q816" s="64" t="b">
        <x:v>0</x:v>
      </x:c>
      <x:c r="R816" s="63" t="str">
        <x:v>BUSINESS_AND_FINANCIAL_RISKS</x:v>
      </x:c>
      <x:c r="S816" s="63" t="str">
        <x:v>Governed sector operating-model and responsibility policy</x:v>
      </x:c>
      <x:c r="T816" s="63"/>
      <x:c r="U816" s="63" t="str">
        <x:v>internal://v31/governed-policy</x:v>
      </x:c>
      <x:c r="V816" s="63" t="str">
        <x:v>47e00e304674f63155b5f6f1e3ec456e1aef3a2d8e4e361d1578f55e72e4633b</x:v>
      </x:c>
    </x:row>
    <x:row r="817">
      <x:c r="A817" s="63" t="str">
        <x:v>bec:E18:struct:risk:2</x:v>
      </x:c>
      <x:c r="B817" s="63" t="str">
        <x:v>E18</x:v>
      </x:c>
      <x:c r="C817" s="63" t="str">
        <x:v>sector_primary_risk</x:v>
      </x:c>
      <x:c r="D817" s="63" t="str">
        <x:v>CATEGORICAL</x:v>
      </x:c>
      <x:c r="E817" s="63" t="str">
        <x:v>SCENARIO</x:v>
      </x:c>
      <x:c r="F817" s="65"/>
      <x:c r="G817" s="66"/>
      <x:c r="H817" s="67"/>
      <x:c r="I817" s="63" t="str">
        <x:v>supply-chain continuity</x:v>
      </x:c>
      <x:c r="J817" s="63"/>
      <x:c r="K817" s="63" t="str">
        <x:v>statement</x:v>
      </x:c>
      <x:c r="L817" s="63" t="str">
        <x:v>2025-06-01</x:v>
      </x:c>
      <x:c r="M817" s="63" t="str">
        <x:v>2026-06-30</x:v>
      </x:c>
      <x:c r="N817" s="63" t="str">
        <x:v>2026-06-30</x:v>
      </x:c>
      <x:c r="O817" s="63" t="str">
        <x:v>E0</x:v>
      </x:c>
      <x:c r="P817" s="63" t="str">
        <x:v>APPROVED</x:v>
      </x:c>
      <x:c r="Q817" s="64" t="b">
        <x:v>0</x:v>
      </x:c>
      <x:c r="R817" s="63" t="str">
        <x:v>BUSINESS_AND_FINANCIAL_RISKS</x:v>
      </x:c>
      <x:c r="S817" s="63" t="str">
        <x:v>Governed sector operating-model and responsibility policy</x:v>
      </x:c>
      <x:c r="T817" s="63"/>
      <x:c r="U817" s="63" t="str">
        <x:v>internal://v31/governed-policy</x:v>
      </x:c>
      <x:c r="V817" s="63" t="str">
        <x:v>a531d3bb8d9b4defb94e53dd3e276300cd0047125b4131f5d6c7fc18adc5edeb</x:v>
      </x:c>
    </x:row>
    <x:row r="818">
      <x:c r="A818" s="63" t="str">
        <x:v>bec:E18:struct:responsibility-model</x:v>
      </x:c>
      <x:c r="B818" s="63" t="str">
        <x:v>E18</x:v>
      </x:c>
      <x:c r="C818" s="63" t="str">
        <x:v>stakeholder_responsibility_model</x:v>
      </x:c>
      <x:c r="D818" s="63" t="str">
        <x:v>TEXTUAL</x:v>
      </x:c>
      <x:c r="E818" s="63" t="str">
        <x:v>SCENARIO</x:v>
      </x:c>
      <x:c r="F818" s="65"/>
      <x:c r="G818" s="66"/>
      <x:c r="H818" s="67"/>
      <x:c r="I818" s="63" t="str">
        <x:v>Responsibility is assigned by role persona using governed matrix v31-stakeholder-responsibility-3.1.0. Named individuals are not resolved in the demonstration and require CRM entitlement checks in production.</x:v>
      </x:c>
      <x:c r="J818" s="63"/>
      <x:c r="K818" s="63" t="str">
        <x:v>statement</x:v>
      </x:c>
      <x:c r="L818" s="63" t="str">
        <x:v>2025-06-01</x:v>
      </x:c>
      <x:c r="M818" s="63" t="str">
        <x:v>2026-06-30</x:v>
      </x:c>
      <x:c r="N818" s="63" t="str">
        <x:v>2026-06-30</x:v>
      </x:c>
      <x:c r="O818" s="63" t="str">
        <x:v>E0</x:v>
      </x:c>
      <x:c r="P818" s="63" t="str">
        <x:v>APPROVED</x:v>
      </x:c>
      <x:c r="Q818" s="64" t="b">
        <x:v>0</x:v>
      </x:c>
      <x:c r="R818" s="63" t="str">
        <x:v>STAKEHOLDER_RESPONSIBILITY</x:v>
      </x:c>
      <x:c r="S818" s="63" t="str">
        <x:v>Governed sector operating-model and responsibility policy</x:v>
      </x:c>
      <x:c r="T818" s="63"/>
      <x:c r="U818" s="63" t="str">
        <x:v>internal://v31/governed-policy</x:v>
      </x:c>
      <x:c r="V818" s="63" t="str">
        <x:v>7ee923e871239d66ece420e0970062a8c60d27241edafe108d158a67840a5cf9</x:v>
      </x:c>
    </x:row>
    <x:row r="819">
      <x:c r="A819" s="63" t="str">
        <x:v>bec:E18:struct:responsibility:fx_exposure</x:v>
      </x:c>
      <x:c r="B819" s="63" t="str">
        <x:v>E18</x:v>
      </x:c>
      <x:c r="C819" s="63" t="str">
        <x:v>problem_role_ownership</x:v>
      </x:c>
      <x:c r="D819" s="63" t="str">
        <x:v>STRUCTURE_RELATIONSHIP</x:v>
      </x:c>
      <x:c r="E819" s="63" t="str">
        <x:v>SCENARIO</x:v>
      </x:c>
      <x:c r="F819" s="65"/>
      <x:c r="G819" s="66"/>
      <x:c r="H819" s="67"/>
      <x:c r="I819" s="63"/>
      <x:c r="J819" s="63"/>
      <x:c r="K819" s="63" t="str">
        <x:v>statement</x:v>
      </x:c>
      <x:c r="L819" s="63" t="str">
        <x:v>2025-06-01</x:v>
      </x:c>
      <x:c r="M819" s="63" t="str">
        <x:v>2026-06-30</x:v>
      </x:c>
      <x:c r="N819" s="63" t="str">
        <x:v>2026-06-30</x:v>
      </x:c>
      <x:c r="O819" s="63" t="str">
        <x:v>E0</x:v>
      </x:c>
      <x:c r="P819" s="63" t="str">
        <x:v>APPROVED</x:v>
      </x:c>
      <x:c r="Q819" s="64" t="b">
        <x:v>0</x:v>
      </x:c>
      <x:c r="R819" s="63" t="str">
        <x:v>STAKEHOLDER_RESPONSIBILITY</x:v>
      </x:c>
      <x:c r="S819" s="63" t="str">
        <x:v>Governed sector operating-model and responsibility policy</x:v>
      </x:c>
      <x:c r="T819" s="63"/>
      <x:c r="U819" s="63" t="str">
        <x:v>internal://v31/governed-policy</x:v>
      </x:c>
      <x:c r="V819" s="63" t="str">
        <x:v>4c30a5420c39b2876faf75f15d225523f02d364d237da81abdb6584b953cf533</x:v>
      </x:c>
    </x:row>
    <x:row r="820">
      <x:c r="A820" s="63" t="str">
        <x:v>bec:E18:struct:responsibility:refinancing_cliff</x:v>
      </x:c>
      <x:c r="B820" s="63" t="str">
        <x:v>E18</x:v>
      </x:c>
      <x:c r="C820" s="63" t="str">
        <x:v>problem_role_ownership</x:v>
      </x:c>
      <x:c r="D820" s="63" t="str">
        <x:v>STRUCTURE_RELATIONSHIP</x:v>
      </x:c>
      <x:c r="E820" s="63" t="str">
        <x:v>SCENARIO</x:v>
      </x:c>
      <x:c r="F820" s="65"/>
      <x:c r="G820" s="66"/>
      <x:c r="H820" s="67"/>
      <x:c r="I820" s="63"/>
      <x:c r="J820" s="63"/>
      <x:c r="K820" s="63" t="str">
        <x:v>statement</x:v>
      </x:c>
      <x:c r="L820" s="63" t="str">
        <x:v>2025-06-01</x:v>
      </x:c>
      <x:c r="M820" s="63" t="str">
        <x:v>2026-06-30</x:v>
      </x:c>
      <x:c r="N820" s="63" t="str">
        <x:v>2026-06-30</x:v>
      </x:c>
      <x:c r="O820" s="63" t="str">
        <x:v>E0</x:v>
      </x:c>
      <x:c r="P820" s="63" t="str">
        <x:v>APPROVED</x:v>
      </x:c>
      <x:c r="Q820" s="64" t="b">
        <x:v>0</x:v>
      </x:c>
      <x:c r="R820" s="63" t="str">
        <x:v>STAKEHOLDER_RESPONSIBILITY</x:v>
      </x:c>
      <x:c r="S820" s="63" t="str">
        <x:v>Governed sector operating-model and responsibility policy</x:v>
      </x:c>
      <x:c r="T820" s="63"/>
      <x:c r="U820" s="63" t="str">
        <x:v>internal://v31/governed-policy</x:v>
      </x:c>
      <x:c r="V820" s="63" t="str">
        <x:v>48b5c37dbf6c12b41b0502f0e58fd00887d61626b04308955ebcec5f65fb9da8</x:v>
      </x:c>
    </x:row>
    <x:row r="821">
      <x:c r="A821" s="63" t="str">
        <x:v>bec:E18:struct:responsibility:working_capital_pressure</x:v>
      </x:c>
      <x:c r="B821" s="63" t="str">
        <x:v>E18</x:v>
      </x:c>
      <x:c r="C821" s="63" t="str">
        <x:v>problem_role_ownership</x:v>
      </x:c>
      <x:c r="D821" s="63" t="str">
        <x:v>STRUCTURE_RELATIONSHIP</x:v>
      </x:c>
      <x:c r="E821" s="63" t="str">
        <x:v>SCENARIO</x:v>
      </x:c>
      <x:c r="F821" s="65"/>
      <x:c r="G821" s="66"/>
      <x:c r="H821" s="67"/>
      <x:c r="I821" s="63"/>
      <x:c r="J821" s="63"/>
      <x:c r="K821" s="63" t="str">
        <x:v>statement</x:v>
      </x:c>
      <x:c r="L821" s="63" t="str">
        <x:v>2025-06-01</x:v>
      </x:c>
      <x:c r="M821" s="63" t="str">
        <x:v>2026-06-30</x:v>
      </x:c>
      <x:c r="N821" s="63" t="str">
        <x:v>2026-06-30</x:v>
      </x:c>
      <x:c r="O821" s="63" t="str">
        <x:v>E0</x:v>
      </x:c>
      <x:c r="P821" s="63" t="str">
        <x:v>APPROVED</x:v>
      </x:c>
      <x:c r="Q821" s="64" t="b">
        <x:v>0</x:v>
      </x:c>
      <x:c r="R821" s="63" t="str">
        <x:v>STAKEHOLDER_RESPONSIBILITY</x:v>
      </x:c>
      <x:c r="S821" s="63" t="str">
        <x:v>Governed sector operating-model and responsibility policy</x:v>
      </x:c>
      <x:c r="T821" s="63"/>
      <x:c r="U821" s="63" t="str">
        <x:v>internal://v31/governed-policy</x:v>
      </x:c>
      <x:c r="V821" s="63" t="str">
        <x:v>76ac6df325f379fc70312c806c33c0ac58bb766d160078fd31405e039cd6a73d</x:v>
      </x:c>
    </x:row>
    <x:row r="822">
      <x:c r="A822" s="63" t="str">
        <x:v>bec:ASPEN-2025-REV</x:v>
      </x:c>
      <x:c r="B822" s="63" t="str">
        <x:v>E19</x:v>
      </x:c>
      <x:c r="C822" s="63" t="str">
        <x:v>revenue</x:v>
      </x:c>
      <x:c r="D822" s="63" t="str">
        <x:v>MONEY</x:v>
      </x:c>
      <x:c r="E822" s="63" t="str">
        <x:v>OBSERVED</x:v>
      </x:c>
      <x:c r="F822" s="65" t="n">
        <x:v>43363</x:v>
      </x:c>
      <x:c r="G822" s="66"/>
      <x:c r="H822" s="67"/>
      <x:c r="I822" s="63"/>
      <x:c r="J822" s="63" t="str">
        <x:v>ZAR</x:v>
      </x:c>
      <x:c r="K822" s="63" t="str">
        <x:v>million</x:v>
      </x:c>
      <x:c r="L822" s="63" t="str">
        <x:v>2024-07-01</x:v>
      </x:c>
      <x:c r="M822" s="63" t="str">
        <x:v>2025-06-30</x:v>
      </x:c>
      <x:c r="N822" s="63" t="str">
        <x:v>2025-10-02</x:v>
      </x:c>
      <x:c r="O822" s="63" t="str">
        <x:v>E1</x:v>
      </x:c>
      <x:c r="P822" s="63" t="str">
        <x:v>PENDING_REVIEW</x:v>
      </x:c>
      <x:c r="Q822" s="64" t="b">
        <x:v>1</x:v>
      </x:c>
      <x:c r="R822" s="63" t="str">
        <x:v>REVENUE_ENGINE</x:v>
      </x:c>
      <x:c r="S822" s="63" t="str">
        <x:v>Aspen Annual Financial Statements 2025</x:v>
      </x:c>
      <x:c r="T822" s="63" t="n">
        <x:v>16</x:v>
      </x:c>
      <x:c r="U822" s="63" t="str">
        <x:v>https://www.aspenpharma.com/download/annual-financial-statements-2/</x:v>
      </x:c>
      <x:c r="V822" s="63" t="str">
        <x:v>a091fee4d4b575781836440b929291617c128f8f857b2dd0a7e0dfb4c1bcc53d</x:v>
      </x:c>
    </x:row>
    <x:row r="823">
      <x:c r="A823" s="63" t="str">
        <x:v>bec:ASPEN-2025-CASH</x:v>
      </x:c>
      <x:c r="B823" s="63" t="str">
        <x:v>E19</x:v>
      </x:c>
      <x:c r="C823" s="63" t="str">
        <x:v>cash_and_cash_equivalents</x:v>
      </x:c>
      <x:c r="D823" s="63" t="str">
        <x:v>MONEY</x:v>
      </x:c>
      <x:c r="E823" s="63" t="str">
        <x:v>OBSERVED</x:v>
      </x:c>
      <x:c r="F823" s="65" t="n">
        <x:v>6409</x:v>
      </x:c>
      <x:c r="G823" s="66"/>
      <x:c r="H823" s="67"/>
      <x:c r="I823" s="63"/>
      <x:c r="J823" s="63" t="str">
        <x:v>ZAR</x:v>
      </x:c>
      <x:c r="K823" s="63" t="str">
        <x:v>million</x:v>
      </x:c>
      <x:c r="L823" s="63" t="str">
        <x:v>2025-06-30</x:v>
      </x:c>
      <x:c r="M823" s="63" t="str">
        <x:v>2025-06-30</x:v>
      </x:c>
      <x:c r="N823" s="63" t="str">
        <x:v>2025-10-02</x:v>
      </x:c>
      <x:c r="O823" s="63" t="str">
        <x:v>E1</x:v>
      </x:c>
      <x:c r="P823" s="63" t="str">
        <x:v>PENDING_REVIEW</x:v>
      </x:c>
      <x:c r="Q823" s="64" t="b">
        <x:v>1</x:v>
      </x:c>
      <x:c r="R823" s="63" t="str">
        <x:v>LIQUIDITY_AND_BUFFER</x:v>
      </x:c>
      <x:c r="S823" s="63" t="str">
        <x:v>Aspen Annual Financial Statements 2025</x:v>
      </x:c>
      <x:c r="T823" s="63" t="n">
        <x:v>15</x:v>
      </x:c>
      <x:c r="U823" s="63" t="str">
        <x:v>https://www.aspenpharma.com/download/annual-financial-statements-2/</x:v>
      </x:c>
      <x:c r="V823" s="63" t="str">
        <x:v>a091fee4d4b575781836440b929291617c128f8f857b2dd0a7e0dfb4c1bcc53d</x:v>
      </x:c>
    </x:row>
    <x:row r="824">
      <x:c r="A824" s="63" t="str">
        <x:v>bec:ASPEN-2025-DEBT</x:v>
      </x:c>
      <x:c r="B824" s="63" t="str">
        <x:v>E19</x:v>
      </x:c>
      <x:c r="C824" s="63" t="str">
        <x:v>current_debt</x:v>
      </x:c>
      <x:c r="D824" s="63" t="str">
        <x:v>MONEY</x:v>
      </x:c>
      <x:c r="E824" s="63" t="str">
        <x:v>OBSERVED</x:v>
      </x:c>
      <x:c r="F824" s="65" t="n">
        <x:v>4612</x:v>
      </x:c>
      <x:c r="G824" s="66"/>
      <x:c r="H824" s="67"/>
      <x:c r="I824" s="63"/>
      <x:c r="J824" s="63" t="str">
        <x:v>ZAR</x:v>
      </x:c>
      <x:c r="K824" s="63" t="str">
        <x:v>million</x:v>
      </x:c>
      <x:c r="L824" s="63" t="str">
        <x:v>2025-06-30</x:v>
      </x:c>
      <x:c r="M824" s="63" t="str">
        <x:v>2025-06-30</x:v>
      </x:c>
      <x:c r="N824" s="63" t="str">
        <x:v>2025-10-02</x:v>
      </x:c>
      <x:c r="O824" s="63" t="str">
        <x:v>E1</x:v>
      </x:c>
      <x:c r="P824" s="63" t="str">
        <x:v>PENDING_REVIEW</x:v>
      </x:c>
      <x:c r="Q824" s="64" t="b">
        <x:v>1</x:v>
      </x:c>
      <x:c r="R824" s="63" t="str">
        <x:v>FUNDING_STRUCTURE</x:v>
      </x:c>
      <x:c r="S824" s="63" t="str">
        <x:v>Aspen Annual Financial Statements 2025</x:v>
      </x:c>
      <x:c r="T824" s="63" t="n">
        <x:v>15</x:v>
      </x:c>
      <x:c r="U824" s="63" t="str">
        <x:v>https://www.aspenpharma.com/download/annual-financial-statements-2/</x:v>
      </x:c>
      <x:c r="V824" s="63" t="str">
        <x:v>a091fee4d4b575781836440b929291617c128f8f857b2dd0a7e0dfb4c1bcc53d</x:v>
      </x:c>
    </x:row>
    <x:row r="825">
      <x:c r="A825" s="63" t="str">
        <x:v>bec:E19:obs:flow:collections</x:v>
      </x:c>
      <x:c r="B825" s="63" t="str">
        <x:v>E19</x:v>
      </x:c>
      <x:c r="C825" s="63" t="str">
        <x:v>bank_observed_collections_ltm</x:v>
      </x:c>
      <x:c r="D825" s="63" t="str">
        <x:v>MONEY</x:v>
      </x:c>
      <x:c r="E825" s="63" t="str">
        <x:v>OBSERVED</x:v>
      </x:c>
      <x:c r="F825" s="65" t="n">
        <x:v>866514826.5999995</x:v>
      </x:c>
      <x:c r="G825" s="66"/>
      <x:c r="H825" s="67"/>
      <x:c r="I825" s="63"/>
      <x:c r="J825" s="63" t="str">
        <x:v>ZAR</x:v>
      </x:c>
      <x:c r="K825" s="63" t="str">
        <x:v>ZAR</x:v>
      </x:c>
      <x:c r="L825" s="63" t="str">
        <x:v>2025-06-01</x:v>
      </x:c>
      <x:c r="M825" s="63" t="str">
        <x:v>2026-06-30</x:v>
      </x:c>
      <x:c r="N825" s="63" t="str">
        <x:v>2026-06-30</x:v>
      </x:c>
      <x:c r="O825" s="63" t="str">
        <x:v>E0</x:v>
      </x:c>
      <x:c r="P825" s="63" t="str">
        <x:v>APPROVED</x:v>
      </x:c>
      <x:c r="Q825" s="64" t="b">
        <x:v>1</x:v>
      </x:c>
      <x:c r="R825" s="63" t="str">
        <x:v>REVENUE_ENGINE, WORKING_CAPITAL_CYCLE</x:v>
      </x:c>
      <x:c r="S825" s="63" t="str">
        <x:v>Syn Bank transaction and relationship simulation</x:v>
      </x:c>
      <x:c r="T825" s="63"/>
      <x:c r="U825" s="63" t="str">
        <x:v>internal://syn-bank/simulation/ltm</x:v>
      </x:c>
      <x:c r="V825" s="63" t="str">
        <x:v>d52fb8d8e1ea88b3bd0d41a139bb7495ad2d6a268ac81d622967bbff4b9705e0</x:v>
      </x:c>
    </x:row>
    <x:row r="826">
      <x:c r="A826" s="63" t="str">
        <x:v>bec:E19:obs:trend:collections</x:v>
      </x:c>
      <x:c r="B826" s="63" t="str">
        <x:v>E19</x:v>
      </x:c>
      <x:c r="C826" s="63" t="str">
        <x:v>bank_observed_collections_yoy_change</x:v>
      </x:c>
      <x:c r="D826" s="63" t="str">
        <x:v>RATIO</x:v>
      </x:c>
      <x:c r="E826" s="63" t="str">
        <x:v>OBSERVED</x:v>
      </x:c>
      <x:c r="F826" s="65"/>
      <x:c r="G826" s="66" t="n">
        <x:v>0.13301</x:v>
      </x:c>
      <x:c r="H826" s="67"/>
      <x:c r="I826" s="63"/>
      <x:c r="J826" s="63"/>
      <x:c r="K826" s="63" t="str">
        <x:v>ratio</x:v>
      </x:c>
      <x:c r="L826" s="63" t="str">
        <x:v>2025-06-01</x:v>
      </x:c>
      <x:c r="M826" s="63" t="str">
        <x:v>2026-06-30</x:v>
      </x:c>
      <x:c r="N826" s="63" t="str">
        <x:v>2026-06-30</x:v>
      </x:c>
      <x:c r="O826" s="63" t="str">
        <x:v>E0</x:v>
      </x:c>
      <x:c r="P826" s="63" t="str">
        <x:v>APPROVED</x:v>
      </x:c>
      <x:c r="Q826" s="64" t="b">
        <x:v>0</x:v>
      </x:c>
      <x:c r="R826" s="63" t="str">
        <x:v>REVENUE_ENGINE, WORKING_CAPITAL_CYCLE</x:v>
      </x:c>
      <x:c r="S826" s="63" t="str">
        <x:v>Syn Bank transaction and relationship simulation</x:v>
      </x:c>
      <x:c r="T826" s="63"/>
      <x:c r="U826" s="63" t="str">
        <x:v>internal://syn-bank/simulation/ltm</x:v>
      </x:c>
      <x:c r="V826" s="63" t="str">
        <x:v>f7b911808deb644ccf632f078b1ebf7d36905676d652f2621f3b9e1cb8df70b6</x:v>
      </x:c>
    </x:row>
    <x:row r="827">
      <x:c r="A827" s="63" t="str">
        <x:v>bec:E19:obs:flow:payments</x:v>
      </x:c>
      <x:c r="B827" s="63" t="str">
        <x:v>E19</x:v>
      </x:c>
      <x:c r="C827" s="63" t="str">
        <x:v>bank_observed_payments_ltm</x:v>
      </x:c>
      <x:c r="D827" s="63" t="str">
        <x:v>MONEY</x:v>
      </x:c>
      <x:c r="E827" s="63" t="str">
        <x:v>OBSERVED</x:v>
      </x:c>
      <x:c r="F827" s="65" t="n">
        <x:v>2586911023.6</x:v>
      </x:c>
      <x:c r="G827" s="66"/>
      <x:c r="H827" s="67"/>
      <x:c r="I827" s="63"/>
      <x:c r="J827" s="63" t="str">
        <x:v>ZAR</x:v>
      </x:c>
      <x:c r="K827" s="63" t="str">
        <x:v>ZAR</x:v>
      </x:c>
      <x:c r="L827" s="63" t="str">
        <x:v>2025-06-01</x:v>
      </x:c>
      <x:c r="M827" s="63" t="str">
        <x:v>2026-06-30</x:v>
      </x:c>
      <x:c r="N827" s="63" t="str">
        <x:v>2026-06-30</x:v>
      </x:c>
      <x:c r="O827" s="63" t="str">
        <x:v>E0</x:v>
      </x:c>
      <x:c r="P827" s="63" t="str">
        <x:v>APPROVED</x:v>
      </x:c>
      <x:c r="Q827" s="64" t="b">
        <x:v>1</x:v>
      </x:c>
      <x:c r="R827" s="63" t="str">
        <x:v>COST_ENGINE, WORKING_CAPITAL_CYCLE</x:v>
      </x:c>
      <x:c r="S827" s="63" t="str">
        <x:v>Syn Bank transaction and relationship simulation</x:v>
      </x:c>
      <x:c r="T827" s="63"/>
      <x:c r="U827" s="63" t="str">
        <x:v>internal://syn-bank/simulation/ltm</x:v>
      </x:c>
      <x:c r="V827" s="63" t="str">
        <x:v>1913158a4ea32dff0d760e2590b75d2eba19040c7d57b7b5fb1ebe37c2a40a34</x:v>
      </x:c>
    </x:row>
    <x:row r="828">
      <x:c r="A828" s="63" t="str">
        <x:v>bec:E19:obs:trend:payments</x:v>
      </x:c>
      <x:c r="B828" s="63" t="str">
        <x:v>E19</x:v>
      </x:c>
      <x:c r="C828" s="63" t="str">
        <x:v>bank_observed_payments_yoy_change</x:v>
      </x:c>
      <x:c r="D828" s="63" t="str">
        <x:v>RATIO</x:v>
      </x:c>
      <x:c r="E828" s="63" t="str">
        <x:v>OBSERVED</x:v>
      </x:c>
      <x:c r="F828" s="65"/>
      <x:c r="G828" s="66" t="n">
        <x:v>0.165666</x:v>
      </x:c>
      <x:c r="H828" s="67"/>
      <x:c r="I828" s="63"/>
      <x:c r="J828" s="63"/>
      <x:c r="K828" s="63" t="str">
        <x:v>ratio</x:v>
      </x:c>
      <x:c r="L828" s="63" t="str">
        <x:v>2025-06-01</x:v>
      </x:c>
      <x:c r="M828" s="63" t="str">
        <x:v>2026-06-30</x:v>
      </x:c>
      <x:c r="N828" s="63" t="str">
        <x:v>2026-06-30</x:v>
      </x:c>
      <x:c r="O828" s="63" t="str">
        <x:v>E0</x:v>
      </x:c>
      <x:c r="P828" s="63" t="str">
        <x:v>APPROVED</x:v>
      </x:c>
      <x:c r="Q828" s="64" t="b">
        <x:v>0</x:v>
      </x:c>
      <x:c r="R828" s="63" t="str">
        <x:v>COST_ENGINE, WORKING_CAPITAL_CYCLE</x:v>
      </x:c>
      <x:c r="S828" s="63" t="str">
        <x:v>Syn Bank transaction and relationship simulation</x:v>
      </x:c>
      <x:c r="T828" s="63"/>
      <x:c r="U828" s="63" t="str">
        <x:v>internal://syn-bank/simulation/ltm</x:v>
      </x:c>
      <x:c r="V828" s="63" t="str">
        <x:v>36155e7b4db70560baf75fd3793fb7c1d6be675c82fbeebbfcf64fc7f8a3c6da</x:v>
      </x:c>
    </x:row>
    <x:row r="829">
      <x:c r="A829" s="63" t="str">
        <x:v>bec:E19:obs:flow:liquidity</x:v>
      </x:c>
      <x:c r="B829" s="63" t="str">
        <x:v>E19</x:v>
      </x:c>
      <x:c r="C829" s="63" t="str">
        <x:v>bank_observed_liquidity_ltm</x:v>
      </x:c>
      <x:c r="D829" s="63" t="str">
        <x:v>MONEY</x:v>
      </x:c>
      <x:c r="E829" s="63" t="str">
        <x:v>OBSERVED</x:v>
      </x:c>
      <x:c r="F829" s="65" t="n">
        <x:v>1726712925.1000004</x:v>
      </x:c>
      <x:c r="G829" s="66"/>
      <x:c r="H829" s="67"/>
      <x:c r="I829" s="63"/>
      <x:c r="J829" s="63" t="str">
        <x:v>ZAR</x:v>
      </x:c>
      <x:c r="K829" s="63" t="str">
        <x:v>ZAR</x:v>
      </x:c>
      <x:c r="L829" s="63" t="str">
        <x:v>2025-06-01</x:v>
      </x:c>
      <x:c r="M829" s="63" t="str">
        <x:v>2026-06-30</x:v>
      </x:c>
      <x:c r="N829" s="63" t="str">
        <x:v>2026-06-30</x:v>
      </x:c>
      <x:c r="O829" s="63" t="str">
        <x:v>E0</x:v>
      </x:c>
      <x:c r="P829" s="63" t="str">
        <x:v>APPROVED</x:v>
      </x:c>
      <x:c r="Q829" s="64" t="b">
        <x:v>1</x:v>
      </x:c>
      <x:c r="R829" s="63" t="str">
        <x:v>LIQUIDITY_AND_BUFFER</x:v>
      </x:c>
      <x:c r="S829" s="63" t="str">
        <x:v>Syn Bank transaction and relationship simulation</x:v>
      </x:c>
      <x:c r="T829" s="63"/>
      <x:c r="U829" s="63" t="str">
        <x:v>internal://syn-bank/simulation/ltm</x:v>
      </x:c>
      <x:c r="V829" s="63" t="str">
        <x:v>9a6515bb706dc848ee05b3f6000bbfc25c8f96743a52c202fb3d18005ca53e17</x:v>
      </x:c>
    </x:row>
    <x:row r="830">
      <x:c r="A830" s="63" t="str">
        <x:v>bec:E19:obs:trend:liquidity</x:v>
      </x:c>
      <x:c r="B830" s="63" t="str">
        <x:v>E19</x:v>
      </x:c>
      <x:c r="C830" s="63" t="str">
        <x:v>bank_observed_liquidity_yoy_change</x:v>
      </x:c>
      <x:c r="D830" s="63" t="str">
        <x:v>RATIO</x:v>
      </x:c>
      <x:c r="E830" s="63" t="str">
        <x:v>OBSERVED</x:v>
      </x:c>
      <x:c r="F830" s="65"/>
      <x:c r="G830" s="66" t="n">
        <x:v>0.157296</x:v>
      </x:c>
      <x:c r="H830" s="67"/>
      <x:c r="I830" s="63"/>
      <x:c r="J830" s="63"/>
      <x:c r="K830" s="63" t="str">
        <x:v>ratio</x:v>
      </x:c>
      <x:c r="L830" s="63" t="str">
        <x:v>2025-06-01</x:v>
      </x:c>
      <x:c r="M830" s="63" t="str">
        <x:v>2026-06-30</x:v>
      </x:c>
      <x:c r="N830" s="63" t="str">
        <x:v>2026-06-30</x:v>
      </x:c>
      <x:c r="O830" s="63" t="str">
        <x:v>E0</x:v>
      </x:c>
      <x:c r="P830" s="63" t="str">
        <x:v>APPROVED</x:v>
      </x:c>
      <x:c r="Q830" s="64" t="b">
        <x:v>0</x:v>
      </x:c>
      <x:c r="R830" s="63" t="str">
        <x:v>LIQUIDITY_AND_BUFFER</x:v>
      </x:c>
      <x:c r="S830" s="63" t="str">
        <x:v>Syn Bank transaction and relationship simulation</x:v>
      </x:c>
      <x:c r="T830" s="63"/>
      <x:c r="U830" s="63" t="str">
        <x:v>internal://syn-bank/simulation/ltm</x:v>
      </x:c>
      <x:c r="V830" s="63" t="str">
        <x:v>c3b8bb3ed2c8cb58a53da2deb23059a2f075ae4df68f575f49b602abd6ff06c7</x:v>
      </x:c>
    </x:row>
    <x:row r="831">
      <x:c r="A831" s="63" t="str">
        <x:v>bec:E19:obs:flow:cross-border-fx</x:v>
      </x:c>
      <x:c r="B831" s="63" t="str">
        <x:v>E19</x:v>
      </x:c>
      <x:c r="C831" s="63" t="str">
        <x:v>bank_observed_cross_border_fx_ltm</x:v>
      </x:c>
      <x:c r="D831" s="63" t="str">
        <x:v>MONEY</x:v>
      </x:c>
      <x:c r="E831" s="63" t="str">
        <x:v>OBSERVED</x:v>
      </x:c>
      <x:c r="F831" s="65" t="n">
        <x:v>1411158689.6200001</x:v>
      </x:c>
      <x:c r="G831" s="66"/>
      <x:c r="H831" s="67"/>
      <x:c r="I831" s="63"/>
      <x:c r="J831" s="63" t="str">
        <x:v>ZAR</x:v>
      </x:c>
      <x:c r="K831" s="63" t="str">
        <x:v>ZAR</x:v>
      </x:c>
      <x:c r="L831" s="63" t="str">
        <x:v>2025-06-01</x:v>
      </x:c>
      <x:c r="M831" s="63" t="str">
        <x:v>2026-06-30</x:v>
      </x:c>
      <x:c r="N831" s="63" t="str">
        <x:v>2026-06-30</x:v>
      </x:c>
      <x:c r="O831" s="63" t="str">
        <x:v>E0</x:v>
      </x:c>
      <x:c r="P831" s="63" t="str">
        <x:v>APPROVED</x:v>
      </x:c>
      <x:c r="Q831" s="64" t="b">
        <x:v>1</x:v>
      </x:c>
      <x:c r="R831" s="63" t="str">
        <x:v>CURRENCY_AND_COMMODITY_EXPOSURE, GEOGRAPHIC_EXPOSURE</x:v>
      </x:c>
      <x:c r="S831" s="63" t="str">
        <x:v>Syn Bank transaction and relationship simulation</x:v>
      </x:c>
      <x:c r="T831" s="63"/>
      <x:c r="U831" s="63" t="str">
        <x:v>internal://syn-bank/simulation/ltm</x:v>
      </x:c>
      <x:c r="V831" s="63" t="str">
        <x:v>838d6b1c2579d5baeaa91937bc1324c9d747fc3a9c6228727ec1e782af0e27c6</x:v>
      </x:c>
    </x:row>
    <x:row r="832">
      <x:c r="A832" s="63" t="str">
        <x:v>bec:E19:obs:trend:cross-border-fx</x:v>
      </x:c>
      <x:c r="B832" s="63" t="str">
        <x:v>E19</x:v>
      </x:c>
      <x:c r="C832" s="63" t="str">
        <x:v>bank_observed_cross_border_fx_yoy_change</x:v>
      </x:c>
      <x:c r="D832" s="63" t="str">
        <x:v>RATIO</x:v>
      </x:c>
      <x:c r="E832" s="63" t="str">
        <x:v>OBSERVED</x:v>
      </x:c>
      <x:c r="F832" s="65"/>
      <x:c r="G832" s="66" t="n">
        <x:v>0.029804</x:v>
      </x:c>
      <x:c r="H832" s="67"/>
      <x:c r="I832" s="63"/>
      <x:c r="J832" s="63"/>
      <x:c r="K832" s="63" t="str">
        <x:v>ratio</x:v>
      </x:c>
      <x:c r="L832" s="63" t="str">
        <x:v>2025-06-01</x:v>
      </x:c>
      <x:c r="M832" s="63" t="str">
        <x:v>2026-06-30</x:v>
      </x:c>
      <x:c r="N832" s="63" t="str">
        <x:v>2026-06-30</x:v>
      </x:c>
      <x:c r="O832" s="63" t="str">
        <x:v>E0</x:v>
      </x:c>
      <x:c r="P832" s="63" t="str">
        <x:v>APPROVED</x:v>
      </x:c>
      <x:c r="Q832" s="64" t="b">
        <x:v>0</x:v>
      </x:c>
      <x:c r="R832" s="63" t="str">
        <x:v>CURRENCY_AND_COMMODITY_EXPOSURE, GEOGRAPHIC_EXPOSURE</x:v>
      </x:c>
      <x:c r="S832" s="63" t="str">
        <x:v>Syn Bank transaction and relationship simulation</x:v>
      </x:c>
      <x:c r="T832" s="63"/>
      <x:c r="U832" s="63" t="str">
        <x:v>internal://syn-bank/simulation/ltm</x:v>
      </x:c>
      <x:c r="V832" s="63" t="str">
        <x:v>072ccad82e9204682c5c5b579ca5c70500bd32e02660d0207ca35d4168881761</x:v>
      </x:c>
    </x:row>
    <x:row r="833">
      <x:c r="A833" s="63" t="str">
        <x:v>bec:E19:obs:flow:trade-finance</x:v>
      </x:c>
      <x:c r="B833" s="63" t="str">
        <x:v>E19</x:v>
      </x:c>
      <x:c r="C833" s="63" t="str">
        <x:v>bank_observed_trade_finance_ltm</x:v>
      </x:c>
      <x:c r="D833" s="63" t="str">
        <x:v>MONEY</x:v>
      </x:c>
      <x:c r="E833" s="63" t="str">
        <x:v>OBSERVED</x:v>
      </x:c>
      <x:c r="F833" s="65" t="n">
        <x:v>532422716.56</x:v>
      </x:c>
      <x:c r="G833" s="66"/>
      <x:c r="H833" s="67"/>
      <x:c r="I833" s="63"/>
      <x:c r="J833" s="63" t="str">
        <x:v>ZAR</x:v>
      </x:c>
      <x:c r="K833" s="63" t="str">
        <x:v>ZAR</x:v>
      </x:c>
      <x:c r="L833" s="63" t="str">
        <x:v>2025-06-01</x:v>
      </x:c>
      <x:c r="M833" s="63" t="str">
        <x:v>2026-06-30</x:v>
      </x:c>
      <x:c r="N833" s="63" t="str">
        <x:v>2026-06-30</x:v>
      </x:c>
      <x:c r="O833" s="63" t="str">
        <x:v>E0</x:v>
      </x:c>
      <x:c r="P833" s="63" t="str">
        <x:v>APPROVED</x:v>
      </x:c>
      <x:c r="Q833" s="64" t="b">
        <x:v>1</x:v>
      </x:c>
      <x:c r="R833" s="63" t="str">
        <x:v>WORKING_CAPITAL_CYCLE, OPERATING_MODEL</x:v>
      </x:c>
      <x:c r="S833" s="63" t="str">
        <x:v>Syn Bank transaction and relationship simulation</x:v>
      </x:c>
      <x:c r="T833" s="63"/>
      <x:c r="U833" s="63" t="str">
        <x:v>internal://syn-bank/simulation/ltm</x:v>
      </x:c>
      <x:c r="V833" s="63" t="str">
        <x:v>dc2085db7fdc2a6889fe9b8845661749da4ea6c29c963f089eb9bbaaed74b25e</x:v>
      </x:c>
    </x:row>
    <x:row r="834">
      <x:c r="A834" s="63" t="str">
        <x:v>bec:E19:obs:trend:trade-finance</x:v>
      </x:c>
      <x:c r="B834" s="63" t="str">
        <x:v>E19</x:v>
      </x:c>
      <x:c r="C834" s="63" t="str">
        <x:v>bank_observed_trade_finance_yoy_change</x:v>
      </x:c>
      <x:c r="D834" s="63" t="str">
        <x:v>RATIO</x:v>
      </x:c>
      <x:c r="E834" s="63" t="str">
        <x:v>OBSERVED</x:v>
      </x:c>
      <x:c r="F834" s="65"/>
      <x:c r="G834" s="66" t="n">
        <x:v>0.442225</x:v>
      </x:c>
      <x:c r="H834" s="67"/>
      <x:c r="I834" s="63"/>
      <x:c r="J834" s="63"/>
      <x:c r="K834" s="63" t="str">
        <x:v>ratio</x:v>
      </x:c>
      <x:c r="L834" s="63" t="str">
        <x:v>2025-06-01</x:v>
      </x:c>
      <x:c r="M834" s="63" t="str">
        <x:v>2026-06-30</x:v>
      </x:c>
      <x:c r="N834" s="63" t="str">
        <x:v>2026-06-30</x:v>
      </x:c>
      <x:c r="O834" s="63" t="str">
        <x:v>E0</x:v>
      </x:c>
      <x:c r="P834" s="63" t="str">
        <x:v>APPROVED</x:v>
      </x:c>
      <x:c r="Q834" s="64" t="b">
        <x:v>0</x:v>
      </x:c>
      <x:c r="R834" s="63" t="str">
        <x:v>WORKING_CAPITAL_CYCLE, OPERATING_MODEL</x:v>
      </x:c>
      <x:c r="S834" s="63" t="str">
        <x:v>Syn Bank transaction and relationship simulation</x:v>
      </x:c>
      <x:c r="T834" s="63"/>
      <x:c r="U834" s="63" t="str">
        <x:v>internal://syn-bank/simulation/ltm</x:v>
      </x:c>
      <x:c r="V834" s="63" t="str">
        <x:v>1c7583cd757696e64e2f132eaf83a0b47f84b9a289659491b1ace67d9b786651</x:v>
      </x:c>
    </x:row>
    <x:row r="835">
      <x:c r="A835" s="63" t="str">
        <x:v>bec:E19:obs:corridor:0</x:v>
      </x:c>
      <x:c r="B835" s="63" t="str">
        <x:v>E19</x:v>
      </x:c>
      <x:c r="C835" s="63" t="str">
        <x:v>bank_observed_corridor_value</x:v>
      </x:c>
      <x:c r="D835" s="63" t="str">
        <x:v>MONEY</x:v>
      </x:c>
      <x:c r="E835" s="63" t="str">
        <x:v>OBSERVED</x:v>
      </x:c>
      <x:c r="F835" s="65" t="n">
        <x:v>535966006.3700001</x:v>
      </x:c>
      <x:c r="G835" s="66"/>
      <x:c r="H835" s="67"/>
      <x:c r="I835" s="63"/>
      <x:c r="J835" s="63" t="str">
        <x:v>ZAR</x:v>
      </x:c>
      <x:c r="K835" s="63" t="str">
        <x:v>ZAR</x:v>
      </x:c>
      <x:c r="L835" s="63" t="str">
        <x:v>2025-06-01</x:v>
      </x:c>
      <x:c r="M835" s="63" t="str">
        <x:v>2026-06-30</x:v>
      </x:c>
      <x:c r="N835" s="63" t="str">
        <x:v>2026-06-30</x:v>
      </x:c>
      <x:c r="O835" s="63" t="str">
        <x:v>E0</x:v>
      </x:c>
      <x:c r="P835" s="63" t="str">
        <x:v>APPROVED</x:v>
      </x:c>
      <x:c r="Q835" s="64" t="b">
        <x:v>1</x:v>
      </x:c>
      <x:c r="R835" s="63" t="str">
        <x:v>GEOGRAPHIC_EXPOSURE</x:v>
      </x:c>
      <x:c r="S835" s="63" t="str">
        <x:v>Syn Bank transaction and relationship simulation</x:v>
      </x:c>
      <x:c r="T835" s="63"/>
      <x:c r="U835" s="63" t="str">
        <x:v>internal://syn-bank/simulation/ltm</x:v>
      </x:c>
      <x:c r="V835" s="63" t="str">
        <x:v>94be522d8a19866164bd660b3eec9562c29a13d178aadcf0e646094e558b0325</x:v>
      </x:c>
    </x:row>
    <x:row r="836">
      <x:c r="A836" s="63" t="str">
        <x:v>bec:E19:obs:corridor-name:0</x:v>
      </x:c>
      <x:c r="B836" s="63" t="str">
        <x:v>E19</x:v>
      </x:c>
      <x:c r="C836" s="63" t="str">
        <x:v>bank_observed_corridor_country</x:v>
      </x:c>
      <x:c r="D836" s="63" t="str">
        <x:v>CATEGORICAL</x:v>
      </x:c>
      <x:c r="E836" s="63" t="str">
        <x:v>OBSERVED</x:v>
      </x:c>
      <x:c r="F836" s="65"/>
      <x:c r="G836" s="66"/>
      <x:c r="H836" s="67"/>
      <x:c r="I836" s="63" t="str">
        <x:v>Ghana</x:v>
      </x:c>
      <x:c r="J836" s="63"/>
      <x:c r="K836" s="63" t="str">
        <x:v>country</x:v>
      </x:c>
      <x:c r="L836" s="63" t="str">
        <x:v>2025-06-01</x:v>
      </x:c>
      <x:c r="M836" s="63" t="str">
        <x:v>2026-06-30</x:v>
      </x:c>
      <x:c r="N836" s="63" t="str">
        <x:v>2026-06-30</x:v>
      </x:c>
      <x:c r="O836" s="63" t="str">
        <x:v>E0</x:v>
      </x:c>
      <x:c r="P836" s="63" t="str">
        <x:v>APPROVED</x:v>
      </x:c>
      <x:c r="Q836" s="64" t="b">
        <x:v>0</x:v>
      </x:c>
      <x:c r="R836" s="63" t="str">
        <x:v>GEOGRAPHIC_EXPOSURE</x:v>
      </x:c>
      <x:c r="S836" s="63" t="str">
        <x:v>Syn Bank transaction and relationship simulation</x:v>
      </x:c>
      <x:c r="T836" s="63"/>
      <x:c r="U836" s="63" t="str">
        <x:v>internal://syn-bank/simulation/ltm</x:v>
      </x:c>
      <x:c r="V836" s="63" t="str">
        <x:v>1ade3236fe5876810ed486d0601619772a93f116319a379c493a2ac6ac2f12d3</x:v>
      </x:c>
    </x:row>
    <x:row r="837">
      <x:c r="A837" s="63" t="str">
        <x:v>bec:E19:obs:corridor:1</x:v>
      </x:c>
      <x:c r="B837" s="63" t="str">
        <x:v>E19</x:v>
      </x:c>
      <x:c r="C837" s="63" t="str">
        <x:v>bank_observed_corridor_value</x:v>
      </x:c>
      <x:c r="D837" s="63" t="str">
        <x:v>MONEY</x:v>
      </x:c>
      <x:c r="E837" s="63" t="str">
        <x:v>OBSERVED</x:v>
      </x:c>
      <x:c r="F837" s="65" t="n">
        <x:v>528060439.35</x:v>
      </x:c>
      <x:c r="G837" s="66"/>
      <x:c r="H837" s="67"/>
      <x:c r="I837" s="63"/>
      <x:c r="J837" s="63" t="str">
        <x:v>ZAR</x:v>
      </x:c>
      <x:c r="K837" s="63" t="str">
        <x:v>ZAR</x:v>
      </x:c>
      <x:c r="L837" s="63" t="str">
        <x:v>2025-06-01</x:v>
      </x:c>
      <x:c r="M837" s="63" t="str">
        <x:v>2026-06-30</x:v>
      </x:c>
      <x:c r="N837" s="63" t="str">
        <x:v>2026-06-30</x:v>
      </x:c>
      <x:c r="O837" s="63" t="str">
        <x:v>E0</x:v>
      </x:c>
      <x:c r="P837" s="63" t="str">
        <x:v>APPROVED</x:v>
      </x:c>
      <x:c r="Q837" s="64" t="b">
        <x:v>0</x:v>
      </x:c>
      <x:c r="R837" s="63" t="str">
        <x:v>GEOGRAPHIC_EXPOSURE</x:v>
      </x:c>
      <x:c r="S837" s="63" t="str">
        <x:v>Syn Bank transaction and relationship simulation</x:v>
      </x:c>
      <x:c r="T837" s="63"/>
      <x:c r="U837" s="63" t="str">
        <x:v>internal://syn-bank/simulation/ltm</x:v>
      </x:c>
      <x:c r="V837" s="63" t="str">
        <x:v>044e062a14fbfebe27ee849a4cb1020483d314498038c784d6d3038c933a3401</x:v>
      </x:c>
    </x:row>
    <x:row r="838">
      <x:c r="A838" s="63" t="str">
        <x:v>bec:E19:obs:corridor-name:1</x:v>
      </x:c>
      <x:c r="B838" s="63" t="str">
        <x:v>E19</x:v>
      </x:c>
      <x:c r="C838" s="63" t="str">
        <x:v>bank_observed_corridor_country</x:v>
      </x:c>
      <x:c r="D838" s="63" t="str">
        <x:v>CATEGORICAL</x:v>
      </x:c>
      <x:c r="E838" s="63" t="str">
        <x:v>OBSERVED</x:v>
      </x:c>
      <x:c r="F838" s="65"/>
      <x:c r="G838" s="66"/>
      <x:c r="H838" s="67"/>
      <x:c r="I838" s="63" t="str">
        <x:v>Kenya</x:v>
      </x:c>
      <x:c r="J838" s="63"/>
      <x:c r="K838" s="63" t="str">
        <x:v>country</x:v>
      </x:c>
      <x:c r="L838" s="63" t="str">
        <x:v>2025-06-01</x:v>
      </x:c>
      <x:c r="M838" s="63" t="str">
        <x:v>2026-06-30</x:v>
      </x:c>
      <x:c r="N838" s="63" t="str">
        <x:v>2026-06-30</x:v>
      </x:c>
      <x:c r="O838" s="63" t="str">
        <x:v>E0</x:v>
      </x:c>
      <x:c r="P838" s="63" t="str">
        <x:v>APPROVED</x:v>
      </x:c>
      <x:c r="Q838" s="64" t="b">
        <x:v>0</x:v>
      </x:c>
      <x:c r="R838" s="63" t="str">
        <x:v>GEOGRAPHIC_EXPOSURE</x:v>
      </x:c>
      <x:c r="S838" s="63" t="str">
        <x:v>Syn Bank transaction and relationship simulation</x:v>
      </x:c>
      <x:c r="T838" s="63"/>
      <x:c r="U838" s="63" t="str">
        <x:v>internal://syn-bank/simulation/ltm</x:v>
      </x:c>
      <x:c r="V838" s="63" t="str">
        <x:v>495acca8d856371fb91ce4e6950371e7f26a16e3001cafcf60ac6cdf491bbfbc</x:v>
      </x:c>
    </x:row>
    <x:row r="839">
      <x:c r="A839" s="63" t="str">
        <x:v>bec:E19:obs:corridor:2</x:v>
      </x:c>
      <x:c r="B839" s="63" t="str">
        <x:v>E19</x:v>
      </x:c>
      <x:c r="C839" s="63" t="str">
        <x:v>bank_observed_corridor_value</x:v>
      </x:c>
      <x:c r="D839" s="63" t="str">
        <x:v>MONEY</x:v>
      </x:c>
      <x:c r="E839" s="63" t="str">
        <x:v>OBSERVED</x:v>
      </x:c>
      <x:c r="F839" s="65" t="n">
        <x:v>485602026.3600005</x:v>
      </x:c>
      <x:c r="G839" s="66"/>
      <x:c r="H839" s="67"/>
      <x:c r="I839" s="63"/>
      <x:c r="J839" s="63" t="str">
        <x:v>ZAR</x:v>
      </x:c>
      <x:c r="K839" s="63" t="str">
        <x:v>ZAR</x:v>
      </x:c>
      <x:c r="L839" s="63" t="str">
        <x:v>2025-06-01</x:v>
      </x:c>
      <x:c r="M839" s="63" t="str">
        <x:v>2026-06-30</x:v>
      </x:c>
      <x:c r="N839" s="63" t="str">
        <x:v>2026-06-30</x:v>
      </x:c>
      <x:c r="O839" s="63" t="str">
        <x:v>E0</x:v>
      </x:c>
      <x:c r="P839" s="63" t="str">
        <x:v>APPROVED</x:v>
      </x:c>
      <x:c r="Q839" s="64" t="b">
        <x:v>0</x:v>
      </x:c>
      <x:c r="R839" s="63" t="str">
        <x:v>GEOGRAPHIC_EXPOSURE</x:v>
      </x:c>
      <x:c r="S839" s="63" t="str">
        <x:v>Syn Bank transaction and relationship simulation</x:v>
      </x:c>
      <x:c r="T839" s="63"/>
      <x:c r="U839" s="63" t="str">
        <x:v>internal://syn-bank/simulation/ltm</x:v>
      </x:c>
      <x:c r="V839" s="63" t="str">
        <x:v>77f9692d268dac31b3594d6b91ffea96077394b8c345c2a496879e604c4c9db7</x:v>
      </x:c>
    </x:row>
    <x:row r="840">
      <x:c r="A840" s="63" t="str">
        <x:v>bec:E19:obs:corridor-name:2</x:v>
      </x:c>
      <x:c r="B840" s="63" t="str">
        <x:v>E19</x:v>
      </x:c>
      <x:c r="C840" s="63" t="str">
        <x:v>bank_observed_corridor_country</x:v>
      </x:c>
      <x:c r="D840" s="63" t="str">
        <x:v>CATEGORICAL</x:v>
      </x:c>
      <x:c r="E840" s="63" t="str">
        <x:v>OBSERVED</x:v>
      </x:c>
      <x:c r="F840" s="65"/>
      <x:c r="G840" s="66"/>
      <x:c r="H840" s="67"/>
      <x:c r="I840" s="63" t="str">
        <x:v>Nigeria</x:v>
      </x:c>
      <x:c r="J840" s="63"/>
      <x:c r="K840" s="63" t="str">
        <x:v>country</x:v>
      </x:c>
      <x:c r="L840" s="63" t="str">
        <x:v>2025-06-01</x:v>
      </x:c>
      <x:c r="M840" s="63" t="str">
        <x:v>2026-06-30</x:v>
      </x:c>
      <x:c r="N840" s="63" t="str">
        <x:v>2026-06-30</x:v>
      </x:c>
      <x:c r="O840" s="63" t="str">
        <x:v>E0</x:v>
      </x:c>
      <x:c r="P840" s="63" t="str">
        <x:v>APPROVED</x:v>
      </x:c>
      <x:c r="Q840" s="64" t="b">
        <x:v>0</x:v>
      </x:c>
      <x:c r="R840" s="63" t="str">
        <x:v>GEOGRAPHIC_EXPOSURE</x:v>
      </x:c>
      <x:c r="S840" s="63" t="str">
        <x:v>Syn Bank transaction and relationship simulation</x:v>
      </x:c>
      <x:c r="T840" s="63"/>
      <x:c r="U840" s="63" t="str">
        <x:v>internal://syn-bank/simulation/ltm</x:v>
      </x:c>
      <x:c r="V840" s="63" t="str">
        <x:v>5197330eb18cb8e9372297c4ca96a3c9ce43c943f58e39b2a7de7c8a72897234</x:v>
      </x:c>
    </x:row>
    <x:row r="841">
      <x:c r="A841" s="63" t="str">
        <x:v>bec:E19:obs:currency:0</x:v>
      </x:c>
      <x:c r="B841" s="63" t="str">
        <x:v>E19</x:v>
      </x:c>
      <x:c r="C841" s="63" t="str">
        <x:v>bank_observed_currency_pair_value</x:v>
      </x:c>
      <x:c r="D841" s="63" t="str">
        <x:v>MONEY</x:v>
      </x:c>
      <x:c r="E841" s="63" t="str">
        <x:v>OBSERVED</x:v>
      </x:c>
      <x:c r="F841" s="65" t="n">
        <x:v>930335537.849999</x:v>
      </x:c>
      <x:c r="G841" s="66"/>
      <x:c r="H841" s="67"/>
      <x:c r="I841" s="63"/>
      <x:c r="J841" s="63" t="str">
        <x:v>ZAR</x:v>
      </x:c>
      <x:c r="K841" s="63" t="str">
        <x:v>ZAR</x:v>
      </x:c>
      <x:c r="L841" s="63" t="str">
        <x:v>2025-06-01</x:v>
      </x:c>
      <x:c r="M841" s="63" t="str">
        <x:v>2026-06-30</x:v>
      </x:c>
      <x:c r="N841" s="63" t="str">
        <x:v>2026-06-30</x:v>
      </x:c>
      <x:c r="O841" s="63" t="str">
        <x:v>E0</x:v>
      </x:c>
      <x:c r="P841" s="63" t="str">
        <x:v>APPROVED</x:v>
      </x:c>
      <x:c r="Q841" s="64" t="b">
        <x:v>1</x:v>
      </x:c>
      <x:c r="R841" s="63" t="str">
        <x:v>CURRENCY_AND_COMMODITY_EXPOSURE</x:v>
      </x:c>
      <x:c r="S841" s="63" t="str">
        <x:v>Syn Bank transaction and relationship simulation</x:v>
      </x:c>
      <x:c r="T841" s="63"/>
      <x:c r="U841" s="63" t="str">
        <x:v>internal://syn-bank/simulation/ltm</x:v>
      </x:c>
      <x:c r="V841" s="63" t="str">
        <x:v>e4fcd5413649139fce90a1d75325c6e3da7bd0769eb828acc9d8f206d4e370d5</x:v>
      </x:c>
    </x:row>
    <x:row r="842">
      <x:c r="A842" s="63" t="str">
        <x:v>bec:E19:obs:currency-pair:0</x:v>
      </x:c>
      <x:c r="B842" s="63" t="str">
        <x:v>E19</x:v>
      </x:c>
      <x:c r="C842" s="63" t="str">
        <x:v>bank_observed_currency_pair</x:v>
      </x:c>
      <x:c r="D842" s="63" t="str">
        <x:v>CATEGORICAL</x:v>
      </x:c>
      <x:c r="E842" s="63" t="str">
        <x:v>OBSERVED</x:v>
      </x:c>
      <x:c r="F842" s="65"/>
      <x:c r="G842" s="66"/>
      <x:c r="H842" s="67"/>
      <x:c r="I842" s="63" t="str">
        <x:v>EUR/ZAR</x:v>
      </x:c>
      <x:c r="J842" s="63"/>
      <x:c r="K842" s="63" t="str">
        <x:v>currency_pair</x:v>
      </x:c>
      <x:c r="L842" s="63" t="str">
        <x:v>2025-06-01</x:v>
      </x:c>
      <x:c r="M842" s="63" t="str">
        <x:v>2026-06-30</x:v>
      </x:c>
      <x:c r="N842" s="63" t="str">
        <x:v>2026-06-30</x:v>
      </x:c>
      <x:c r="O842" s="63" t="str">
        <x:v>E0</x:v>
      </x:c>
      <x:c r="P842" s="63" t="str">
        <x:v>APPROVED</x:v>
      </x:c>
      <x:c r="Q842" s="64" t="b">
        <x:v>0</x:v>
      </x:c>
      <x:c r="R842" s="63" t="str">
        <x:v>CURRENCY_AND_COMMODITY_EXPOSURE</x:v>
      </x:c>
      <x:c r="S842" s="63" t="str">
        <x:v>Syn Bank transaction and relationship simulation</x:v>
      </x:c>
      <x:c r="T842" s="63"/>
      <x:c r="U842" s="63" t="str">
        <x:v>internal://syn-bank/simulation/ltm</x:v>
      </x:c>
      <x:c r="V842" s="63" t="str">
        <x:v>37dae42927f450c29d0494fb0ef0d21e2c824f7e0b2d36720332a2d59178e9c8</x:v>
      </x:c>
    </x:row>
    <x:row r="843">
      <x:c r="A843" s="63" t="str">
        <x:v>bec:E19:obs:currency:1</x:v>
      </x:c>
      <x:c r="B843" s="63" t="str">
        <x:v>E19</x:v>
      </x:c>
      <x:c r="C843" s="63" t="str">
        <x:v>bank_observed_currency_pair_value</x:v>
      </x:c>
      <x:c r="D843" s="63" t="str">
        <x:v>MONEY</x:v>
      </x:c>
      <x:c r="E843" s="63" t="str">
        <x:v>OBSERVED</x:v>
      </x:c>
      <x:c r="F843" s="65" t="n">
        <x:v>863215166.3600005</x:v>
      </x:c>
      <x:c r="G843" s="66"/>
      <x:c r="H843" s="67"/>
      <x:c r="I843" s="63"/>
      <x:c r="J843" s="63" t="str">
        <x:v>ZAR</x:v>
      </x:c>
      <x:c r="K843" s="63" t="str">
        <x:v>ZAR</x:v>
      </x:c>
      <x:c r="L843" s="63" t="str">
        <x:v>2025-06-01</x:v>
      </x:c>
      <x:c r="M843" s="63" t="str">
        <x:v>2026-06-30</x:v>
      </x:c>
      <x:c r="N843" s="63" t="str">
        <x:v>2026-06-30</x:v>
      </x:c>
      <x:c r="O843" s="63" t="str">
        <x:v>E0</x:v>
      </x:c>
      <x:c r="P843" s="63" t="str">
        <x:v>APPROVED</x:v>
      </x:c>
      <x:c r="Q843" s="64" t="b">
        <x:v>0</x:v>
      </x:c>
      <x:c r="R843" s="63" t="str">
        <x:v>CURRENCY_AND_COMMODITY_EXPOSURE</x:v>
      </x:c>
      <x:c r="S843" s="63" t="str">
        <x:v>Syn Bank transaction and relationship simulation</x:v>
      </x:c>
      <x:c r="T843" s="63"/>
      <x:c r="U843" s="63" t="str">
        <x:v>internal://syn-bank/simulation/ltm</x:v>
      </x:c>
      <x:c r="V843" s="63" t="str">
        <x:v>e76517d1210bd7c28c89ffed30ae8c19506cf2fc5708c68ee82455906864122a</x:v>
      </x:c>
    </x:row>
    <x:row r="844">
      <x:c r="A844" s="63" t="str">
        <x:v>bec:E19:obs:currency-pair:1</x:v>
      </x:c>
      <x:c r="B844" s="63" t="str">
        <x:v>E19</x:v>
      </x:c>
      <x:c r="C844" s="63" t="str">
        <x:v>bank_observed_currency_pair</x:v>
      </x:c>
      <x:c r="D844" s="63" t="str">
        <x:v>CATEGORICAL</x:v>
      </x:c>
      <x:c r="E844" s="63" t="str">
        <x:v>OBSERVED</x:v>
      </x:c>
      <x:c r="F844" s="65"/>
      <x:c r="G844" s="66"/>
      <x:c r="H844" s="67"/>
      <x:c r="I844" s="63" t="str">
        <x:v>AED/ZAR</x:v>
      </x:c>
      <x:c r="J844" s="63"/>
      <x:c r="K844" s="63" t="str">
        <x:v>currency_pair</x:v>
      </x:c>
      <x:c r="L844" s="63" t="str">
        <x:v>2025-06-01</x:v>
      </x:c>
      <x:c r="M844" s="63" t="str">
        <x:v>2026-06-30</x:v>
      </x:c>
      <x:c r="N844" s="63" t="str">
        <x:v>2026-06-30</x:v>
      </x:c>
      <x:c r="O844" s="63" t="str">
        <x:v>E0</x:v>
      </x:c>
      <x:c r="P844" s="63" t="str">
        <x:v>APPROVED</x:v>
      </x:c>
      <x:c r="Q844" s="64" t="b">
        <x:v>0</x:v>
      </x:c>
      <x:c r="R844" s="63" t="str">
        <x:v>CURRENCY_AND_COMMODITY_EXPOSURE</x:v>
      </x:c>
      <x:c r="S844" s="63" t="str">
        <x:v>Syn Bank transaction and relationship simulation</x:v>
      </x:c>
      <x:c r="T844" s="63"/>
      <x:c r="U844" s="63" t="str">
        <x:v>internal://syn-bank/simulation/ltm</x:v>
      </x:c>
      <x:c r="V844" s="63" t="str">
        <x:v>78892f817649d389618be78029e796cc1d4771dd76dec83892331b034d8d8a5f</x:v>
      </x:c>
    </x:row>
    <x:row r="845">
      <x:c r="A845" s="63" t="str">
        <x:v>bec:E19:obs:currency:2</x:v>
      </x:c>
      <x:c r="B845" s="63" t="str">
        <x:v>E19</x:v>
      </x:c>
      <x:c r="C845" s="63" t="str">
        <x:v>bank_observed_currency_pair_value</x:v>
      </x:c>
      <x:c r="D845" s="63" t="str">
        <x:v>MONEY</x:v>
      </x:c>
      <x:c r="E845" s="63" t="str">
        <x:v>OBSERVED</x:v>
      </x:c>
      <x:c r="F845" s="65" t="n">
        <x:v>824739631.1400005</x:v>
      </x:c>
      <x:c r="G845" s="66"/>
      <x:c r="H845" s="67"/>
      <x:c r="I845" s="63"/>
      <x:c r="J845" s="63" t="str">
        <x:v>ZAR</x:v>
      </x:c>
      <x:c r="K845" s="63" t="str">
        <x:v>ZAR</x:v>
      </x:c>
      <x:c r="L845" s="63" t="str">
        <x:v>2025-06-01</x:v>
      </x:c>
      <x:c r="M845" s="63" t="str">
        <x:v>2026-06-30</x:v>
      </x:c>
      <x:c r="N845" s="63" t="str">
        <x:v>2026-06-30</x:v>
      </x:c>
      <x:c r="O845" s="63" t="str">
        <x:v>E0</x:v>
      </x:c>
      <x:c r="P845" s="63" t="str">
        <x:v>APPROVED</x:v>
      </x:c>
      <x:c r="Q845" s="64" t="b">
        <x:v>0</x:v>
      </x:c>
      <x:c r="R845" s="63" t="str">
        <x:v>CURRENCY_AND_COMMODITY_EXPOSURE</x:v>
      </x:c>
      <x:c r="S845" s="63" t="str">
        <x:v>Syn Bank transaction and relationship simulation</x:v>
      </x:c>
      <x:c r="T845" s="63"/>
      <x:c r="U845" s="63" t="str">
        <x:v>internal://syn-bank/simulation/ltm</x:v>
      </x:c>
      <x:c r="V845" s="63" t="str">
        <x:v>9d4d89064664978b7faa2e8dd5a436ea077ccb86d2332716eb0134e8f3a3de63</x:v>
      </x:c>
    </x:row>
    <x:row r="846">
      <x:c r="A846" s="63" t="str">
        <x:v>bec:E19:obs:currency-pair:2</x:v>
      </x:c>
      <x:c r="B846" s="63" t="str">
        <x:v>E19</x:v>
      </x:c>
      <x:c r="C846" s="63" t="str">
        <x:v>bank_observed_currency_pair</x:v>
      </x:c>
      <x:c r="D846" s="63" t="str">
        <x:v>CATEGORICAL</x:v>
      </x:c>
      <x:c r="E846" s="63" t="str">
        <x:v>OBSERVED</x:v>
      </x:c>
      <x:c r="F846" s="65"/>
      <x:c r="G846" s="66"/>
      <x:c r="H846" s="67"/>
      <x:c r="I846" s="63" t="str">
        <x:v>USD/ZAR</x:v>
      </x:c>
      <x:c r="J846" s="63"/>
      <x:c r="K846" s="63" t="str">
        <x:v>currency_pair</x:v>
      </x:c>
      <x:c r="L846" s="63" t="str">
        <x:v>2025-06-01</x:v>
      </x:c>
      <x:c r="M846" s="63" t="str">
        <x:v>2026-06-30</x:v>
      </x:c>
      <x:c r="N846" s="63" t="str">
        <x:v>2026-06-30</x:v>
      </x:c>
      <x:c r="O846" s="63" t="str">
        <x:v>E0</x:v>
      </x:c>
      <x:c r="P846" s="63" t="str">
        <x:v>APPROVED</x:v>
      </x:c>
      <x:c r="Q846" s="64" t="b">
        <x:v>0</x:v>
      </x:c>
      <x:c r="R846" s="63" t="str">
        <x:v>CURRENCY_AND_COMMODITY_EXPOSURE</x:v>
      </x:c>
      <x:c r="S846" s="63" t="str">
        <x:v>Syn Bank transaction and relationship simulation</x:v>
      </x:c>
      <x:c r="T846" s="63"/>
      <x:c r="U846" s="63" t="str">
        <x:v>internal://syn-bank/simulation/ltm</x:v>
      </x:c>
      <x:c r="V846" s="63" t="str">
        <x:v>a87bee66d6f194bd10666c9b8b7cf8d8e340d6f83edc4770474c11dc2be37887</x:v>
      </x:c>
    </x:row>
    <x:row r="847">
      <x:c r="A847" s="63" t="str">
        <x:v>bec:E19:obs:country-count</x:v>
      </x:c>
      <x:c r="B847" s="63" t="str">
        <x:v>E19</x:v>
      </x:c>
      <x:c r="C847" s="63" t="str">
        <x:v>bank_observed_active_country_count</x:v>
      </x:c>
      <x:c r="D847" s="63" t="str">
        <x:v>COUNT</x:v>
      </x:c>
      <x:c r="E847" s="63" t="str">
        <x:v>OBSERVED</x:v>
      </x:c>
      <x:c r="F847" s="65"/>
      <x:c r="G847" s="66"/>
      <x:c r="H847" s="67" t="n">
        <x:v>17</x:v>
      </x:c>
      <x:c r="I847" s="63"/>
      <x:c r="J847" s="63"/>
      <x:c r="K847" s="63" t="str">
        <x:v>countries</x:v>
      </x:c>
      <x:c r="L847" s="63" t="str">
        <x:v>2025-06-01</x:v>
      </x:c>
      <x:c r="M847" s="63" t="str">
        <x:v>2026-06-30</x:v>
      </x:c>
      <x:c r="N847" s="63" t="str">
        <x:v>2026-06-30</x:v>
      </x:c>
      <x:c r="O847" s="63" t="str">
        <x:v>E0</x:v>
      </x:c>
      <x:c r="P847" s="63" t="str">
        <x:v>APPROVED</x:v>
      </x:c>
      <x:c r="Q847" s="64" t="b">
        <x:v>1</x:v>
      </x:c>
      <x:c r="R847" s="63" t="str">
        <x:v>GEOGRAPHIC_EXPOSURE</x:v>
      </x:c>
      <x:c r="S847" s="63" t="str">
        <x:v>Syn Bank transaction and relationship simulation</x:v>
      </x:c>
      <x:c r="T847" s="63"/>
      <x:c r="U847" s="63" t="str">
        <x:v>internal://syn-bank/simulation/ltm</x:v>
      </x:c>
      <x:c r="V847" s="63" t="str">
        <x:v>1d651ff51d32609d9dcbaefeebc4b469e673acfc30587578cce62dc6d473578a</x:v>
      </x:c>
    </x:row>
    <x:row r="848">
      <x:c r="A848" s="63" t="str">
        <x:v>bec:E19:obs:relationship-breadth</x:v>
      </x:c>
      <x:c r="B848" s="63" t="str">
        <x:v>E19</x:v>
      </x:c>
      <x:c r="C848" s="63" t="str">
        <x:v>bank_observed_product_relationship_breadth</x:v>
      </x:c>
      <x:c r="D848" s="63" t="str">
        <x:v>COUNT</x:v>
      </x:c>
      <x:c r="E848" s="63" t="str">
        <x:v>OBSERVED</x:v>
      </x:c>
      <x:c r="F848" s="65"/>
      <x:c r="G848" s="66"/>
      <x:c r="H848" s="67" t="n">
        <x:v>5</x:v>
      </x:c>
      <x:c r="I848" s="63"/>
      <x:c r="J848" s="63"/>
      <x:c r="K848" s="63" t="str">
        <x:v>products</x:v>
      </x:c>
      <x:c r="L848" s="63" t="str">
        <x:v>2025-06-01</x:v>
      </x:c>
      <x:c r="M848" s="63" t="str">
        <x:v>2026-06-30</x:v>
      </x:c>
      <x:c r="N848" s="63" t="str">
        <x:v>2026-06-30</x:v>
      </x:c>
      <x:c r="O848" s="63" t="str">
        <x:v>E0</x:v>
      </x:c>
      <x:c r="P848" s="63" t="str">
        <x:v>APPROVED</x:v>
      </x:c>
      <x:c r="Q848" s="64" t="b">
        <x:v>1</x:v>
      </x:c>
      <x:c r="R848" s="63" t="str">
        <x:v>OPERATING_MODEL</x:v>
      </x:c>
      <x:c r="S848" s="63" t="str">
        <x:v>Syn Bank transaction and relationship simulation</x:v>
      </x:c>
      <x:c r="T848" s="63"/>
      <x:c r="U848" s="63" t="str">
        <x:v>internal://syn-bank/simulation/ltm</x:v>
      </x:c>
      <x:c r="V848" s="63" t="str">
        <x:v>60d4a6fa315a0ef24cca812edc0636a70ec4173930a5ee5ec43d910616619d60</x:v>
      </x:c>
    </x:row>
    <x:row r="849">
      <x:c r="A849" s="63" t="str">
        <x:v>bec:E19:obs:latent:operating_scale</x:v>
      </x:c>
      <x:c r="B849" s="63" t="str">
        <x:v>E19</x:v>
      </x:c>
      <x:c r="C849" s="63" t="str">
        <x:v>bank_observed_operating_scale_index</x:v>
      </x:c>
      <x:c r="D849" s="63" t="str">
        <x:v>RATIO</x:v>
      </x:c>
      <x:c r="E849" s="63" t="str">
        <x:v>OBSERVED</x:v>
      </x:c>
      <x:c r="F849" s="65"/>
      <x:c r="G849" s="66" t="n">
        <x:v>0.55</x:v>
      </x:c>
      <x:c r="H849" s="67"/>
      <x:c r="I849" s="63"/>
      <x:c r="J849" s="63"/>
      <x:c r="K849" s="63" t="str">
        <x:v>index_0_1</x:v>
      </x:c>
      <x:c r="L849" s="63" t="str">
        <x:v>2025-06-01</x:v>
      </x:c>
      <x:c r="M849" s="63" t="str">
        <x:v>2026-06-30</x:v>
      </x:c>
      <x:c r="N849" s="63" t="str">
        <x:v>2026-06-30</x:v>
      </x:c>
      <x:c r="O849" s="63" t="str">
        <x:v>E0</x:v>
      </x:c>
      <x:c r="P849" s="63" t="str">
        <x:v>APPROVED</x:v>
      </x:c>
      <x:c r="Q849" s="64" t="b">
        <x:v>0</x:v>
      </x:c>
      <x:c r="R849" s="63" t="str">
        <x:v>OPERATING_MODEL</x:v>
      </x:c>
      <x:c r="S849" s="63" t="str">
        <x:v>Syn Bank transaction and relationship simulation</x:v>
      </x:c>
      <x:c r="T849" s="63"/>
      <x:c r="U849" s="63" t="str">
        <x:v>internal://syn-bank/simulation/ltm</x:v>
      </x:c>
      <x:c r="V849" s="63" t="str">
        <x:v>e4ef1c4ee1a60d1b38b0c5b100ec752598394b45be6a97752445b6a796afa384</x:v>
      </x:c>
    </x:row>
    <x:row r="850">
      <x:c r="A850" s="63" t="str">
        <x:v>bec:E19:obs:latent:working_capital_intensity</x:v>
      </x:c>
      <x:c r="B850" s="63" t="str">
        <x:v>E19</x:v>
      </x:c>
      <x:c r="C850" s="63" t="str">
        <x:v>bank_observed_working_capital_intensity_index</x:v>
      </x:c>
      <x:c r="D850" s="63" t="str">
        <x:v>RATIO</x:v>
      </x:c>
      <x:c r="E850" s="63" t="str">
        <x:v>OBSERVED</x:v>
      </x:c>
      <x:c r="F850" s="65"/>
      <x:c r="G850" s="66" t="n">
        <x:v>0.64</x:v>
      </x:c>
      <x:c r="H850" s="67"/>
      <x:c r="I850" s="63"/>
      <x:c r="J850" s="63"/>
      <x:c r="K850" s="63" t="str">
        <x:v>index_0_1</x:v>
      </x:c>
      <x:c r="L850" s="63" t="str">
        <x:v>2025-06-01</x:v>
      </x:c>
      <x:c r="M850" s="63" t="str">
        <x:v>2026-06-30</x:v>
      </x:c>
      <x:c r="N850" s="63" t="str">
        <x:v>2026-06-30</x:v>
      </x:c>
      <x:c r="O850" s="63" t="str">
        <x:v>E0</x:v>
      </x:c>
      <x:c r="P850" s="63" t="str">
        <x:v>APPROVED</x:v>
      </x:c>
      <x:c r="Q850" s="64" t="b">
        <x:v>0</x:v>
      </x:c>
      <x:c r="R850" s="63" t="str">
        <x:v>WORKING_CAPITAL_CYCLE</x:v>
      </x:c>
      <x:c r="S850" s="63" t="str">
        <x:v>Syn Bank transaction and relationship simulation</x:v>
      </x:c>
      <x:c r="T850" s="63"/>
      <x:c r="U850" s="63" t="str">
        <x:v>internal://syn-bank/simulation/ltm</x:v>
      </x:c>
      <x:c r="V850" s="63" t="str">
        <x:v>ab3fcc6266076b15fa600afc80514fac548dba7b43a5081f8756b6d1ff846445</x:v>
      </x:c>
    </x:row>
    <x:row r="851">
      <x:c r="A851" s="63" t="str">
        <x:v>bec:E19:obs:latent:liquidity_volatility</x:v>
      </x:c>
      <x:c r="B851" s="63" t="str">
        <x:v>E19</x:v>
      </x:c>
      <x:c r="C851" s="63" t="str">
        <x:v>bank_observed_liquidity_volatility_index</x:v>
      </x:c>
      <x:c r="D851" s="63" t="str">
        <x:v>RATIO</x:v>
      </x:c>
      <x:c r="E851" s="63" t="str">
        <x:v>OBSERVED</x:v>
      </x:c>
      <x:c r="F851" s="65"/>
      <x:c r="G851" s="66" t="n">
        <x:v>0.049</x:v>
      </x:c>
      <x:c r="H851" s="67"/>
      <x:c r="I851" s="63"/>
      <x:c r="J851" s="63"/>
      <x:c r="K851" s="63" t="str">
        <x:v>index_0_1</x:v>
      </x:c>
      <x:c r="L851" s="63" t="str">
        <x:v>2025-06-01</x:v>
      </x:c>
      <x:c r="M851" s="63" t="str">
        <x:v>2026-06-30</x:v>
      </x:c>
      <x:c r="N851" s="63" t="str">
        <x:v>2026-06-30</x:v>
      </x:c>
      <x:c r="O851" s="63" t="str">
        <x:v>E0</x:v>
      </x:c>
      <x:c r="P851" s="63" t="str">
        <x:v>APPROVED</x:v>
      </x:c>
      <x:c r="Q851" s="64" t="b">
        <x:v>0</x:v>
      </x:c>
      <x:c r="R851" s="63" t="str">
        <x:v>LIQUIDITY_AND_BUFFER</x:v>
      </x:c>
      <x:c r="S851" s="63" t="str">
        <x:v>Syn Bank transaction and relationship simulation</x:v>
      </x:c>
      <x:c r="T851" s="63"/>
      <x:c r="U851" s="63" t="str">
        <x:v>internal://syn-bank/simulation/ltm</x:v>
      </x:c>
      <x:c r="V851" s="63" t="str">
        <x:v>c07178f9bd59351150c10133c51dfa0130301a1aeb7f0cff4902b1353fc9defe</x:v>
      </x:c>
    </x:row>
    <x:row r="852">
      <x:c r="A852" s="63" t="str">
        <x:v>bec:E19:obs:latent:international_exposure</x:v>
      </x:c>
      <x:c r="B852" s="63" t="str">
        <x:v>E19</x:v>
      </x:c>
      <x:c r="C852" s="63" t="str">
        <x:v>bank_observed_international_exposure_index</x:v>
      </x:c>
      <x:c r="D852" s="63" t="str">
        <x:v>RATIO</x:v>
      </x:c>
      <x:c r="E852" s="63" t="str">
        <x:v>OBSERVED</x:v>
      </x:c>
      <x:c r="F852" s="65"/>
      <x:c r="G852" s="66" t="n">
        <x:v>0.36</x:v>
      </x:c>
      <x:c r="H852" s="67"/>
      <x:c r="I852" s="63"/>
      <x:c r="J852" s="63"/>
      <x:c r="K852" s="63" t="str">
        <x:v>index_0_1</x:v>
      </x:c>
      <x:c r="L852" s="63" t="str">
        <x:v>2025-06-01</x:v>
      </x:c>
      <x:c r="M852" s="63" t="str">
        <x:v>2026-06-30</x:v>
      </x:c>
      <x:c r="N852" s="63" t="str">
        <x:v>2026-06-30</x:v>
      </x:c>
      <x:c r="O852" s="63" t="str">
        <x:v>E0</x:v>
      </x:c>
      <x:c r="P852" s="63" t="str">
        <x:v>APPROVED</x:v>
      </x:c>
      <x:c r="Q852" s="64" t="b">
        <x:v>0</x:v>
      </x:c>
      <x:c r="R852" s="63" t="str">
        <x:v>GEOGRAPHIC_EXPOSURE</x:v>
      </x:c>
      <x:c r="S852" s="63" t="str">
        <x:v>Syn Bank transaction and relationship simulation</x:v>
      </x:c>
      <x:c r="T852" s="63"/>
      <x:c r="U852" s="63" t="str">
        <x:v>internal://syn-bank/simulation/ltm</x:v>
      </x:c>
      <x:c r="V852" s="63" t="str">
        <x:v>54d0b6574447abf0b0f897456ce3ea6fd654f6b9a44220dfac555299f6ff1595</x:v>
      </x:c>
    </x:row>
    <x:row r="853">
      <x:c r="A853" s="63" t="str">
        <x:v>bec:E19:obs:latent:financing_need</x:v>
      </x:c>
      <x:c r="B853" s="63" t="str">
        <x:v>E19</x:v>
      </x:c>
      <x:c r="C853" s="63" t="str">
        <x:v>bank_observed_financing_need_index</x:v>
      </x:c>
      <x:c r="D853" s="63" t="str">
        <x:v>RATIO</x:v>
      </x:c>
      <x:c r="E853" s="63" t="str">
        <x:v>OBSERVED</x:v>
      </x:c>
      <x:c r="F853" s="65"/>
      <x:c r="G853" s="66" t="n">
        <x:v>0.054</x:v>
      </x:c>
      <x:c r="H853" s="67"/>
      <x:c r="I853" s="63"/>
      <x:c r="J853" s="63"/>
      <x:c r="K853" s="63" t="str">
        <x:v>index_0_1</x:v>
      </x:c>
      <x:c r="L853" s="63" t="str">
        <x:v>2025-06-01</x:v>
      </x:c>
      <x:c r="M853" s="63" t="str">
        <x:v>2026-06-30</x:v>
      </x:c>
      <x:c r="N853" s="63" t="str">
        <x:v>2026-06-30</x:v>
      </x:c>
      <x:c r="O853" s="63" t="str">
        <x:v>E0</x:v>
      </x:c>
      <x:c r="P853" s="63" t="str">
        <x:v>APPROVED</x:v>
      </x:c>
      <x:c r="Q853" s="64" t="b">
        <x:v>0</x:v>
      </x:c>
      <x:c r="R853" s="63" t="str">
        <x:v>FUNDING_STRUCTURE</x:v>
      </x:c>
      <x:c r="S853" s="63" t="str">
        <x:v>Syn Bank transaction and relationship simulation</x:v>
      </x:c>
      <x:c r="T853" s="63"/>
      <x:c r="U853" s="63" t="str">
        <x:v>internal://syn-bank/simulation/ltm</x:v>
      </x:c>
      <x:c r="V853" s="63" t="str">
        <x:v>e3fc57617c0ecd98df7e8a5bf76815c41b90c8efdf0bb3ae67badbb8fcc5a15b</x:v>
      </x:c>
    </x:row>
    <x:row r="854">
      <x:c r="A854" s="63" t="str">
        <x:v>bec:E19:obs:latent:event_intensity</x:v>
      </x:c>
      <x:c r="B854" s="63" t="str">
        <x:v>E19</x:v>
      </x:c>
      <x:c r="C854" s="63" t="str">
        <x:v>bank_observed_event_intensity_index</x:v>
      </x:c>
      <x:c r="D854" s="63" t="str">
        <x:v>RATIO</x:v>
      </x:c>
      <x:c r="E854" s="63" t="str">
        <x:v>OBSERVED</x:v>
      </x:c>
      <x:c r="F854" s="65"/>
      <x:c r="G854" s="66" t="n">
        <x:v>1</x:v>
      </x:c>
      <x:c r="H854" s="67"/>
      <x:c r="I854" s="63"/>
      <x:c r="J854" s="63"/>
      <x:c r="K854" s="63" t="str">
        <x:v>index_0_1</x:v>
      </x:c>
      <x:c r="L854" s="63" t="str">
        <x:v>2025-06-01</x:v>
      </x:c>
      <x:c r="M854" s="63" t="str">
        <x:v>2026-06-30</x:v>
      </x:c>
      <x:c r="N854" s="63" t="str">
        <x:v>2026-06-30</x:v>
      </x:c>
      <x:c r="O854" s="63" t="str">
        <x:v>E0</x:v>
      </x:c>
      <x:c r="P854" s="63" t="str">
        <x:v>APPROVED</x:v>
      </x:c>
      <x:c r="Q854" s="64" t="b">
        <x:v>0</x:v>
      </x:c>
      <x:c r="R854" s="63" t="str">
        <x:v>STRATEGY_ACTIONS_AND_ESG</x:v>
      </x:c>
      <x:c r="S854" s="63" t="str">
        <x:v>Syn Bank transaction and relationship simulation</x:v>
      </x:c>
      <x:c r="T854" s="63"/>
      <x:c r="U854" s="63" t="str">
        <x:v>internal://syn-bank/simulation/ltm</x:v>
      </x:c>
      <x:c r="V854" s="63" t="str">
        <x:v>79952aedc4a6565cd7687684684d0fc0dee32fa639bffffbeb8f9b9200e82ccc</x:v>
      </x:c>
    </x:row>
    <x:row r="855">
      <x:c r="A855" s="63" t="str">
        <x:v>bec:E19:obs:latent:relationship_complexity</x:v>
      </x:c>
      <x:c r="B855" s="63" t="str">
        <x:v>E19</x:v>
      </x:c>
      <x:c r="C855" s="63" t="str">
        <x:v>bank_observed_relationship_complexity_index</x:v>
      </x:c>
      <x:c r="D855" s="63" t="str">
        <x:v>RATIO</x:v>
      </x:c>
      <x:c r="E855" s="63" t="str">
        <x:v>OBSERVED</x:v>
      </x:c>
      <x:c r="F855" s="65"/>
      <x:c r="G855" s="66" t="n">
        <x:v>1</x:v>
      </x:c>
      <x:c r="H855" s="67"/>
      <x:c r="I855" s="63"/>
      <x:c r="J855" s="63"/>
      <x:c r="K855" s="63" t="str">
        <x:v>index_0_1</x:v>
      </x:c>
      <x:c r="L855" s="63" t="str">
        <x:v>2025-06-01</x:v>
      </x:c>
      <x:c r="M855" s="63" t="str">
        <x:v>2026-06-30</x:v>
      </x:c>
      <x:c r="N855" s="63" t="str">
        <x:v>2026-06-30</x:v>
      </x:c>
      <x:c r="O855" s="63" t="str">
        <x:v>E0</x:v>
      </x:c>
      <x:c r="P855" s="63" t="str">
        <x:v>APPROVED</x:v>
      </x:c>
      <x:c r="Q855" s="64" t="b">
        <x:v>0</x:v>
      </x:c>
      <x:c r="R855" s="63" t="str">
        <x:v>OPERATING_MODEL</x:v>
      </x:c>
      <x:c r="S855" s="63" t="str">
        <x:v>Syn Bank transaction and relationship simulation</x:v>
      </x:c>
      <x:c r="T855" s="63"/>
      <x:c r="U855" s="63" t="str">
        <x:v>internal://syn-bank/simulation/ltm</x:v>
      </x:c>
      <x:c r="V855" s="63" t="str">
        <x:v>41a8c812000aa97c8210721102fcff66da9d89eaea37bf43c71ae36ce083699f</x:v>
      </x:c>
    </x:row>
    <x:row r="856">
      <x:c r="A856" s="63" t="str">
        <x:v>bec:E19:obs:events:trade-90d</x:v>
      </x:c>
      <x:c r="B856" s="63" t="str">
        <x:v>E19</x:v>
      </x:c>
      <x:c r="C856" s="63" t="str">
        <x:v>bank_observed_trade_events_next_90d</x:v>
      </x:c>
      <x:c r="D856" s="63" t="str">
        <x:v>COUNT</x:v>
      </x:c>
      <x:c r="E856" s="63" t="str">
        <x:v>OBSERVED</x:v>
      </x:c>
      <x:c r="F856" s="65"/>
      <x:c r="G856" s="66"/>
      <x:c r="H856" s="67" t="n">
        <x:v>95</x:v>
      </x:c>
      <x:c r="I856" s="63"/>
      <x:c r="J856" s="63"/>
      <x:c r="K856" s="63" t="str">
        <x:v>events</x:v>
      </x:c>
      <x:c r="L856" s="63" t="str">
        <x:v>2025-06-01</x:v>
      </x:c>
      <x:c r="M856" s="63" t="str">
        <x:v>2026-06-30</x:v>
      </x:c>
      <x:c r="N856" s="63" t="str">
        <x:v>2026-06-30</x:v>
      </x:c>
      <x:c r="O856" s="63" t="str">
        <x:v>E0</x:v>
      </x:c>
      <x:c r="P856" s="63" t="str">
        <x:v>APPROVED</x:v>
      </x:c>
      <x:c r="Q856" s="64" t="b">
        <x:v>1</x:v>
      </x:c>
      <x:c r="R856" s="63" t="str">
        <x:v>OPERATING_MODEL, WORKING_CAPITAL_CYCLE</x:v>
      </x:c>
      <x:c r="S856" s="63" t="str">
        <x:v>Syn Bank transaction and relationship simulation</x:v>
      </x:c>
      <x:c r="T856" s="63"/>
      <x:c r="U856" s="63" t="str">
        <x:v>internal://syn-bank/simulation/ltm</x:v>
      </x:c>
      <x:c r="V856" s="63" t="str">
        <x:v>3ad6df692e5b08361d17241e6a03add506d32d8788549dbbfe3a2bc77170d821</x:v>
      </x:c>
    </x:row>
    <x:row r="857">
      <x:c r="A857" s="63" t="str">
        <x:v>bec:E19:obs:events:trade-90d-value</x:v>
      </x:c>
      <x:c r="B857" s="63" t="str">
        <x:v>E19</x:v>
      </x:c>
      <x:c r="C857" s="63" t="str">
        <x:v>bank_observed_trade_events_value_next_90d</x:v>
      </x:c>
      <x:c r="D857" s="63" t="str">
        <x:v>MONEY</x:v>
      </x:c>
      <x:c r="E857" s="63" t="str">
        <x:v>OBSERVED</x:v>
      </x:c>
      <x:c r="F857" s="65" t="n">
        <x:v>81234932.90999997</x:v>
      </x:c>
      <x:c r="G857" s="66"/>
      <x:c r="H857" s="67"/>
      <x:c r="I857" s="63"/>
      <x:c r="J857" s="63" t="str">
        <x:v>ZAR</x:v>
      </x:c>
      <x:c r="K857" s="63" t="str">
        <x:v>ZAR</x:v>
      </x:c>
      <x:c r="L857" s="63" t="str">
        <x:v>2025-06-01</x:v>
      </x:c>
      <x:c r="M857" s="63" t="str">
        <x:v>2026-06-30</x:v>
      </x:c>
      <x:c r="N857" s="63" t="str">
        <x:v>2026-06-30</x:v>
      </x:c>
      <x:c r="O857" s="63" t="str">
        <x:v>E0</x:v>
      </x:c>
      <x:c r="P857" s="63" t="str">
        <x:v>APPROVED</x:v>
      </x:c>
      <x:c r="Q857" s="64" t="b">
        <x:v>0</x:v>
      </x:c>
      <x:c r="R857" s="63" t="str">
        <x:v>WORKING_CAPITAL_CYCLE</x:v>
      </x:c>
      <x:c r="S857" s="63" t="str">
        <x:v>Syn Bank transaction and relationship simulation</x:v>
      </x:c>
      <x:c r="T857" s="63"/>
      <x:c r="U857" s="63" t="str">
        <x:v>internal://syn-bank/simulation/ltm</x:v>
      </x:c>
      <x:c r="V857" s="63" t="str">
        <x:v>8f6f9bbab6ad52b1fbf9fb0954a95ea3730362279494cffe7f7a5195ac7ebd9a</x:v>
      </x:c>
    </x:row>
    <x:row r="858">
      <x:c r="A858" s="63" t="str">
        <x:v>bec:E19:struct:operating-model</x:v>
      </x:c>
      <x:c r="B858" s="63" t="str">
        <x:v>E19</x:v>
      </x:c>
      <x:c r="C858" s="63" t="str">
        <x:v>sector_operating_model</x:v>
      </x:c>
      <x:c r="D858" s="63" t="str">
        <x:v>TEXTUAL</x:v>
      </x:c>
      <x:c r="E858" s="63" t="str">
        <x:v>SCENARIO</x:v>
      </x:c>
      <x:c r="F858" s="65"/>
      <x:c r="G858" s="66"/>
      <x:c r="H858" s="67"/>
      <x:c r="I858" s="63" t="str">
        <x:v>Manufacturing and distribution operator with regulated product flows and cross-border input sourcing.</x:v>
      </x:c>
      <x:c r="J858" s="63"/>
      <x:c r="K858" s="63" t="str">
        <x:v>statement</x:v>
      </x:c>
      <x:c r="L858" s="63" t="str">
        <x:v>2025-06-01</x:v>
      </x:c>
      <x:c r="M858" s="63" t="str">
        <x:v>2026-06-30</x:v>
      </x:c>
      <x:c r="N858" s="63" t="str">
        <x:v>2026-06-30</x:v>
      </x:c>
      <x:c r="O858" s="63" t="str">
        <x:v>E0</x:v>
      </x:c>
      <x:c r="P858" s="63" t="str">
        <x:v>APPROVED</x:v>
      </x:c>
      <x:c r="Q858" s="64" t="b">
        <x:v>0</x:v>
      </x:c>
      <x:c r="R858" s="63" t="str">
        <x:v>OPERATING_MODEL</x:v>
      </x:c>
      <x:c r="S858" s="63" t="str">
        <x:v>Governed sector operating-model and responsibility policy</x:v>
      </x:c>
      <x:c r="T858" s="63"/>
      <x:c r="U858" s="63" t="str">
        <x:v>internal://v31/governed-policy</x:v>
      </x:c>
      <x:c r="V858" s="63" t="str">
        <x:v>4bae8971eeba6b9d0e8338cb30d9ef3d5d57623c39820ed8affadf095950b069</x:v>
      </x:c>
    </x:row>
    <x:row r="859">
      <x:c r="A859" s="63" t="str">
        <x:v>bec:E19:struct:risk:0</x:v>
      </x:c>
      <x:c r="B859" s="63" t="str">
        <x:v>E19</x:v>
      </x:c>
      <x:c r="C859" s="63" t="str">
        <x:v>sector_primary_risk</x:v>
      </x:c>
      <x:c r="D859" s="63" t="str">
        <x:v>CATEGORICAL</x:v>
      </x:c>
      <x:c r="E859" s="63" t="str">
        <x:v>SCENARIO</x:v>
      </x:c>
      <x:c r="F859" s="65"/>
      <x:c r="G859" s="66"/>
      <x:c r="H859" s="67"/>
      <x:c r="I859" s="63" t="str">
        <x:v>regulatory approval risk</x:v>
      </x:c>
      <x:c r="J859" s="63"/>
      <x:c r="K859" s="63" t="str">
        <x:v>statement</x:v>
      </x:c>
      <x:c r="L859" s="63" t="str">
        <x:v>2025-06-01</x:v>
      </x:c>
      <x:c r="M859" s="63" t="str">
        <x:v>2026-06-30</x:v>
      </x:c>
      <x:c r="N859" s="63" t="str">
        <x:v>2026-06-30</x:v>
      </x:c>
      <x:c r="O859" s="63" t="str">
        <x:v>E0</x:v>
      </x:c>
      <x:c r="P859" s="63" t="str">
        <x:v>APPROVED</x:v>
      </x:c>
      <x:c r="Q859" s="64" t="b">
        <x:v>0</x:v>
      </x:c>
      <x:c r="R859" s="63" t="str">
        <x:v>BUSINESS_AND_FINANCIAL_RISKS</x:v>
      </x:c>
      <x:c r="S859" s="63" t="str">
        <x:v>Governed sector operating-model and responsibility policy</x:v>
      </x:c>
      <x:c r="T859" s="63"/>
      <x:c r="U859" s="63" t="str">
        <x:v>internal://v31/governed-policy</x:v>
      </x:c>
      <x:c r="V859" s="63" t="str">
        <x:v>2f51dcfee1485d66f73467d205050eb6eeb5a583b7c53f52233ae4f9b393a87f</x:v>
      </x:c>
    </x:row>
    <x:row r="860">
      <x:c r="A860" s="63" t="str">
        <x:v>bec:E19:struct:risk:1</x:v>
      </x:c>
      <x:c r="B860" s="63" t="str">
        <x:v>E19</x:v>
      </x:c>
      <x:c r="C860" s="63" t="str">
        <x:v>sector_primary_risk</x:v>
      </x:c>
      <x:c r="D860" s="63" t="str">
        <x:v>CATEGORICAL</x:v>
      </x:c>
      <x:c r="E860" s="63" t="str">
        <x:v>SCENARIO</x:v>
      </x:c>
      <x:c r="F860" s="65"/>
      <x:c r="G860" s="66"/>
      <x:c r="H860" s="67"/>
      <x:c r="I860" s="63" t="str">
        <x:v>input cost inflation</x:v>
      </x:c>
      <x:c r="J860" s="63"/>
      <x:c r="K860" s="63" t="str">
        <x:v>statement</x:v>
      </x:c>
      <x:c r="L860" s="63" t="str">
        <x:v>2025-06-01</x:v>
      </x:c>
      <x:c r="M860" s="63" t="str">
        <x:v>2026-06-30</x:v>
      </x:c>
      <x:c r="N860" s="63" t="str">
        <x:v>2026-06-30</x:v>
      </x:c>
      <x:c r="O860" s="63" t="str">
        <x:v>E0</x:v>
      </x:c>
      <x:c r="P860" s="63" t="str">
        <x:v>APPROVED</x:v>
      </x:c>
      <x:c r="Q860" s="64" t="b">
        <x:v>0</x:v>
      </x:c>
      <x:c r="R860" s="63" t="str">
        <x:v>BUSINESS_AND_FINANCIAL_RISKS</x:v>
      </x:c>
      <x:c r="S860" s="63" t="str">
        <x:v>Governed sector operating-model and responsibility policy</x:v>
      </x:c>
      <x:c r="T860" s="63"/>
      <x:c r="U860" s="63" t="str">
        <x:v>internal://v31/governed-policy</x:v>
      </x:c>
      <x:c r="V860" s="63" t="str">
        <x:v>85ef882ff8a6b70b8c15f3d327ef6715f6c299cc92dedab3ba96ad20ef7e2332</x:v>
      </x:c>
    </x:row>
    <x:row r="861">
      <x:c r="A861" s="63" t="str">
        <x:v>bec:E19:struct:risk:2</x:v>
      </x:c>
      <x:c r="B861" s="63" t="str">
        <x:v>E19</x:v>
      </x:c>
      <x:c r="C861" s="63" t="str">
        <x:v>sector_primary_risk</x:v>
      </x:c>
      <x:c r="D861" s="63" t="str">
        <x:v>CATEGORICAL</x:v>
      </x:c>
      <x:c r="E861" s="63" t="str">
        <x:v>SCENARIO</x:v>
      </x:c>
      <x:c r="F861" s="65"/>
      <x:c r="G861" s="66"/>
      <x:c r="H861" s="67"/>
      <x:c r="I861" s="63" t="str">
        <x:v>supply-chain continuity</x:v>
      </x:c>
      <x:c r="J861" s="63"/>
      <x:c r="K861" s="63" t="str">
        <x:v>statement</x:v>
      </x:c>
      <x:c r="L861" s="63" t="str">
        <x:v>2025-06-01</x:v>
      </x:c>
      <x:c r="M861" s="63" t="str">
        <x:v>2026-06-30</x:v>
      </x:c>
      <x:c r="N861" s="63" t="str">
        <x:v>2026-06-30</x:v>
      </x:c>
      <x:c r="O861" s="63" t="str">
        <x:v>E0</x:v>
      </x:c>
      <x:c r="P861" s="63" t="str">
        <x:v>APPROVED</x:v>
      </x:c>
      <x:c r="Q861" s="64" t="b">
        <x:v>0</x:v>
      </x:c>
      <x:c r="R861" s="63" t="str">
        <x:v>BUSINESS_AND_FINANCIAL_RISKS</x:v>
      </x:c>
      <x:c r="S861" s="63" t="str">
        <x:v>Governed sector operating-model and responsibility policy</x:v>
      </x:c>
      <x:c r="T861" s="63"/>
      <x:c r="U861" s="63" t="str">
        <x:v>internal://v31/governed-policy</x:v>
      </x:c>
      <x:c r="V861" s="63" t="str">
        <x:v>0751cfa02d23638637ba03e6058956ecf1230c209f2becbdb074bfb6d6f82582</x:v>
      </x:c>
    </x:row>
    <x:row r="862">
      <x:c r="A862" s="63" t="str">
        <x:v>bec:E19:struct:responsibility-model</x:v>
      </x:c>
      <x:c r="B862" s="63" t="str">
        <x:v>E19</x:v>
      </x:c>
      <x:c r="C862" s="63" t="str">
        <x:v>stakeholder_responsibility_model</x:v>
      </x:c>
      <x:c r="D862" s="63" t="str">
        <x:v>TEXTUAL</x:v>
      </x:c>
      <x:c r="E862" s="63" t="str">
        <x:v>SCENARIO</x:v>
      </x:c>
      <x:c r="F862" s="65"/>
      <x:c r="G862" s="66"/>
      <x:c r="H862" s="67"/>
      <x:c r="I862" s="63" t="str">
        <x:v>Responsibility is assigned by role persona using governed matrix v31-stakeholder-responsibility-3.1.0. Named individuals are not resolved in the demonstration and require CRM entitlement checks in production.</x:v>
      </x:c>
      <x:c r="J862" s="63"/>
      <x:c r="K862" s="63" t="str">
        <x:v>statement</x:v>
      </x:c>
      <x:c r="L862" s="63" t="str">
        <x:v>2025-06-01</x:v>
      </x:c>
      <x:c r="M862" s="63" t="str">
        <x:v>2026-06-30</x:v>
      </x:c>
      <x:c r="N862" s="63" t="str">
        <x:v>2026-06-30</x:v>
      </x:c>
      <x:c r="O862" s="63" t="str">
        <x:v>E0</x:v>
      </x:c>
      <x:c r="P862" s="63" t="str">
        <x:v>APPROVED</x:v>
      </x:c>
      <x:c r="Q862" s="64" t="b">
        <x:v>0</x:v>
      </x:c>
      <x:c r="R862" s="63" t="str">
        <x:v>STAKEHOLDER_RESPONSIBILITY</x:v>
      </x:c>
      <x:c r="S862" s="63" t="str">
        <x:v>Governed sector operating-model and responsibility policy</x:v>
      </x:c>
      <x:c r="T862" s="63"/>
      <x:c r="U862" s="63" t="str">
        <x:v>internal://v31/governed-policy</x:v>
      </x:c>
      <x:c r="V862" s="63" t="str">
        <x:v>be6b9d416fb2f0cfe15466b6f8e12486e7ae03bdf71e7ac0322de20bb9c16d37</x:v>
      </x:c>
    </x:row>
    <x:row r="863">
      <x:c r="A863" s="63" t="str">
        <x:v>bec:E19:struct:responsibility:fx_exposure</x:v>
      </x:c>
      <x:c r="B863" s="63" t="str">
        <x:v>E19</x:v>
      </x:c>
      <x:c r="C863" s="63" t="str">
        <x:v>problem_role_ownership</x:v>
      </x:c>
      <x:c r="D863" s="63" t="str">
        <x:v>STRUCTURE_RELATIONSHIP</x:v>
      </x:c>
      <x:c r="E863" s="63" t="str">
        <x:v>SCENARIO</x:v>
      </x:c>
      <x:c r="F863" s="65"/>
      <x:c r="G863" s="66"/>
      <x:c r="H863" s="67"/>
      <x:c r="I863" s="63"/>
      <x:c r="J863" s="63"/>
      <x:c r="K863" s="63" t="str">
        <x:v>statement</x:v>
      </x:c>
      <x:c r="L863" s="63" t="str">
        <x:v>2025-06-01</x:v>
      </x:c>
      <x:c r="M863" s="63" t="str">
        <x:v>2026-06-30</x:v>
      </x:c>
      <x:c r="N863" s="63" t="str">
        <x:v>2026-06-30</x:v>
      </x:c>
      <x:c r="O863" s="63" t="str">
        <x:v>E0</x:v>
      </x:c>
      <x:c r="P863" s="63" t="str">
        <x:v>APPROVED</x:v>
      </x:c>
      <x:c r="Q863" s="64" t="b">
        <x:v>0</x:v>
      </x:c>
      <x:c r="R863" s="63" t="str">
        <x:v>STAKEHOLDER_RESPONSIBILITY</x:v>
      </x:c>
      <x:c r="S863" s="63" t="str">
        <x:v>Governed sector operating-model and responsibility policy</x:v>
      </x:c>
      <x:c r="T863" s="63"/>
      <x:c r="U863" s="63" t="str">
        <x:v>internal://v31/governed-policy</x:v>
      </x:c>
      <x:c r="V863" s="63" t="str">
        <x:v>4944137e3f05e46ee265f424546f9e4437cca584134570b2ccc5e828edd9142a</x:v>
      </x:c>
    </x:row>
    <x:row r="864">
      <x:c r="A864" s="63" t="str">
        <x:v>bec:E19:struct:responsibility:refinancing_cliff</x:v>
      </x:c>
      <x:c r="B864" s="63" t="str">
        <x:v>E19</x:v>
      </x:c>
      <x:c r="C864" s="63" t="str">
        <x:v>problem_role_ownership</x:v>
      </x:c>
      <x:c r="D864" s="63" t="str">
        <x:v>STRUCTURE_RELATIONSHIP</x:v>
      </x:c>
      <x:c r="E864" s="63" t="str">
        <x:v>SCENARIO</x:v>
      </x:c>
      <x:c r="F864" s="65"/>
      <x:c r="G864" s="66"/>
      <x:c r="H864" s="67"/>
      <x:c r="I864" s="63"/>
      <x:c r="J864" s="63"/>
      <x:c r="K864" s="63" t="str">
        <x:v>statement</x:v>
      </x:c>
      <x:c r="L864" s="63" t="str">
        <x:v>2025-06-01</x:v>
      </x:c>
      <x:c r="M864" s="63" t="str">
        <x:v>2026-06-30</x:v>
      </x:c>
      <x:c r="N864" s="63" t="str">
        <x:v>2026-06-30</x:v>
      </x:c>
      <x:c r="O864" s="63" t="str">
        <x:v>E0</x:v>
      </x:c>
      <x:c r="P864" s="63" t="str">
        <x:v>APPROVED</x:v>
      </x:c>
      <x:c r="Q864" s="64" t="b">
        <x:v>0</x:v>
      </x:c>
      <x:c r="R864" s="63" t="str">
        <x:v>STAKEHOLDER_RESPONSIBILITY</x:v>
      </x:c>
      <x:c r="S864" s="63" t="str">
        <x:v>Governed sector operating-model and responsibility policy</x:v>
      </x:c>
      <x:c r="T864" s="63"/>
      <x:c r="U864" s="63" t="str">
        <x:v>internal://v31/governed-policy</x:v>
      </x:c>
      <x:c r="V864" s="63" t="str">
        <x:v>1587ea11a6fd032274c800188ab77879373075d9023ca04d0bd1ab1e8f9ea034</x:v>
      </x:c>
    </x:row>
    <x:row r="865">
      <x:c r="A865" s="63" t="str">
        <x:v>bec:E19:struct:responsibility:working_capital_pressure</x:v>
      </x:c>
      <x:c r="B865" s="63" t="str">
        <x:v>E19</x:v>
      </x:c>
      <x:c r="C865" s="63" t="str">
        <x:v>problem_role_ownership</x:v>
      </x:c>
      <x:c r="D865" s="63" t="str">
        <x:v>STRUCTURE_RELATIONSHIP</x:v>
      </x:c>
      <x:c r="E865" s="63" t="str">
        <x:v>SCENARIO</x:v>
      </x:c>
      <x:c r="F865" s="65"/>
      <x:c r="G865" s="66"/>
      <x:c r="H865" s="67"/>
      <x:c r="I865" s="63"/>
      <x:c r="J865" s="63"/>
      <x:c r="K865" s="63" t="str">
        <x:v>statement</x:v>
      </x:c>
      <x:c r="L865" s="63" t="str">
        <x:v>2025-06-01</x:v>
      </x:c>
      <x:c r="M865" s="63" t="str">
        <x:v>2026-06-30</x:v>
      </x:c>
      <x:c r="N865" s="63" t="str">
        <x:v>2026-06-30</x:v>
      </x:c>
      <x:c r="O865" s="63" t="str">
        <x:v>E0</x:v>
      </x:c>
      <x:c r="P865" s="63" t="str">
        <x:v>APPROVED</x:v>
      </x:c>
      <x:c r="Q865" s="64" t="b">
        <x:v>0</x:v>
      </x:c>
      <x:c r="R865" s="63" t="str">
        <x:v>STAKEHOLDER_RESPONSIBILITY</x:v>
      </x:c>
      <x:c r="S865" s="63" t="str">
        <x:v>Governed sector operating-model and responsibility policy</x:v>
      </x:c>
      <x:c r="T865" s="63"/>
      <x:c r="U865" s="63" t="str">
        <x:v>internal://v31/governed-policy</x:v>
      </x:c>
      <x:c r="V865" s="63" t="str">
        <x:v>1ddfc8cd520b7aab976c5b175c8909d69709f2a1710b92da909e2a0e05210c36</x:v>
      </x:c>
    </x:row>
    <x:row r="866">
      <x:c r="A866" s="63" t="str">
        <x:v>bec:SHC-2025-REV</x:v>
      </x:c>
      <x:c r="B866" s="63" t="str">
        <x:v>E20</x:v>
      </x:c>
      <x:c r="C866" s="63" t="str">
        <x:v>revenue</x:v>
      </x:c>
      <x:c r="D866" s="63" t="str">
        <x:v>MONEY</x:v>
      </x:c>
      <x:c r="E866" s="63" t="str">
        <x:v>OBSERVED</x:v>
      </x:c>
      <x:c r="F866" s="65" t="n">
        <x:v>238.9</x:v>
      </x:c>
      <x:c r="G866" s="66"/>
      <x:c r="H866" s="67"/>
      <x:c r="I866" s="63"/>
      <x:c r="J866" s="63" t="str">
        <x:v>GBP</x:v>
      </x:c>
      <x:c r="K866" s="63" t="str">
        <x:v>million</x:v>
      </x:c>
      <x:c r="L866" s="63" t="str">
        <x:v>2025-01-01</x:v>
      </x:c>
      <x:c r="M866" s="63" t="str">
        <x:v>2025-12-31</x:v>
      </x:c>
      <x:c r="N866" s="63" t="str">
        <x:v>2026-02-25</x:v>
      </x:c>
      <x:c r="O866" s="63" t="str">
        <x:v>E1</x:v>
      </x:c>
      <x:c r="P866" s="63" t="str">
        <x:v>PENDING_REVIEW</x:v>
      </x:c>
      <x:c r="Q866" s="64" t="b">
        <x:v>1</x:v>
      </x:c>
      <x:c r="R866" s="63" t="str">
        <x:v>REVENUE_ENGINE</x:v>
      </x:c>
      <x:c r="S866" s="63" t="str">
        <x:v>Shaftesbury Capital Audited Preliminary Results 2025</x:v>
      </x:c>
      <x:c r="T866" s="63" t="n">
        <x:v>21</x:v>
      </x:c>
      <x:c r="U866" s="63" t="str">
        <x:v>https://senspdf.jse.co.za/documents/2026/JSE/isse/SHCE/FY25Result.pdf</x:v>
      </x:c>
      <x:c r="V866" s="63" t="str">
        <x:v>71bcff13a20668eea8842f5ef28273ba787b0042b2fe7e1ea9faeb03b581ed53</x:v>
      </x:c>
    </x:row>
    <x:row r="867">
      <x:c r="A867" s="63" t="str">
        <x:v>bec:SHC-2025-CASH</x:v>
      </x:c>
      <x:c r="B867" s="63" t="str">
        <x:v>E20</x:v>
      </x:c>
      <x:c r="C867" s="63" t="str">
        <x:v>cash_and_cash_equivalents</x:v>
      </x:c>
      <x:c r="D867" s="63" t="str">
        <x:v>MONEY</x:v>
      </x:c>
      <x:c r="E867" s="63" t="str">
        <x:v>OBSERVED</x:v>
      </x:c>
      <x:c r="F867" s="65" t="n">
        <x:v>361.4</x:v>
      </x:c>
      <x:c r="G867" s="66"/>
      <x:c r="H867" s="67"/>
      <x:c r="I867" s="63"/>
      <x:c r="J867" s="63" t="str">
        <x:v>GBP</x:v>
      </x:c>
      <x:c r="K867" s="63" t="str">
        <x:v>million</x:v>
      </x:c>
      <x:c r="L867" s="63" t="str">
        <x:v>2025-12-31</x:v>
      </x:c>
      <x:c r="M867" s="63" t="str">
        <x:v>2025-12-31</x:v>
      </x:c>
      <x:c r="N867" s="63" t="str">
        <x:v>2026-02-25</x:v>
      </x:c>
      <x:c r="O867" s="63" t="str">
        <x:v>E1</x:v>
      </x:c>
      <x:c r="P867" s="63" t="str">
        <x:v>PENDING_REVIEW</x:v>
      </x:c>
      <x:c r="Q867" s="64" t="b">
        <x:v>1</x:v>
      </x:c>
      <x:c r="R867" s="63" t="str">
        <x:v>LIQUIDITY_AND_BUFFER</x:v>
      </x:c>
      <x:c r="S867" s="63" t="str">
        <x:v>Shaftesbury Capital Audited Preliminary Results 2025</x:v>
      </x:c>
      <x:c r="T867" s="63" t="n">
        <x:v>22</x:v>
      </x:c>
      <x:c r="U867" s="63" t="str">
        <x:v>https://senspdf.jse.co.za/documents/2026/JSE/isse/SHCE/FY25Result.pdf</x:v>
      </x:c>
      <x:c r="V867" s="63" t="str">
        <x:v>71bcff13a20668eea8842f5ef28273ba787b0042b2fe7e1ea9faeb03b581ed53</x:v>
      </x:c>
    </x:row>
    <x:row r="868">
      <x:c r="A868" s="63" t="str">
        <x:v>bec:SHC-2025-DEBT</x:v>
      </x:c>
      <x:c r="B868" s="63" t="str">
        <x:v>E20</x:v>
      </x:c>
      <x:c r="C868" s="63" t="str">
        <x:v>current_debt</x:v>
      </x:c>
      <x:c r="D868" s="63" t="str">
        <x:v>MONEY</x:v>
      </x:c>
      <x:c r="E868" s="63" t="str">
        <x:v>OBSERVED</x:v>
      </x:c>
      <x:c r="F868" s="65" t="n">
        <x:v>438.4</x:v>
      </x:c>
      <x:c r="G868" s="66"/>
      <x:c r="H868" s="67"/>
      <x:c r="I868" s="63"/>
      <x:c r="J868" s="63" t="str">
        <x:v>GBP</x:v>
      </x:c>
      <x:c r="K868" s="63" t="str">
        <x:v>million</x:v>
      </x:c>
      <x:c r="L868" s="63" t="str">
        <x:v>2025-12-31</x:v>
      </x:c>
      <x:c r="M868" s="63" t="str">
        <x:v>2025-12-31</x:v>
      </x:c>
      <x:c r="N868" s="63" t="str">
        <x:v>2026-02-25</x:v>
      </x:c>
      <x:c r="O868" s="63" t="str">
        <x:v>E1</x:v>
      </x:c>
      <x:c r="P868" s="63" t="str">
        <x:v>PENDING_REVIEW</x:v>
      </x:c>
      <x:c r="Q868" s="64" t="b">
        <x:v>1</x:v>
      </x:c>
      <x:c r="R868" s="63" t="str">
        <x:v>FUNDING_STRUCTURE</x:v>
      </x:c>
      <x:c r="S868" s="63" t="str">
        <x:v>Shaftesbury Capital Audited Preliminary Results 2025</x:v>
      </x:c>
      <x:c r="T868" s="63" t="n">
        <x:v>22</x:v>
      </x:c>
      <x:c r="U868" s="63" t="str">
        <x:v>https://senspdf.jse.co.za/documents/2026/JSE/isse/SHCE/FY25Result.pdf</x:v>
      </x:c>
      <x:c r="V868" s="63" t="str">
        <x:v>71bcff13a20668eea8842f5ef28273ba787b0042b2fe7e1ea9faeb03b581ed53</x:v>
      </x:c>
    </x:row>
    <x:row r="869">
      <x:c r="A869" s="63" t="str">
        <x:v>bec:E20:obs:flow:collections</x:v>
      </x:c>
      <x:c r="B869" s="63" t="str">
        <x:v>E20</x:v>
      </x:c>
      <x:c r="C869" s="63" t="str">
        <x:v>bank_observed_collections_ltm</x:v>
      </x:c>
      <x:c r="D869" s="63" t="str">
        <x:v>MONEY</x:v>
      </x:c>
      <x:c r="E869" s="63" t="str">
        <x:v>OBSERVED</x:v>
      </x:c>
      <x:c r="F869" s="65" t="n">
        <x:v>5709543.5200000005</x:v>
      </x:c>
      <x:c r="G869" s="66"/>
      <x:c r="H869" s="67"/>
      <x:c r="I869" s="63"/>
      <x:c r="J869" s="63" t="str">
        <x:v>ZAR</x:v>
      </x:c>
      <x:c r="K869" s="63" t="str">
        <x:v>ZAR</x:v>
      </x:c>
      <x:c r="L869" s="63" t="str">
        <x:v>2025-06-01</x:v>
      </x:c>
      <x:c r="M869" s="63" t="str">
        <x:v>2026-06-30</x:v>
      </x:c>
      <x:c r="N869" s="63" t="str">
        <x:v>2026-06-30</x:v>
      </x:c>
      <x:c r="O869" s="63" t="str">
        <x:v>E0</x:v>
      </x:c>
      <x:c r="P869" s="63" t="str">
        <x:v>APPROVED</x:v>
      </x:c>
      <x:c r="Q869" s="64" t="b">
        <x:v>1</x:v>
      </x:c>
      <x:c r="R869" s="63" t="str">
        <x:v>REVENUE_ENGINE, WORKING_CAPITAL_CYCLE</x:v>
      </x:c>
      <x:c r="S869" s="63" t="str">
        <x:v>Syn Bank transaction and relationship simulation</x:v>
      </x:c>
      <x:c r="T869" s="63"/>
      <x:c r="U869" s="63" t="str">
        <x:v>internal://syn-bank/simulation/ltm</x:v>
      </x:c>
      <x:c r="V869" s="63" t="str">
        <x:v>c247a62fddb7d4270c268d0938b710a94c4a3272ac894cd7460c6f49b0b3bbcd</x:v>
      </x:c>
    </x:row>
    <x:row r="870">
      <x:c r="A870" s="63" t="str">
        <x:v>bec:E20:obs:trend:collections</x:v>
      </x:c>
      <x:c r="B870" s="63" t="str">
        <x:v>E20</x:v>
      </x:c>
      <x:c r="C870" s="63" t="str">
        <x:v>bank_observed_collections_yoy_change</x:v>
      </x:c>
      <x:c r="D870" s="63" t="str">
        <x:v>RATIO</x:v>
      </x:c>
      <x:c r="E870" s="63" t="str">
        <x:v>OBSERVED</x:v>
      </x:c>
      <x:c r="F870" s="65"/>
      <x:c r="G870" s="66" t="n">
        <x:v>-0.090644</x:v>
      </x:c>
      <x:c r="H870" s="67"/>
      <x:c r="I870" s="63"/>
      <x:c r="J870" s="63"/>
      <x:c r="K870" s="63" t="str">
        <x:v>ratio</x:v>
      </x:c>
      <x:c r="L870" s="63" t="str">
        <x:v>2025-06-01</x:v>
      </x:c>
      <x:c r="M870" s="63" t="str">
        <x:v>2026-06-30</x:v>
      </x:c>
      <x:c r="N870" s="63" t="str">
        <x:v>2026-06-30</x:v>
      </x:c>
      <x:c r="O870" s="63" t="str">
        <x:v>E0</x:v>
      </x:c>
      <x:c r="P870" s="63" t="str">
        <x:v>APPROVED</x:v>
      </x:c>
      <x:c r="Q870" s="64" t="b">
        <x:v>0</x:v>
      </x:c>
      <x:c r="R870" s="63" t="str">
        <x:v>REVENUE_ENGINE, WORKING_CAPITAL_CYCLE</x:v>
      </x:c>
      <x:c r="S870" s="63" t="str">
        <x:v>Syn Bank transaction and relationship simulation</x:v>
      </x:c>
      <x:c r="T870" s="63"/>
      <x:c r="U870" s="63" t="str">
        <x:v>internal://syn-bank/simulation/ltm</x:v>
      </x:c>
      <x:c r="V870" s="63" t="str">
        <x:v>475b2fc680b3a5cdbaaf3dea8bbdd9e0cecb7f892ad461e056b573db1ff530c8</x:v>
      </x:c>
    </x:row>
    <x:row r="871">
      <x:c r="A871" s="63" t="str">
        <x:v>bec:E20:obs:flow:payments</x:v>
      </x:c>
      <x:c r="B871" s="63" t="str">
        <x:v>E20</x:v>
      </x:c>
      <x:c r="C871" s="63" t="str">
        <x:v>bank_observed_payments_ltm</x:v>
      </x:c>
      <x:c r="D871" s="63" t="str">
        <x:v>MONEY</x:v>
      </x:c>
      <x:c r="E871" s="63" t="str">
        <x:v>OBSERVED</x:v>
      </x:c>
      <x:c r="F871" s="65" t="n">
        <x:v>6186933.430000001</x:v>
      </x:c>
      <x:c r="G871" s="66"/>
      <x:c r="H871" s="67"/>
      <x:c r="I871" s="63"/>
      <x:c r="J871" s="63" t="str">
        <x:v>ZAR</x:v>
      </x:c>
      <x:c r="K871" s="63" t="str">
        <x:v>ZAR</x:v>
      </x:c>
      <x:c r="L871" s="63" t="str">
        <x:v>2025-06-01</x:v>
      </x:c>
      <x:c r="M871" s="63" t="str">
        <x:v>2026-06-30</x:v>
      </x:c>
      <x:c r="N871" s="63" t="str">
        <x:v>2026-06-30</x:v>
      </x:c>
      <x:c r="O871" s="63" t="str">
        <x:v>E0</x:v>
      </x:c>
      <x:c r="P871" s="63" t="str">
        <x:v>APPROVED</x:v>
      </x:c>
      <x:c r="Q871" s="64" t="b">
        <x:v>1</x:v>
      </x:c>
      <x:c r="R871" s="63" t="str">
        <x:v>COST_ENGINE, WORKING_CAPITAL_CYCLE</x:v>
      </x:c>
      <x:c r="S871" s="63" t="str">
        <x:v>Syn Bank transaction and relationship simulation</x:v>
      </x:c>
      <x:c r="T871" s="63"/>
      <x:c r="U871" s="63" t="str">
        <x:v>internal://syn-bank/simulation/ltm</x:v>
      </x:c>
      <x:c r="V871" s="63" t="str">
        <x:v>74325794bcac604b4ec93658364a29bf0de9cebcf343f7514d78ff50a5e55403</x:v>
      </x:c>
    </x:row>
    <x:row r="872">
      <x:c r="A872" s="63" t="str">
        <x:v>bec:E20:obs:trend:payments</x:v>
      </x:c>
      <x:c r="B872" s="63" t="str">
        <x:v>E20</x:v>
      </x:c>
      <x:c r="C872" s="63" t="str">
        <x:v>bank_observed_payments_yoy_change</x:v>
      </x:c>
      <x:c r="D872" s="63" t="str">
        <x:v>RATIO</x:v>
      </x:c>
      <x:c r="E872" s="63" t="str">
        <x:v>OBSERVED</x:v>
      </x:c>
      <x:c r="F872" s="65"/>
      <x:c r="G872" s="66" t="n">
        <x:v>0.037749</x:v>
      </x:c>
      <x:c r="H872" s="67"/>
      <x:c r="I872" s="63"/>
      <x:c r="J872" s="63"/>
      <x:c r="K872" s="63" t="str">
        <x:v>ratio</x:v>
      </x:c>
      <x:c r="L872" s="63" t="str">
        <x:v>2025-06-01</x:v>
      </x:c>
      <x:c r="M872" s="63" t="str">
        <x:v>2026-06-30</x:v>
      </x:c>
      <x:c r="N872" s="63" t="str">
        <x:v>2026-06-30</x:v>
      </x:c>
      <x:c r="O872" s="63" t="str">
        <x:v>E0</x:v>
      </x:c>
      <x:c r="P872" s="63" t="str">
        <x:v>APPROVED</x:v>
      </x:c>
      <x:c r="Q872" s="64" t="b">
        <x:v>0</x:v>
      </x:c>
      <x:c r="R872" s="63" t="str">
        <x:v>COST_ENGINE, WORKING_CAPITAL_CYCLE</x:v>
      </x:c>
      <x:c r="S872" s="63" t="str">
        <x:v>Syn Bank transaction and relationship simulation</x:v>
      </x:c>
      <x:c r="T872" s="63"/>
      <x:c r="U872" s="63" t="str">
        <x:v>internal://syn-bank/simulation/ltm</x:v>
      </x:c>
      <x:c r="V872" s="63" t="str">
        <x:v>582698ef7429bb96dce7ad60035b1e7874da9f6c21754282f4a256b4e4225388</x:v>
      </x:c>
    </x:row>
    <x:row r="873">
      <x:c r="A873" s="63" t="str">
        <x:v>bec:E20:obs:flow:liquidity</x:v>
      </x:c>
      <x:c r="B873" s="63" t="str">
        <x:v>E20</x:v>
      </x:c>
      <x:c r="C873" s="63" t="str">
        <x:v>bank_observed_liquidity_ltm</x:v>
      </x:c>
      <x:c r="D873" s="63" t="str">
        <x:v>MONEY</x:v>
      </x:c>
      <x:c r="E873" s="63" t="str">
        <x:v>OBSERVED</x:v>
      </x:c>
      <x:c r="F873" s="65" t="n">
        <x:v>5948238.475000001</x:v>
      </x:c>
      <x:c r="G873" s="66"/>
      <x:c r="H873" s="67"/>
      <x:c r="I873" s="63"/>
      <x:c r="J873" s="63" t="str">
        <x:v>ZAR</x:v>
      </x:c>
      <x:c r="K873" s="63" t="str">
        <x:v>ZAR</x:v>
      </x:c>
      <x:c r="L873" s="63" t="str">
        <x:v>2025-06-01</x:v>
      </x:c>
      <x:c r="M873" s="63" t="str">
        <x:v>2026-06-30</x:v>
      </x:c>
      <x:c r="N873" s="63" t="str">
        <x:v>2026-06-30</x:v>
      </x:c>
      <x:c r="O873" s="63" t="str">
        <x:v>E0</x:v>
      </x:c>
      <x:c r="P873" s="63" t="str">
        <x:v>APPROVED</x:v>
      </x:c>
      <x:c r="Q873" s="64" t="b">
        <x:v>1</x:v>
      </x:c>
      <x:c r="R873" s="63" t="str">
        <x:v>LIQUIDITY_AND_BUFFER</x:v>
      </x:c>
      <x:c r="S873" s="63" t="str">
        <x:v>Syn Bank transaction and relationship simulation</x:v>
      </x:c>
      <x:c r="T873" s="63"/>
      <x:c r="U873" s="63" t="str">
        <x:v>internal://syn-bank/simulation/ltm</x:v>
      </x:c>
      <x:c r="V873" s="63" t="str">
        <x:v>bc753ffffc764789307a39ef449da9091d93e87b21df86eec80dc608432478c4</x:v>
      </x:c>
    </x:row>
    <x:row r="874">
      <x:c r="A874" s="63" t="str">
        <x:v>bec:E20:obs:trend:liquidity</x:v>
      </x:c>
      <x:c r="B874" s="63" t="str">
        <x:v>E20</x:v>
      </x:c>
      <x:c r="C874" s="63" t="str">
        <x:v>bank_observed_liquidity_yoy_change</x:v>
      </x:c>
      <x:c r="D874" s="63" t="str">
        <x:v>RATIO</x:v>
      </x:c>
      <x:c r="E874" s="63" t="str">
        <x:v>OBSERVED</x:v>
      </x:c>
      <x:c r="F874" s="65"/>
      <x:c r="G874" s="66" t="n">
        <x:v>-0.028109</x:v>
      </x:c>
      <x:c r="H874" s="67"/>
      <x:c r="I874" s="63"/>
      <x:c r="J874" s="63"/>
      <x:c r="K874" s="63" t="str">
        <x:v>ratio</x:v>
      </x:c>
      <x:c r="L874" s="63" t="str">
        <x:v>2025-06-01</x:v>
      </x:c>
      <x:c r="M874" s="63" t="str">
        <x:v>2026-06-30</x:v>
      </x:c>
      <x:c r="N874" s="63" t="str">
        <x:v>2026-06-30</x:v>
      </x:c>
      <x:c r="O874" s="63" t="str">
        <x:v>E0</x:v>
      </x:c>
      <x:c r="P874" s="63" t="str">
        <x:v>APPROVED</x:v>
      </x:c>
      <x:c r="Q874" s="64" t="b">
        <x:v>0</x:v>
      </x:c>
      <x:c r="R874" s="63" t="str">
        <x:v>LIQUIDITY_AND_BUFFER</x:v>
      </x:c>
      <x:c r="S874" s="63" t="str">
        <x:v>Syn Bank transaction and relationship simulation</x:v>
      </x:c>
      <x:c r="T874" s="63"/>
      <x:c r="U874" s="63" t="str">
        <x:v>internal://syn-bank/simulation/ltm</x:v>
      </x:c>
      <x:c r="V874" s="63" t="str">
        <x:v>70616c01f441b89465a54f3c1f9c11db7a497c3f798619088ba6baf27d6cb116</x:v>
      </x:c>
    </x:row>
    <x:row r="875">
      <x:c r="A875" s="63" t="str">
        <x:v>bec:E20:obs:flow:cross-border-fx</x:v>
      </x:c>
      <x:c r="B875" s="63" t="str">
        <x:v>E20</x:v>
      </x:c>
      <x:c r="C875" s="63" t="str">
        <x:v>bank_observed_cross_border_fx_ltm</x:v>
      </x:c>
      <x:c r="D875" s="63" t="str">
        <x:v>MONEY</x:v>
      </x:c>
      <x:c r="E875" s="63" t="str">
        <x:v>OBSERVED</x:v>
      </x:c>
      <x:c r="F875" s="65" t="n">
        <x:v>111379150.66000001</x:v>
      </x:c>
      <x:c r="G875" s="66"/>
      <x:c r="H875" s="67"/>
      <x:c r="I875" s="63"/>
      <x:c r="J875" s="63" t="str">
        <x:v>ZAR</x:v>
      </x:c>
      <x:c r="K875" s="63" t="str">
        <x:v>ZAR</x:v>
      </x:c>
      <x:c r="L875" s="63" t="str">
        <x:v>2025-06-01</x:v>
      </x:c>
      <x:c r="M875" s="63" t="str">
        <x:v>2026-06-30</x:v>
      </x:c>
      <x:c r="N875" s="63" t="str">
        <x:v>2026-06-30</x:v>
      </x:c>
      <x:c r="O875" s="63" t="str">
        <x:v>E0</x:v>
      </x:c>
      <x:c r="P875" s="63" t="str">
        <x:v>APPROVED</x:v>
      </x:c>
      <x:c r="Q875" s="64" t="b">
        <x:v>1</x:v>
      </x:c>
      <x:c r="R875" s="63" t="str">
        <x:v>CURRENCY_AND_COMMODITY_EXPOSURE, GEOGRAPHIC_EXPOSURE</x:v>
      </x:c>
      <x:c r="S875" s="63" t="str">
        <x:v>Syn Bank transaction and relationship simulation</x:v>
      </x:c>
      <x:c r="T875" s="63"/>
      <x:c r="U875" s="63" t="str">
        <x:v>internal://syn-bank/simulation/ltm</x:v>
      </x:c>
      <x:c r="V875" s="63" t="str">
        <x:v>400ab3f916d64385e304c33f1c73674dd0cf21ca00267b0c61d52f7f42afe59d</x:v>
      </x:c>
    </x:row>
    <x:row r="876">
      <x:c r="A876" s="63" t="str">
        <x:v>bec:E20:obs:trend:cross-border-fx</x:v>
      </x:c>
      <x:c r="B876" s="63" t="str">
        <x:v>E20</x:v>
      </x:c>
      <x:c r="C876" s="63" t="str">
        <x:v>bank_observed_cross_border_fx_yoy_change</x:v>
      </x:c>
      <x:c r="D876" s="63" t="str">
        <x:v>RATIO</x:v>
      </x:c>
      <x:c r="E876" s="63" t="str">
        <x:v>OBSERVED</x:v>
      </x:c>
      <x:c r="F876" s="65"/>
      <x:c r="G876" s="66" t="n">
        <x:v>-0.128137</x:v>
      </x:c>
      <x:c r="H876" s="67"/>
      <x:c r="I876" s="63"/>
      <x:c r="J876" s="63"/>
      <x:c r="K876" s="63" t="str">
        <x:v>ratio</x:v>
      </x:c>
      <x:c r="L876" s="63" t="str">
        <x:v>2025-06-01</x:v>
      </x:c>
      <x:c r="M876" s="63" t="str">
        <x:v>2026-06-30</x:v>
      </x:c>
      <x:c r="N876" s="63" t="str">
        <x:v>2026-06-30</x:v>
      </x:c>
      <x:c r="O876" s="63" t="str">
        <x:v>E0</x:v>
      </x:c>
      <x:c r="P876" s="63" t="str">
        <x:v>APPROVED</x:v>
      </x:c>
      <x:c r="Q876" s="64" t="b">
        <x:v>0</x:v>
      </x:c>
      <x:c r="R876" s="63" t="str">
        <x:v>CURRENCY_AND_COMMODITY_EXPOSURE, GEOGRAPHIC_EXPOSURE</x:v>
      </x:c>
      <x:c r="S876" s="63" t="str">
        <x:v>Syn Bank transaction and relationship simulation</x:v>
      </x:c>
      <x:c r="T876" s="63"/>
      <x:c r="U876" s="63" t="str">
        <x:v>internal://syn-bank/simulation/ltm</x:v>
      </x:c>
      <x:c r="V876" s="63" t="str">
        <x:v>4f557a3291389749054f4559c573a23f6ecf64f5308acac189b3408ee2a5d7f4</x:v>
      </x:c>
    </x:row>
    <x:row r="877">
      <x:c r="A877" s="63" t="str">
        <x:v>bec:E20:obs:flow:trade-finance</x:v>
      </x:c>
      <x:c r="B877" s="63" t="str">
        <x:v>E20</x:v>
      </x:c>
      <x:c r="C877" s="63" t="str">
        <x:v>bank_observed_trade_finance_ltm</x:v>
      </x:c>
      <x:c r="D877" s="63" t="str">
        <x:v>MONEY</x:v>
      </x:c>
      <x:c r="E877" s="63" t="str">
        <x:v>OBSERVED</x:v>
      </x:c>
      <x:c r="F877" s="65" t="n">
        <x:v>8340761.67</x:v>
      </x:c>
      <x:c r="G877" s="66"/>
      <x:c r="H877" s="67"/>
      <x:c r="I877" s="63"/>
      <x:c r="J877" s="63" t="str">
        <x:v>ZAR</x:v>
      </x:c>
      <x:c r="K877" s="63" t="str">
        <x:v>ZAR</x:v>
      </x:c>
      <x:c r="L877" s="63" t="str">
        <x:v>2025-06-01</x:v>
      </x:c>
      <x:c r="M877" s="63" t="str">
        <x:v>2026-06-30</x:v>
      </x:c>
      <x:c r="N877" s="63" t="str">
        <x:v>2026-06-30</x:v>
      </x:c>
      <x:c r="O877" s="63" t="str">
        <x:v>E0</x:v>
      </x:c>
      <x:c r="P877" s="63" t="str">
        <x:v>APPROVED</x:v>
      </x:c>
      <x:c r="Q877" s="64" t="b">
        <x:v>1</x:v>
      </x:c>
      <x:c r="R877" s="63" t="str">
        <x:v>WORKING_CAPITAL_CYCLE, OPERATING_MODEL</x:v>
      </x:c>
      <x:c r="S877" s="63" t="str">
        <x:v>Syn Bank transaction and relationship simulation</x:v>
      </x:c>
      <x:c r="T877" s="63"/>
      <x:c r="U877" s="63" t="str">
        <x:v>internal://syn-bank/simulation/ltm</x:v>
      </x:c>
      <x:c r="V877" s="63" t="str">
        <x:v>70f7502f05f86030b9a69e56906966cb075dc5f7ba7718ffb58324ba1b2fd83f</x:v>
      </x:c>
    </x:row>
    <x:row r="878">
      <x:c r="A878" s="63" t="str">
        <x:v>bec:E20:obs:trend:trade-finance</x:v>
      </x:c>
      <x:c r="B878" s="63" t="str">
        <x:v>E20</x:v>
      </x:c>
      <x:c r="C878" s="63" t="str">
        <x:v>bank_observed_trade_finance_yoy_change</x:v>
      </x:c>
      <x:c r="D878" s="63" t="str">
        <x:v>RATIO</x:v>
      </x:c>
      <x:c r="E878" s="63" t="str">
        <x:v>OBSERVED</x:v>
      </x:c>
      <x:c r="F878" s="65"/>
      <x:c r="G878" s="66" t="n">
        <x:v>2.58097</x:v>
      </x:c>
      <x:c r="H878" s="67"/>
      <x:c r="I878" s="63"/>
      <x:c r="J878" s="63"/>
      <x:c r="K878" s="63" t="str">
        <x:v>ratio</x:v>
      </x:c>
      <x:c r="L878" s="63" t="str">
        <x:v>2025-06-01</x:v>
      </x:c>
      <x:c r="M878" s="63" t="str">
        <x:v>2026-06-30</x:v>
      </x:c>
      <x:c r="N878" s="63" t="str">
        <x:v>2026-06-30</x:v>
      </x:c>
      <x:c r="O878" s="63" t="str">
        <x:v>E0</x:v>
      </x:c>
      <x:c r="P878" s="63" t="str">
        <x:v>APPROVED</x:v>
      </x:c>
      <x:c r="Q878" s="64" t="b">
        <x:v>0</x:v>
      </x:c>
      <x:c r="R878" s="63" t="str">
        <x:v>WORKING_CAPITAL_CYCLE, OPERATING_MODEL</x:v>
      </x:c>
      <x:c r="S878" s="63" t="str">
        <x:v>Syn Bank transaction and relationship simulation</x:v>
      </x:c>
      <x:c r="T878" s="63"/>
      <x:c r="U878" s="63" t="str">
        <x:v>internal://syn-bank/simulation/ltm</x:v>
      </x:c>
      <x:c r="V878" s="63" t="str">
        <x:v>b6d91c1d21db55e9935c93b0ae17980f56f7dd6c49aabbd33ab2e08e079065fb</x:v>
      </x:c>
    </x:row>
    <x:row r="879">
      <x:c r="A879" s="63" t="str">
        <x:v>bec:E20:obs:corridor:0</x:v>
      </x:c>
      <x:c r="B879" s="63" t="str">
        <x:v>E20</x:v>
      </x:c>
      <x:c r="C879" s="63" t="str">
        <x:v>bank_observed_corridor_value</x:v>
      </x:c>
      <x:c r="D879" s="63" t="str">
        <x:v>MONEY</x:v>
      </x:c>
      <x:c r="E879" s="63" t="str">
        <x:v>OBSERVED</x:v>
      </x:c>
      <x:c r="F879" s="65" t="n">
        <x:v>44079580.51000002</x:v>
      </x:c>
      <x:c r="G879" s="66"/>
      <x:c r="H879" s="67"/>
      <x:c r="I879" s="63"/>
      <x:c r="J879" s="63" t="str">
        <x:v>ZAR</x:v>
      </x:c>
      <x:c r="K879" s="63" t="str">
        <x:v>ZAR</x:v>
      </x:c>
      <x:c r="L879" s="63" t="str">
        <x:v>2025-06-01</x:v>
      </x:c>
      <x:c r="M879" s="63" t="str">
        <x:v>2026-06-30</x:v>
      </x:c>
      <x:c r="N879" s="63" t="str">
        <x:v>2026-06-30</x:v>
      </x:c>
      <x:c r="O879" s="63" t="str">
        <x:v>E0</x:v>
      </x:c>
      <x:c r="P879" s="63" t="str">
        <x:v>APPROVED</x:v>
      </x:c>
      <x:c r="Q879" s="64" t="b">
        <x:v>1</x:v>
      </x:c>
      <x:c r="R879" s="63" t="str">
        <x:v>GEOGRAPHIC_EXPOSURE</x:v>
      </x:c>
      <x:c r="S879" s="63" t="str">
        <x:v>Syn Bank transaction and relationship simulation</x:v>
      </x:c>
      <x:c r="T879" s="63"/>
      <x:c r="U879" s="63" t="str">
        <x:v>internal://syn-bank/simulation/ltm</x:v>
      </x:c>
      <x:c r="V879" s="63" t="str">
        <x:v>32b8b8388f44c8e4a93ffe5ea35ebb6f06faf8d106b7ec0357bdd3e307df70fe</x:v>
      </x:c>
    </x:row>
    <x:row r="880">
      <x:c r="A880" s="63" t="str">
        <x:v>bec:E20:obs:corridor-name:0</x:v>
      </x:c>
      <x:c r="B880" s="63" t="str">
        <x:v>E20</x:v>
      </x:c>
      <x:c r="C880" s="63" t="str">
        <x:v>bank_observed_corridor_country</x:v>
      </x:c>
      <x:c r="D880" s="63" t="str">
        <x:v>CATEGORICAL</x:v>
      </x:c>
      <x:c r="E880" s="63" t="str">
        <x:v>OBSERVED</x:v>
      </x:c>
      <x:c r="F880" s="65"/>
      <x:c r="G880" s="66"/>
      <x:c r="H880" s="67"/>
      <x:c r="I880" s="63" t="str">
        <x:v>United States</x:v>
      </x:c>
      <x:c r="J880" s="63"/>
      <x:c r="K880" s="63" t="str">
        <x:v>country</x:v>
      </x:c>
      <x:c r="L880" s="63" t="str">
        <x:v>2025-06-01</x:v>
      </x:c>
      <x:c r="M880" s="63" t="str">
        <x:v>2026-06-30</x:v>
      </x:c>
      <x:c r="N880" s="63" t="str">
        <x:v>2026-06-30</x:v>
      </x:c>
      <x:c r="O880" s="63" t="str">
        <x:v>E0</x:v>
      </x:c>
      <x:c r="P880" s="63" t="str">
        <x:v>APPROVED</x:v>
      </x:c>
      <x:c r="Q880" s="64" t="b">
        <x:v>0</x:v>
      </x:c>
      <x:c r="R880" s="63" t="str">
        <x:v>GEOGRAPHIC_EXPOSURE</x:v>
      </x:c>
      <x:c r="S880" s="63" t="str">
        <x:v>Syn Bank transaction and relationship simulation</x:v>
      </x:c>
      <x:c r="T880" s="63"/>
      <x:c r="U880" s="63" t="str">
        <x:v>internal://syn-bank/simulation/ltm</x:v>
      </x:c>
      <x:c r="V880" s="63" t="str">
        <x:v>d547fdb58ed5d3a0ecf9bd20e6fbcd0199b31f6723334e5003f3743e9e6110d9</x:v>
      </x:c>
    </x:row>
    <x:row r="881">
      <x:c r="A881" s="63" t="str">
        <x:v>bec:E20:obs:corridor:1</x:v>
      </x:c>
      <x:c r="B881" s="63" t="str">
        <x:v>E20</x:v>
      </x:c>
      <x:c r="C881" s="63" t="str">
        <x:v>bank_observed_corridor_value</x:v>
      </x:c>
      <x:c r="D881" s="63" t="str">
        <x:v>MONEY</x:v>
      </x:c>
      <x:c r="E881" s="63" t="str">
        <x:v>OBSERVED</x:v>
      </x:c>
      <x:c r="F881" s="65" t="n">
        <x:v>43989466.109999985</x:v>
      </x:c>
      <x:c r="G881" s="66"/>
      <x:c r="H881" s="67"/>
      <x:c r="I881" s="63"/>
      <x:c r="J881" s="63" t="str">
        <x:v>ZAR</x:v>
      </x:c>
      <x:c r="K881" s="63" t="str">
        <x:v>ZAR</x:v>
      </x:c>
      <x:c r="L881" s="63" t="str">
        <x:v>2025-06-01</x:v>
      </x:c>
      <x:c r="M881" s="63" t="str">
        <x:v>2026-06-30</x:v>
      </x:c>
      <x:c r="N881" s="63" t="str">
        <x:v>2026-06-30</x:v>
      </x:c>
      <x:c r="O881" s="63" t="str">
        <x:v>E0</x:v>
      </x:c>
      <x:c r="P881" s="63" t="str">
        <x:v>APPROVED</x:v>
      </x:c>
      <x:c r="Q881" s="64" t="b">
        <x:v>0</x:v>
      </x:c>
      <x:c r="R881" s="63" t="str">
        <x:v>GEOGRAPHIC_EXPOSURE</x:v>
      </x:c>
      <x:c r="S881" s="63" t="str">
        <x:v>Syn Bank transaction and relationship simulation</x:v>
      </x:c>
      <x:c r="T881" s="63"/>
      <x:c r="U881" s="63" t="str">
        <x:v>internal://syn-bank/simulation/ltm</x:v>
      </x:c>
      <x:c r="V881" s="63" t="str">
        <x:v>da771edec1d2352558edbcb284ec81452a54de8f43e7277285725007ffae5836</x:v>
      </x:c>
    </x:row>
    <x:row r="882">
      <x:c r="A882" s="63" t="str">
        <x:v>bec:E20:obs:corridor-name:1</x:v>
      </x:c>
      <x:c r="B882" s="63" t="str">
        <x:v>E20</x:v>
      </x:c>
      <x:c r="C882" s="63" t="str">
        <x:v>bank_observed_corridor_country</x:v>
      </x:c>
      <x:c r="D882" s="63" t="str">
        <x:v>CATEGORICAL</x:v>
      </x:c>
      <x:c r="E882" s="63" t="str">
        <x:v>OBSERVED</x:v>
      </x:c>
      <x:c r="F882" s="65"/>
      <x:c r="G882" s="66"/>
      <x:c r="H882" s="67"/>
      <x:c r="I882" s="63" t="str">
        <x:v>United Kingdom</x:v>
      </x:c>
      <x:c r="J882" s="63"/>
      <x:c r="K882" s="63" t="str">
        <x:v>country</x:v>
      </x:c>
      <x:c r="L882" s="63" t="str">
        <x:v>2025-06-01</x:v>
      </x:c>
      <x:c r="M882" s="63" t="str">
        <x:v>2026-06-30</x:v>
      </x:c>
      <x:c r="N882" s="63" t="str">
        <x:v>2026-06-30</x:v>
      </x:c>
      <x:c r="O882" s="63" t="str">
        <x:v>E0</x:v>
      </x:c>
      <x:c r="P882" s="63" t="str">
        <x:v>APPROVED</x:v>
      </x:c>
      <x:c r="Q882" s="64" t="b">
        <x:v>0</x:v>
      </x:c>
      <x:c r="R882" s="63" t="str">
        <x:v>GEOGRAPHIC_EXPOSURE</x:v>
      </x:c>
      <x:c r="S882" s="63" t="str">
        <x:v>Syn Bank transaction and relationship simulation</x:v>
      </x:c>
      <x:c r="T882" s="63"/>
      <x:c r="U882" s="63" t="str">
        <x:v>internal://syn-bank/simulation/ltm</x:v>
      </x:c>
      <x:c r="V882" s="63" t="str">
        <x:v>99f40e21196b3d1e9860a3b54eb5a8aa353b77ce346eb4199dd29fb4c550f4e1</x:v>
      </x:c>
    </x:row>
    <x:row r="883">
      <x:c r="A883" s="63" t="str">
        <x:v>bec:E20:obs:corridor:2</x:v>
      </x:c>
      <x:c r="B883" s="63" t="str">
        <x:v>E20</x:v>
      </x:c>
      <x:c r="C883" s="63" t="str">
        <x:v>bank_observed_corridor_value</x:v>
      </x:c>
      <x:c r="D883" s="63" t="str">
        <x:v>MONEY</x:v>
      </x:c>
      <x:c r="E883" s="63" t="str">
        <x:v>OBSERVED</x:v>
      </x:c>
      <x:c r="F883" s="65" t="n">
        <x:v>38108195.66000001</x:v>
      </x:c>
      <x:c r="G883" s="66"/>
      <x:c r="H883" s="67"/>
      <x:c r="I883" s="63"/>
      <x:c r="J883" s="63" t="str">
        <x:v>ZAR</x:v>
      </x:c>
      <x:c r="K883" s="63" t="str">
        <x:v>ZAR</x:v>
      </x:c>
      <x:c r="L883" s="63" t="str">
        <x:v>2025-06-01</x:v>
      </x:c>
      <x:c r="M883" s="63" t="str">
        <x:v>2026-06-30</x:v>
      </x:c>
      <x:c r="N883" s="63" t="str">
        <x:v>2026-06-30</x:v>
      </x:c>
      <x:c r="O883" s="63" t="str">
        <x:v>E0</x:v>
      </x:c>
      <x:c r="P883" s="63" t="str">
        <x:v>APPROVED</x:v>
      </x:c>
      <x:c r="Q883" s="64" t="b">
        <x:v>0</x:v>
      </x:c>
      <x:c r="R883" s="63" t="str">
        <x:v>GEOGRAPHIC_EXPOSURE</x:v>
      </x:c>
      <x:c r="S883" s="63" t="str">
        <x:v>Syn Bank transaction and relationship simulation</x:v>
      </x:c>
      <x:c r="T883" s="63"/>
      <x:c r="U883" s="63" t="str">
        <x:v>internal://syn-bank/simulation/ltm</x:v>
      </x:c>
      <x:c r="V883" s="63" t="str">
        <x:v>16c609023fca892700bf239902b8fe067b312f49dcedf3ae81f5908a4ad9f2e0</x:v>
      </x:c>
    </x:row>
    <x:row r="884">
      <x:c r="A884" s="63" t="str">
        <x:v>bec:E20:obs:corridor-name:2</x:v>
      </x:c>
      <x:c r="B884" s="63" t="str">
        <x:v>E20</x:v>
      </x:c>
      <x:c r="C884" s="63" t="str">
        <x:v>bank_observed_corridor_country</x:v>
      </x:c>
      <x:c r="D884" s="63" t="str">
        <x:v>CATEGORICAL</x:v>
      </x:c>
      <x:c r="E884" s="63" t="str">
        <x:v>OBSERVED</x:v>
      </x:c>
      <x:c r="F884" s="65"/>
      <x:c r="G884" s="66"/>
      <x:c r="H884" s="67"/>
      <x:c r="I884" s="63" t="str">
        <x:v>Japan</x:v>
      </x:c>
      <x:c r="J884" s="63"/>
      <x:c r="K884" s="63" t="str">
        <x:v>country</x:v>
      </x:c>
      <x:c r="L884" s="63" t="str">
        <x:v>2025-06-01</x:v>
      </x:c>
      <x:c r="M884" s="63" t="str">
        <x:v>2026-06-30</x:v>
      </x:c>
      <x:c r="N884" s="63" t="str">
        <x:v>2026-06-30</x:v>
      </x:c>
      <x:c r="O884" s="63" t="str">
        <x:v>E0</x:v>
      </x:c>
      <x:c r="P884" s="63" t="str">
        <x:v>APPROVED</x:v>
      </x:c>
      <x:c r="Q884" s="64" t="b">
        <x:v>0</x:v>
      </x:c>
      <x:c r="R884" s="63" t="str">
        <x:v>GEOGRAPHIC_EXPOSURE</x:v>
      </x:c>
      <x:c r="S884" s="63" t="str">
        <x:v>Syn Bank transaction and relationship simulation</x:v>
      </x:c>
      <x:c r="T884" s="63"/>
      <x:c r="U884" s="63" t="str">
        <x:v>internal://syn-bank/simulation/ltm</x:v>
      </x:c>
      <x:c r="V884" s="63" t="str">
        <x:v>c8ff02113d63f514fbb7efaa2341f7accd3e18e30ab13e6ca09b9653295dcc64</x:v>
      </x:c>
    </x:row>
    <x:row r="885">
      <x:c r="A885" s="63" t="str">
        <x:v>bec:E20:obs:currency:0</x:v>
      </x:c>
      <x:c r="B885" s="63" t="str">
        <x:v>E20</x:v>
      </x:c>
      <x:c r="C885" s="63" t="str">
        <x:v>bank_observed_currency_pair_value</x:v>
      </x:c>
      <x:c r="D885" s="63" t="str">
        <x:v>MONEY</x:v>
      </x:c>
      <x:c r="E885" s="63" t="str">
        <x:v>OBSERVED</x:v>
      </x:c>
      <x:c r="F885" s="65" t="n">
        <x:v>80188905.54999997</x:v>
      </x:c>
      <x:c r="G885" s="66"/>
      <x:c r="H885" s="67"/>
      <x:c r="I885" s="63"/>
      <x:c r="J885" s="63" t="str">
        <x:v>ZAR</x:v>
      </x:c>
      <x:c r="K885" s="63" t="str">
        <x:v>ZAR</x:v>
      </x:c>
      <x:c r="L885" s="63" t="str">
        <x:v>2025-06-01</x:v>
      </x:c>
      <x:c r="M885" s="63" t="str">
        <x:v>2026-06-30</x:v>
      </x:c>
      <x:c r="N885" s="63" t="str">
        <x:v>2026-06-30</x:v>
      </x:c>
      <x:c r="O885" s="63" t="str">
        <x:v>E0</x:v>
      </x:c>
      <x:c r="P885" s="63" t="str">
        <x:v>APPROVED</x:v>
      </x:c>
      <x:c r="Q885" s="64" t="b">
        <x:v>1</x:v>
      </x:c>
      <x:c r="R885" s="63" t="str">
        <x:v>CURRENCY_AND_COMMODITY_EXPOSURE</x:v>
      </x:c>
      <x:c r="S885" s="63" t="str">
        <x:v>Syn Bank transaction and relationship simulation</x:v>
      </x:c>
      <x:c r="T885" s="63"/>
      <x:c r="U885" s="63" t="str">
        <x:v>internal://syn-bank/simulation/ltm</x:v>
      </x:c>
      <x:c r="V885" s="63" t="str">
        <x:v>2fa01468f2e4f46e299c6010099461b8ef174dd05a4a5d33b071ff65b9148869</x:v>
      </x:c>
    </x:row>
    <x:row r="886">
      <x:c r="A886" s="63" t="str">
        <x:v>bec:E20:obs:currency-pair:0</x:v>
      </x:c>
      <x:c r="B886" s="63" t="str">
        <x:v>E20</x:v>
      </x:c>
      <x:c r="C886" s="63" t="str">
        <x:v>bank_observed_currency_pair</x:v>
      </x:c>
      <x:c r="D886" s="63" t="str">
        <x:v>CATEGORICAL</x:v>
      </x:c>
      <x:c r="E886" s="63" t="str">
        <x:v>OBSERVED</x:v>
      </x:c>
      <x:c r="F886" s="65"/>
      <x:c r="G886" s="66"/>
      <x:c r="H886" s="67"/>
      <x:c r="I886" s="63" t="str">
        <x:v>GBP/ZAR</x:v>
      </x:c>
      <x:c r="J886" s="63"/>
      <x:c r="K886" s="63" t="str">
        <x:v>currency_pair</x:v>
      </x:c>
      <x:c r="L886" s="63" t="str">
        <x:v>2025-06-01</x:v>
      </x:c>
      <x:c r="M886" s="63" t="str">
        <x:v>2026-06-30</x:v>
      </x:c>
      <x:c r="N886" s="63" t="str">
        <x:v>2026-06-30</x:v>
      </x:c>
      <x:c r="O886" s="63" t="str">
        <x:v>E0</x:v>
      </x:c>
      <x:c r="P886" s="63" t="str">
        <x:v>APPROVED</x:v>
      </x:c>
      <x:c r="Q886" s="64" t="b">
        <x:v>0</x:v>
      </x:c>
      <x:c r="R886" s="63" t="str">
        <x:v>CURRENCY_AND_COMMODITY_EXPOSURE</x:v>
      </x:c>
      <x:c r="S886" s="63" t="str">
        <x:v>Syn Bank transaction and relationship simulation</x:v>
      </x:c>
      <x:c r="T886" s="63"/>
      <x:c r="U886" s="63" t="str">
        <x:v>internal://syn-bank/simulation/ltm</x:v>
      </x:c>
      <x:c r="V886" s="63" t="str">
        <x:v>028f4131dd8d817fee9d86bf954b29246c5d497e9995d9aa4fa2a3ccb1e921a2</x:v>
      </x:c>
    </x:row>
    <x:row r="887">
      <x:c r="A887" s="63" t="str">
        <x:v>bec:E20:obs:currency:1</x:v>
      </x:c>
      <x:c r="B887" s="63" t="str">
        <x:v>E20</x:v>
      </x:c>
      <x:c r="C887" s="63" t="str">
        <x:v>bank_observed_currency_pair_value</x:v>
      </x:c>
      <x:c r="D887" s="63" t="str">
        <x:v>MONEY</x:v>
      </x:c>
      <x:c r="E887" s="63" t="str">
        <x:v>OBSERVED</x:v>
      </x:c>
      <x:c r="F887" s="65" t="n">
        <x:v>71468026.22</x:v>
      </x:c>
      <x:c r="G887" s="66"/>
      <x:c r="H887" s="67"/>
      <x:c r="I887" s="63"/>
      <x:c r="J887" s="63" t="str">
        <x:v>ZAR</x:v>
      </x:c>
      <x:c r="K887" s="63" t="str">
        <x:v>ZAR</x:v>
      </x:c>
      <x:c r="L887" s="63" t="str">
        <x:v>2025-06-01</x:v>
      </x:c>
      <x:c r="M887" s="63" t="str">
        <x:v>2026-06-30</x:v>
      </x:c>
      <x:c r="N887" s="63" t="str">
        <x:v>2026-06-30</x:v>
      </x:c>
      <x:c r="O887" s="63" t="str">
        <x:v>E0</x:v>
      </x:c>
      <x:c r="P887" s="63" t="str">
        <x:v>APPROVED</x:v>
      </x:c>
      <x:c r="Q887" s="64" t="b">
        <x:v>0</x:v>
      </x:c>
      <x:c r="R887" s="63" t="str">
        <x:v>CURRENCY_AND_COMMODITY_EXPOSURE</x:v>
      </x:c>
      <x:c r="S887" s="63" t="str">
        <x:v>Syn Bank transaction and relationship simulation</x:v>
      </x:c>
      <x:c r="T887" s="63"/>
      <x:c r="U887" s="63" t="str">
        <x:v>internal://syn-bank/simulation/ltm</x:v>
      </x:c>
      <x:c r="V887" s="63" t="str">
        <x:v>25a57667b683e64c359a93805d80a21487ab6da272049193258d66b48614f64a</x:v>
      </x:c>
    </x:row>
    <x:row r="888">
      <x:c r="A888" s="63" t="str">
        <x:v>bec:E20:obs:currency-pair:1</x:v>
      </x:c>
      <x:c r="B888" s="63" t="str">
        <x:v>E20</x:v>
      </x:c>
      <x:c r="C888" s="63" t="str">
        <x:v>bank_observed_currency_pair</x:v>
      </x:c>
      <x:c r="D888" s="63" t="str">
        <x:v>CATEGORICAL</x:v>
      </x:c>
      <x:c r="E888" s="63" t="str">
        <x:v>OBSERVED</x:v>
      </x:c>
      <x:c r="F888" s="65"/>
      <x:c r="G888" s="66"/>
      <x:c r="H888" s="67"/>
      <x:c r="I888" s="63" t="str">
        <x:v>USD/ZAR</x:v>
      </x:c>
      <x:c r="J888" s="63"/>
      <x:c r="K888" s="63" t="str">
        <x:v>currency_pair</x:v>
      </x:c>
      <x:c r="L888" s="63" t="str">
        <x:v>2025-06-01</x:v>
      </x:c>
      <x:c r="M888" s="63" t="str">
        <x:v>2026-06-30</x:v>
      </x:c>
      <x:c r="N888" s="63" t="str">
        <x:v>2026-06-30</x:v>
      </x:c>
      <x:c r="O888" s="63" t="str">
        <x:v>E0</x:v>
      </x:c>
      <x:c r="P888" s="63" t="str">
        <x:v>APPROVED</x:v>
      </x:c>
      <x:c r="Q888" s="64" t="b">
        <x:v>0</x:v>
      </x:c>
      <x:c r="R888" s="63" t="str">
        <x:v>CURRENCY_AND_COMMODITY_EXPOSURE</x:v>
      </x:c>
      <x:c r="S888" s="63" t="str">
        <x:v>Syn Bank transaction and relationship simulation</x:v>
      </x:c>
      <x:c r="T888" s="63"/>
      <x:c r="U888" s="63" t="str">
        <x:v>internal://syn-bank/simulation/ltm</x:v>
      </x:c>
      <x:c r="V888" s="63" t="str">
        <x:v>fbe480d7b53aa7c3d781a4508bff6a0f93ac99eb14b1ac8e327932ecc23d3d17</x:v>
      </x:c>
    </x:row>
    <x:row r="889">
      <x:c r="A889" s="63" t="str">
        <x:v>bec:E20:obs:currency:2</x:v>
      </x:c>
      <x:c r="B889" s="63" t="str">
        <x:v>E20</x:v>
      </x:c>
      <x:c r="C889" s="63" t="str">
        <x:v>bank_observed_currency_pair_value</x:v>
      </x:c>
      <x:c r="D889" s="63" t="str">
        <x:v>MONEY</x:v>
      </x:c>
      <x:c r="E889" s="63" t="str">
        <x:v>OBSERVED</x:v>
      </x:c>
      <x:c r="F889" s="65" t="n">
        <x:v>65178488.50999995</x:v>
      </x:c>
      <x:c r="G889" s="66"/>
      <x:c r="H889" s="67"/>
      <x:c r="I889" s="63"/>
      <x:c r="J889" s="63" t="str">
        <x:v>ZAR</x:v>
      </x:c>
      <x:c r="K889" s="63" t="str">
        <x:v>ZAR</x:v>
      </x:c>
      <x:c r="L889" s="63" t="str">
        <x:v>2025-06-01</x:v>
      </x:c>
      <x:c r="M889" s="63" t="str">
        <x:v>2026-06-30</x:v>
      </x:c>
      <x:c r="N889" s="63" t="str">
        <x:v>2026-06-30</x:v>
      </x:c>
      <x:c r="O889" s="63" t="str">
        <x:v>E0</x:v>
      </x:c>
      <x:c r="P889" s="63" t="str">
        <x:v>APPROVED</x:v>
      </x:c>
      <x:c r="Q889" s="64" t="b">
        <x:v>0</x:v>
      </x:c>
      <x:c r="R889" s="63" t="str">
        <x:v>CURRENCY_AND_COMMODITY_EXPOSURE</x:v>
      </x:c>
      <x:c r="S889" s="63" t="str">
        <x:v>Syn Bank transaction and relationship simulation</x:v>
      </x:c>
      <x:c r="T889" s="63"/>
      <x:c r="U889" s="63" t="str">
        <x:v>internal://syn-bank/simulation/ltm</x:v>
      </x:c>
      <x:c r="V889" s="63" t="str">
        <x:v>8fec38f60454734c426e867c08d5bc65149cfef94ecde2d685474f4bc1d04d92</x:v>
      </x:c>
    </x:row>
    <x:row r="890">
      <x:c r="A890" s="63" t="str">
        <x:v>bec:E20:obs:currency-pair:2</x:v>
      </x:c>
      <x:c r="B890" s="63" t="str">
        <x:v>E20</x:v>
      </x:c>
      <x:c r="C890" s="63" t="str">
        <x:v>bank_observed_currency_pair</x:v>
      </x:c>
      <x:c r="D890" s="63" t="str">
        <x:v>CATEGORICAL</x:v>
      </x:c>
      <x:c r="E890" s="63" t="str">
        <x:v>OBSERVED</x:v>
      </x:c>
      <x:c r="F890" s="65"/>
      <x:c r="G890" s="66"/>
      <x:c r="H890" s="67"/>
      <x:c r="I890" s="63" t="str">
        <x:v>AED/ZAR</x:v>
      </x:c>
      <x:c r="J890" s="63"/>
      <x:c r="K890" s="63" t="str">
        <x:v>currency_pair</x:v>
      </x:c>
      <x:c r="L890" s="63" t="str">
        <x:v>2025-06-01</x:v>
      </x:c>
      <x:c r="M890" s="63" t="str">
        <x:v>2026-06-30</x:v>
      </x:c>
      <x:c r="N890" s="63" t="str">
        <x:v>2026-06-30</x:v>
      </x:c>
      <x:c r="O890" s="63" t="str">
        <x:v>E0</x:v>
      </x:c>
      <x:c r="P890" s="63" t="str">
        <x:v>APPROVED</x:v>
      </x:c>
      <x:c r="Q890" s="64" t="b">
        <x:v>0</x:v>
      </x:c>
      <x:c r="R890" s="63" t="str">
        <x:v>CURRENCY_AND_COMMODITY_EXPOSURE</x:v>
      </x:c>
      <x:c r="S890" s="63" t="str">
        <x:v>Syn Bank transaction and relationship simulation</x:v>
      </x:c>
      <x:c r="T890" s="63"/>
      <x:c r="U890" s="63" t="str">
        <x:v>internal://syn-bank/simulation/ltm</x:v>
      </x:c>
      <x:c r="V890" s="63" t="str">
        <x:v>c61062c99be83293da842eca3fb7d4a96b22411ceb3faae27ec53a767f062637</x:v>
      </x:c>
    </x:row>
    <x:row r="891">
      <x:c r="A891" s="63" t="str">
        <x:v>bec:E20:obs:country-count</x:v>
      </x:c>
      <x:c r="B891" s="63" t="str">
        <x:v>E20</x:v>
      </x:c>
      <x:c r="C891" s="63" t="str">
        <x:v>bank_observed_active_country_count</x:v>
      </x:c>
      <x:c r="D891" s="63" t="str">
        <x:v>COUNT</x:v>
      </x:c>
      <x:c r="E891" s="63" t="str">
        <x:v>OBSERVED</x:v>
      </x:c>
      <x:c r="F891" s="65"/>
      <x:c r="G891" s="66"/>
      <x:c r="H891" s="67" t="n">
        <x:v>10</x:v>
      </x:c>
      <x:c r="I891" s="63"/>
      <x:c r="J891" s="63"/>
      <x:c r="K891" s="63" t="str">
        <x:v>countries</x:v>
      </x:c>
      <x:c r="L891" s="63" t="str">
        <x:v>2025-06-01</x:v>
      </x:c>
      <x:c r="M891" s="63" t="str">
        <x:v>2026-06-30</x:v>
      </x:c>
      <x:c r="N891" s="63" t="str">
        <x:v>2026-06-30</x:v>
      </x:c>
      <x:c r="O891" s="63" t="str">
        <x:v>E0</x:v>
      </x:c>
      <x:c r="P891" s="63" t="str">
        <x:v>APPROVED</x:v>
      </x:c>
      <x:c r="Q891" s="64" t="b">
        <x:v>1</x:v>
      </x:c>
      <x:c r="R891" s="63" t="str">
        <x:v>GEOGRAPHIC_EXPOSURE</x:v>
      </x:c>
      <x:c r="S891" s="63" t="str">
        <x:v>Syn Bank transaction and relationship simulation</x:v>
      </x:c>
      <x:c r="T891" s="63"/>
      <x:c r="U891" s="63" t="str">
        <x:v>internal://syn-bank/simulation/ltm</x:v>
      </x:c>
      <x:c r="V891" s="63" t="str">
        <x:v>31273570091c9f7a30c2d3e2ab4b8d60844c41309152b3016ea186d584f0ce86</x:v>
      </x:c>
    </x:row>
    <x:row r="892">
      <x:c r="A892" s="63" t="str">
        <x:v>bec:E20:obs:relationship-breadth</x:v>
      </x:c>
      <x:c r="B892" s="63" t="str">
        <x:v>E20</x:v>
      </x:c>
      <x:c r="C892" s="63" t="str">
        <x:v>bank_observed_product_relationship_breadth</x:v>
      </x:c>
      <x:c r="D892" s="63" t="str">
        <x:v>COUNT</x:v>
      </x:c>
      <x:c r="E892" s="63" t="str">
        <x:v>OBSERVED</x:v>
      </x:c>
      <x:c r="F892" s="65"/>
      <x:c r="G892" s="66"/>
      <x:c r="H892" s="67" t="n">
        <x:v>5</x:v>
      </x:c>
      <x:c r="I892" s="63"/>
      <x:c r="J892" s="63"/>
      <x:c r="K892" s="63" t="str">
        <x:v>products</x:v>
      </x:c>
      <x:c r="L892" s="63" t="str">
        <x:v>2025-06-01</x:v>
      </x:c>
      <x:c r="M892" s="63" t="str">
        <x:v>2026-06-30</x:v>
      </x:c>
      <x:c r="N892" s="63" t="str">
        <x:v>2026-06-30</x:v>
      </x:c>
      <x:c r="O892" s="63" t="str">
        <x:v>E0</x:v>
      </x:c>
      <x:c r="P892" s="63" t="str">
        <x:v>APPROVED</x:v>
      </x:c>
      <x:c r="Q892" s="64" t="b">
        <x:v>1</x:v>
      </x:c>
      <x:c r="R892" s="63" t="str">
        <x:v>OPERATING_MODEL</x:v>
      </x:c>
      <x:c r="S892" s="63" t="str">
        <x:v>Syn Bank transaction and relationship simulation</x:v>
      </x:c>
      <x:c r="T892" s="63"/>
      <x:c r="U892" s="63" t="str">
        <x:v>internal://syn-bank/simulation/ltm</x:v>
      </x:c>
      <x:c r="V892" s="63" t="str">
        <x:v>f9763ca9ed28fdc77be2a2cb1be047459c8e276c06b4f5ad71cde22980c72816</x:v>
      </x:c>
    </x:row>
    <x:row r="893">
      <x:c r="A893" s="63" t="str">
        <x:v>bec:E20:obs:latent:operating_scale</x:v>
      </x:c>
      <x:c r="B893" s="63" t="str">
        <x:v>E20</x:v>
      </x:c>
      <x:c r="C893" s="63" t="str">
        <x:v>bank_observed_operating_scale_index</x:v>
      </x:c>
      <x:c r="D893" s="63" t="str">
        <x:v>RATIO</x:v>
      </x:c>
      <x:c r="E893" s="63" t="str">
        <x:v>OBSERVED</x:v>
      </x:c>
      <x:c r="F893" s="65"/>
      <x:c r="G893" s="66" t="n">
        <x:v>0.05</x:v>
      </x:c>
      <x:c r="H893" s="67"/>
      <x:c r="I893" s="63"/>
      <x:c r="J893" s="63"/>
      <x:c r="K893" s="63" t="str">
        <x:v>index_0_1</x:v>
      </x:c>
      <x:c r="L893" s="63" t="str">
        <x:v>2025-06-01</x:v>
      </x:c>
      <x:c r="M893" s="63" t="str">
        <x:v>2026-06-30</x:v>
      </x:c>
      <x:c r="N893" s="63" t="str">
        <x:v>2026-06-30</x:v>
      </x:c>
      <x:c r="O893" s="63" t="str">
        <x:v>E0</x:v>
      </x:c>
      <x:c r="P893" s="63" t="str">
        <x:v>APPROVED</x:v>
      </x:c>
      <x:c r="Q893" s="64" t="b">
        <x:v>0</x:v>
      </x:c>
      <x:c r="R893" s="63" t="str">
        <x:v>OPERATING_MODEL</x:v>
      </x:c>
      <x:c r="S893" s="63" t="str">
        <x:v>Syn Bank transaction and relationship simulation</x:v>
      </x:c>
      <x:c r="T893" s="63"/>
      <x:c r="U893" s="63" t="str">
        <x:v>internal://syn-bank/simulation/ltm</x:v>
      </x:c>
      <x:c r="V893" s="63" t="str">
        <x:v>d1608f01dbab3f792576f25752fe34efb58756af4b5a80a24d156ba125494adc</x:v>
      </x:c>
    </x:row>
    <x:row r="894">
      <x:c r="A894" s="63" t="str">
        <x:v>bec:E20:obs:latent:working_capital_intensity</x:v>
      </x:c>
      <x:c r="B894" s="63" t="str">
        <x:v>E20</x:v>
      </x:c>
      <x:c r="C894" s="63" t="str">
        <x:v>bank_observed_working_capital_intensity_index</x:v>
      </x:c>
      <x:c r="D894" s="63" t="str">
        <x:v>RATIO</x:v>
      </x:c>
      <x:c r="E894" s="63" t="str">
        <x:v>OBSERVED</x:v>
      </x:c>
      <x:c r="F894" s="65"/>
      <x:c r="G894" s="66" t="n">
        <x:v>0.09</x:v>
      </x:c>
      <x:c r="H894" s="67"/>
      <x:c r="I894" s="63"/>
      <x:c r="J894" s="63"/>
      <x:c r="K894" s="63" t="str">
        <x:v>index_0_1</x:v>
      </x:c>
      <x:c r="L894" s="63" t="str">
        <x:v>2025-06-01</x:v>
      </x:c>
      <x:c r="M894" s="63" t="str">
        <x:v>2026-06-30</x:v>
      </x:c>
      <x:c r="N894" s="63" t="str">
        <x:v>2026-06-30</x:v>
      </x:c>
      <x:c r="O894" s="63" t="str">
        <x:v>E0</x:v>
      </x:c>
      <x:c r="P894" s="63" t="str">
        <x:v>APPROVED</x:v>
      </x:c>
      <x:c r="Q894" s="64" t="b">
        <x:v>0</x:v>
      </x:c>
      <x:c r="R894" s="63" t="str">
        <x:v>WORKING_CAPITAL_CYCLE</x:v>
      </x:c>
      <x:c r="S894" s="63" t="str">
        <x:v>Syn Bank transaction and relationship simulation</x:v>
      </x:c>
      <x:c r="T894" s="63"/>
      <x:c r="U894" s="63" t="str">
        <x:v>internal://syn-bank/simulation/ltm</x:v>
      </x:c>
      <x:c r="V894" s="63" t="str">
        <x:v>f588b11ffcddc85456e11ec419abc4e2a8d9ca04ae2e96d0daba2769cc392dab</x:v>
      </x:c>
    </x:row>
    <x:row r="895">
      <x:c r="A895" s="63" t="str">
        <x:v>bec:E20:obs:latent:liquidity_volatility</x:v>
      </x:c>
      <x:c r="B895" s="63" t="str">
        <x:v>E20</x:v>
      </x:c>
      <x:c r="C895" s="63" t="str">
        <x:v>bank_observed_liquidity_volatility_index</x:v>
      </x:c>
      <x:c r="D895" s="63" t="str">
        <x:v>RATIO</x:v>
      </x:c>
      <x:c r="E895" s="63" t="str">
        <x:v>OBSERVED</x:v>
      </x:c>
      <x:c r="F895" s="65"/>
      <x:c r="G895" s="66" t="n">
        <x:v>0.314</x:v>
      </x:c>
      <x:c r="H895" s="67"/>
      <x:c r="I895" s="63"/>
      <x:c r="J895" s="63"/>
      <x:c r="K895" s="63" t="str">
        <x:v>index_0_1</x:v>
      </x:c>
      <x:c r="L895" s="63" t="str">
        <x:v>2025-06-01</x:v>
      </x:c>
      <x:c r="M895" s="63" t="str">
        <x:v>2026-06-30</x:v>
      </x:c>
      <x:c r="N895" s="63" t="str">
        <x:v>2026-06-30</x:v>
      </x:c>
      <x:c r="O895" s="63" t="str">
        <x:v>E0</x:v>
      </x:c>
      <x:c r="P895" s="63" t="str">
        <x:v>APPROVED</x:v>
      </x:c>
      <x:c r="Q895" s="64" t="b">
        <x:v>0</x:v>
      </x:c>
      <x:c r="R895" s="63" t="str">
        <x:v>LIQUIDITY_AND_BUFFER</x:v>
      </x:c>
      <x:c r="S895" s="63" t="str">
        <x:v>Syn Bank transaction and relationship simulation</x:v>
      </x:c>
      <x:c r="T895" s="63"/>
      <x:c r="U895" s="63" t="str">
        <x:v>internal://syn-bank/simulation/ltm</x:v>
      </x:c>
      <x:c r="V895" s="63" t="str">
        <x:v>14f8b6309ccbfe5ff54f1c42297fb4930506e890a7bceb5721cb2b76a7559fa8</x:v>
      </x:c>
    </x:row>
    <x:row r="896">
      <x:c r="A896" s="63" t="str">
        <x:v>bec:E20:obs:latent:international_exposure</x:v>
      </x:c>
      <x:c r="B896" s="63" t="str">
        <x:v>E20</x:v>
      </x:c>
      <x:c r="C896" s="63" t="str">
        <x:v>bank_observed_international_exposure_index</x:v>
      </x:c>
      <x:c r="D896" s="63" t="str">
        <x:v>RATIO</x:v>
      </x:c>
      <x:c r="E896" s="63" t="str">
        <x:v>OBSERVED</x:v>
      </x:c>
      <x:c r="F896" s="65"/>
      <x:c r="G896" s="66" t="n">
        <x:v>0.91</x:v>
      </x:c>
      <x:c r="H896" s="67"/>
      <x:c r="I896" s="63"/>
      <x:c r="J896" s="63"/>
      <x:c r="K896" s="63" t="str">
        <x:v>index_0_1</x:v>
      </x:c>
      <x:c r="L896" s="63" t="str">
        <x:v>2025-06-01</x:v>
      </x:c>
      <x:c r="M896" s="63" t="str">
        <x:v>2026-06-30</x:v>
      </x:c>
      <x:c r="N896" s="63" t="str">
        <x:v>2026-06-30</x:v>
      </x:c>
      <x:c r="O896" s="63" t="str">
        <x:v>E0</x:v>
      </x:c>
      <x:c r="P896" s="63" t="str">
        <x:v>APPROVED</x:v>
      </x:c>
      <x:c r="Q896" s="64" t="b">
        <x:v>0</x:v>
      </x:c>
      <x:c r="R896" s="63" t="str">
        <x:v>GEOGRAPHIC_EXPOSURE</x:v>
      </x:c>
      <x:c r="S896" s="63" t="str">
        <x:v>Syn Bank transaction and relationship simulation</x:v>
      </x:c>
      <x:c r="T896" s="63"/>
      <x:c r="U896" s="63" t="str">
        <x:v>internal://syn-bank/simulation/ltm</x:v>
      </x:c>
      <x:c r="V896" s="63" t="str">
        <x:v>4d70022b72c4033b1453f5cbe9ff8ecd230480b2ee811ea96a12c252ed17c841</x:v>
      </x:c>
    </x:row>
    <x:row r="897">
      <x:c r="A897" s="63" t="str">
        <x:v>bec:E20:obs:latent:financing_need</x:v>
      </x:c>
      <x:c r="B897" s="63" t="str">
        <x:v>E20</x:v>
      </x:c>
      <x:c r="C897" s="63" t="str">
        <x:v>bank_observed_financing_need_index</x:v>
      </x:c>
      <x:c r="D897" s="63" t="str">
        <x:v>RATIO</x:v>
      </x:c>
      <x:c r="E897" s="63" t="str">
        <x:v>OBSERVED</x:v>
      </x:c>
      <x:c r="F897" s="65"/>
      <x:c r="G897" s="66" t="n">
        <x:v>0.119</x:v>
      </x:c>
      <x:c r="H897" s="67"/>
      <x:c r="I897" s="63"/>
      <x:c r="J897" s="63"/>
      <x:c r="K897" s="63" t="str">
        <x:v>index_0_1</x:v>
      </x:c>
      <x:c r="L897" s="63" t="str">
        <x:v>2025-06-01</x:v>
      </x:c>
      <x:c r="M897" s="63" t="str">
        <x:v>2026-06-30</x:v>
      </x:c>
      <x:c r="N897" s="63" t="str">
        <x:v>2026-06-30</x:v>
      </x:c>
      <x:c r="O897" s="63" t="str">
        <x:v>E0</x:v>
      </x:c>
      <x:c r="P897" s="63" t="str">
        <x:v>APPROVED</x:v>
      </x:c>
      <x:c r="Q897" s="64" t="b">
        <x:v>0</x:v>
      </x:c>
      <x:c r="R897" s="63" t="str">
        <x:v>FUNDING_STRUCTURE</x:v>
      </x:c>
      <x:c r="S897" s="63" t="str">
        <x:v>Syn Bank transaction and relationship simulation</x:v>
      </x:c>
      <x:c r="T897" s="63"/>
      <x:c r="U897" s="63" t="str">
        <x:v>internal://syn-bank/simulation/ltm</x:v>
      </x:c>
      <x:c r="V897" s="63" t="str">
        <x:v>4dc6044398080b93d41c5fd7f7a624667146420a22c8d938015c5a79d7180a75</x:v>
      </x:c>
    </x:row>
    <x:row r="898">
      <x:c r="A898" s="63" t="str">
        <x:v>bec:E20:obs:latent:event_intensity</x:v>
      </x:c>
      <x:c r="B898" s="63" t="str">
        <x:v>E20</x:v>
      </x:c>
      <x:c r="C898" s="63" t="str">
        <x:v>bank_observed_event_intensity_index</x:v>
      </x:c>
      <x:c r="D898" s="63" t="str">
        <x:v>RATIO</x:v>
      </x:c>
      <x:c r="E898" s="63" t="str">
        <x:v>OBSERVED</x:v>
      </x:c>
      <x:c r="F898" s="65"/>
      <x:c r="G898" s="66" t="n">
        <x:v>0.259</x:v>
      </x:c>
      <x:c r="H898" s="67"/>
      <x:c r="I898" s="63"/>
      <x:c r="J898" s="63"/>
      <x:c r="K898" s="63" t="str">
        <x:v>index_0_1</x:v>
      </x:c>
      <x:c r="L898" s="63" t="str">
        <x:v>2025-06-01</x:v>
      </x:c>
      <x:c r="M898" s="63" t="str">
        <x:v>2026-06-30</x:v>
      </x:c>
      <x:c r="N898" s="63" t="str">
        <x:v>2026-06-30</x:v>
      </x:c>
      <x:c r="O898" s="63" t="str">
        <x:v>E0</x:v>
      </x:c>
      <x:c r="P898" s="63" t="str">
        <x:v>APPROVED</x:v>
      </x:c>
      <x:c r="Q898" s="64" t="b">
        <x:v>0</x:v>
      </x:c>
      <x:c r="R898" s="63" t="str">
        <x:v>STRATEGY_ACTIONS_AND_ESG</x:v>
      </x:c>
      <x:c r="S898" s="63" t="str">
        <x:v>Syn Bank transaction and relationship simulation</x:v>
      </x:c>
      <x:c r="T898" s="63"/>
      <x:c r="U898" s="63" t="str">
        <x:v>internal://syn-bank/simulation/ltm</x:v>
      </x:c>
      <x:c r="V898" s="63" t="str">
        <x:v>f5ec039fc81256a21c1d656646754dd3b752d20b87379e9b2354d20000dc7f0c</x:v>
      </x:c>
    </x:row>
    <x:row r="899">
      <x:c r="A899" s="63" t="str">
        <x:v>bec:E20:obs:latent:relationship_complexity</x:v>
      </x:c>
      <x:c r="B899" s="63" t="str">
        <x:v>E20</x:v>
      </x:c>
      <x:c r="C899" s="63" t="str">
        <x:v>bank_observed_relationship_complexity_index</x:v>
      </x:c>
      <x:c r="D899" s="63" t="str">
        <x:v>RATIO</x:v>
      </x:c>
      <x:c r="E899" s="63" t="str">
        <x:v>OBSERVED</x:v>
      </x:c>
      <x:c r="F899" s="65"/>
      <x:c r="G899" s="66" t="n">
        <x:v>0.942</x:v>
      </x:c>
      <x:c r="H899" s="67"/>
      <x:c r="I899" s="63"/>
      <x:c r="J899" s="63"/>
      <x:c r="K899" s="63" t="str">
        <x:v>index_0_1</x:v>
      </x:c>
      <x:c r="L899" s="63" t="str">
        <x:v>2025-06-01</x:v>
      </x:c>
      <x:c r="M899" s="63" t="str">
        <x:v>2026-06-30</x:v>
      </x:c>
      <x:c r="N899" s="63" t="str">
        <x:v>2026-06-30</x:v>
      </x:c>
      <x:c r="O899" s="63" t="str">
        <x:v>E0</x:v>
      </x:c>
      <x:c r="P899" s="63" t="str">
        <x:v>APPROVED</x:v>
      </x:c>
      <x:c r="Q899" s="64" t="b">
        <x:v>0</x:v>
      </x:c>
      <x:c r="R899" s="63" t="str">
        <x:v>OPERATING_MODEL</x:v>
      </x:c>
      <x:c r="S899" s="63" t="str">
        <x:v>Syn Bank transaction and relationship simulation</x:v>
      </x:c>
      <x:c r="T899" s="63"/>
      <x:c r="U899" s="63" t="str">
        <x:v>internal://syn-bank/simulation/ltm</x:v>
      </x:c>
      <x:c r="V899" s="63" t="str">
        <x:v>3c11c9d2ea3d3dd56c0a0de98277e813b275cc576b26fd631faba070f1448565</x:v>
      </x:c>
    </x:row>
    <x:row r="900">
      <x:c r="A900" s="63" t="str">
        <x:v>bec:E20:obs:events:trade-90d</x:v>
      </x:c>
      <x:c r="B900" s="63" t="str">
        <x:v>E20</x:v>
      </x:c>
      <x:c r="C900" s="63" t="str">
        <x:v>bank_observed_trade_events_next_90d</x:v>
      </x:c>
      <x:c r="D900" s="63" t="str">
        <x:v>COUNT</x:v>
      </x:c>
      <x:c r="E900" s="63" t="str">
        <x:v>OBSERVED</x:v>
      </x:c>
      <x:c r="F900" s="65"/>
      <x:c r="G900" s="66"/>
      <x:c r="H900" s="67" t="n">
        <x:v>2</x:v>
      </x:c>
      <x:c r="I900" s="63"/>
      <x:c r="J900" s="63"/>
      <x:c r="K900" s="63" t="str">
        <x:v>events</x:v>
      </x:c>
      <x:c r="L900" s="63" t="str">
        <x:v>2025-06-01</x:v>
      </x:c>
      <x:c r="M900" s="63" t="str">
        <x:v>2026-06-30</x:v>
      </x:c>
      <x:c r="N900" s="63" t="str">
        <x:v>2026-06-30</x:v>
      </x:c>
      <x:c r="O900" s="63" t="str">
        <x:v>E0</x:v>
      </x:c>
      <x:c r="P900" s="63" t="str">
        <x:v>APPROVED</x:v>
      </x:c>
      <x:c r="Q900" s="64" t="b">
        <x:v>1</x:v>
      </x:c>
      <x:c r="R900" s="63" t="str">
        <x:v>OPERATING_MODEL, WORKING_CAPITAL_CYCLE</x:v>
      </x:c>
      <x:c r="S900" s="63" t="str">
        <x:v>Syn Bank transaction and relationship simulation</x:v>
      </x:c>
      <x:c r="T900" s="63"/>
      <x:c r="U900" s="63" t="str">
        <x:v>internal://syn-bank/simulation/ltm</x:v>
      </x:c>
      <x:c r="V900" s="63" t="str">
        <x:v>5cbb2e153d1671aa29eab89c03d0e3dac4de505ee713903fd9c7b108ce4fb95d</x:v>
      </x:c>
    </x:row>
    <x:row r="901">
      <x:c r="A901" s="63" t="str">
        <x:v>bec:E20:obs:events:trade-90d-value</x:v>
      </x:c>
      <x:c r="B901" s="63" t="str">
        <x:v>E20</x:v>
      </x:c>
      <x:c r="C901" s="63" t="str">
        <x:v>bank_observed_trade_events_value_next_90d</x:v>
      </x:c>
      <x:c r="D901" s="63" t="str">
        <x:v>MONEY</x:v>
      </x:c>
      <x:c r="E901" s="63" t="str">
        <x:v>OBSERVED</x:v>
      </x:c>
      <x:c r="F901" s="65" t="n">
        <x:v>492986.06</x:v>
      </x:c>
      <x:c r="G901" s="66"/>
      <x:c r="H901" s="67"/>
      <x:c r="I901" s="63"/>
      <x:c r="J901" s="63" t="str">
        <x:v>ZAR</x:v>
      </x:c>
      <x:c r="K901" s="63" t="str">
        <x:v>ZAR</x:v>
      </x:c>
      <x:c r="L901" s="63" t="str">
        <x:v>2025-06-01</x:v>
      </x:c>
      <x:c r="M901" s="63" t="str">
        <x:v>2026-06-30</x:v>
      </x:c>
      <x:c r="N901" s="63" t="str">
        <x:v>2026-06-30</x:v>
      </x:c>
      <x:c r="O901" s="63" t="str">
        <x:v>E0</x:v>
      </x:c>
      <x:c r="P901" s="63" t="str">
        <x:v>APPROVED</x:v>
      </x:c>
      <x:c r="Q901" s="64" t="b">
        <x:v>0</x:v>
      </x:c>
      <x:c r="R901" s="63" t="str">
        <x:v>WORKING_CAPITAL_CYCLE</x:v>
      </x:c>
      <x:c r="S901" s="63" t="str">
        <x:v>Syn Bank transaction and relationship simulation</x:v>
      </x:c>
      <x:c r="T901" s="63"/>
      <x:c r="U901" s="63" t="str">
        <x:v>internal://syn-bank/simulation/ltm</x:v>
      </x:c>
      <x:c r="V901" s="63" t="str">
        <x:v>b276097184754379a95406d8a785ce60ec78505e9d2c3536062e6ece35d54dae</x:v>
      </x:c>
    </x:row>
    <x:row r="902">
      <x:c r="A902" s="63" t="str">
        <x:v>bec:E20:struct:operating-model</x:v>
      </x:c>
      <x:c r="B902" s="63" t="str">
        <x:v>E20</x:v>
      </x:c>
      <x:c r="C902" s="63" t="str">
        <x:v>sector_operating_model</x:v>
      </x:c>
      <x:c r="D902" s="63" t="str">
        <x:v>TEXTUAL</x:v>
      </x:c>
      <x:c r="E902" s="63" t="str">
        <x:v>SCENARIO</x:v>
      </x:c>
      <x:c r="F902" s="65"/>
      <x:c r="G902" s="66"/>
      <x:c r="H902" s="67"/>
      <x:c r="I902" s="63" t="str">
        <x:v>Property owner-operator with rental collections, asset-level debt and development capex cycles.</x:v>
      </x:c>
      <x:c r="J902" s="63"/>
      <x:c r="K902" s="63" t="str">
        <x:v>statement</x:v>
      </x:c>
      <x:c r="L902" s="63" t="str">
        <x:v>2025-06-01</x:v>
      </x:c>
      <x:c r="M902" s="63" t="str">
        <x:v>2026-06-30</x:v>
      </x:c>
      <x:c r="N902" s="63" t="str">
        <x:v>2026-06-30</x:v>
      </x:c>
      <x:c r="O902" s="63" t="str">
        <x:v>E0</x:v>
      </x:c>
      <x:c r="P902" s="63" t="str">
        <x:v>APPROVED</x:v>
      </x:c>
      <x:c r="Q902" s="64" t="b">
        <x:v>0</x:v>
      </x:c>
      <x:c r="R902" s="63" t="str">
        <x:v>OPERATING_MODEL</x:v>
      </x:c>
      <x:c r="S902" s="63" t="str">
        <x:v>Governed sector operating-model and responsibility policy</x:v>
      </x:c>
      <x:c r="T902" s="63"/>
      <x:c r="U902" s="63" t="str">
        <x:v>internal://v31/governed-policy</x:v>
      </x:c>
      <x:c r="V902" s="63" t="str">
        <x:v>098da59ec355cba7494e0f9df942c256438e53648f922b31eac5de40b3bcb994</x:v>
      </x:c>
    </x:row>
    <x:row r="903">
      <x:c r="A903" s="63" t="str">
        <x:v>bec:E20:struct:risk:0</x:v>
      </x:c>
      <x:c r="B903" s="63" t="str">
        <x:v>E20</x:v>
      </x:c>
      <x:c r="C903" s="63" t="str">
        <x:v>sector_primary_risk</x:v>
      </x:c>
      <x:c r="D903" s="63" t="str">
        <x:v>CATEGORICAL</x:v>
      </x:c>
      <x:c r="E903" s="63" t="str">
        <x:v>SCENARIO</x:v>
      </x:c>
      <x:c r="F903" s="65"/>
      <x:c r="G903" s="66"/>
      <x:c r="H903" s="67"/>
      <x:c r="I903" s="63" t="str">
        <x:v>interest-rate sensitivity of asset-level debt</x:v>
      </x:c>
      <x:c r="J903" s="63"/>
      <x:c r="K903" s="63" t="str">
        <x:v>statement</x:v>
      </x:c>
      <x:c r="L903" s="63" t="str">
        <x:v>2025-06-01</x:v>
      </x:c>
      <x:c r="M903" s="63" t="str">
        <x:v>2026-06-30</x:v>
      </x:c>
      <x:c r="N903" s="63" t="str">
        <x:v>2026-06-30</x:v>
      </x:c>
      <x:c r="O903" s="63" t="str">
        <x:v>E0</x:v>
      </x:c>
      <x:c r="P903" s="63" t="str">
        <x:v>APPROVED</x:v>
      </x:c>
      <x:c r="Q903" s="64" t="b">
        <x:v>0</x:v>
      </x:c>
      <x:c r="R903" s="63" t="str">
        <x:v>BUSINESS_AND_FINANCIAL_RISKS</x:v>
      </x:c>
      <x:c r="S903" s="63" t="str">
        <x:v>Governed sector operating-model and responsibility policy</x:v>
      </x:c>
      <x:c r="T903" s="63"/>
      <x:c r="U903" s="63" t="str">
        <x:v>internal://v31/governed-policy</x:v>
      </x:c>
      <x:c r="V903" s="63" t="str">
        <x:v>e888048c4a5d38dfdcf2923fb701387eecc921a4a0daad4316fe57a0564f1c14</x:v>
      </x:c>
    </x:row>
    <x:row r="904">
      <x:c r="A904" s="63" t="str">
        <x:v>bec:E20:struct:risk:1</x:v>
      </x:c>
      <x:c r="B904" s="63" t="str">
        <x:v>E20</x:v>
      </x:c>
      <x:c r="C904" s="63" t="str">
        <x:v>sector_primary_risk</x:v>
      </x:c>
      <x:c r="D904" s="63" t="str">
        <x:v>CATEGORICAL</x:v>
      </x:c>
      <x:c r="E904" s="63" t="str">
        <x:v>SCENARIO</x:v>
      </x:c>
      <x:c r="F904" s="65"/>
      <x:c r="G904" s="66"/>
      <x:c r="H904" s="67"/>
      <x:c r="I904" s="63" t="str">
        <x:v>tenant concentration</x:v>
      </x:c>
      <x:c r="J904" s="63"/>
      <x:c r="K904" s="63" t="str">
        <x:v>statement</x:v>
      </x:c>
      <x:c r="L904" s="63" t="str">
        <x:v>2025-06-01</x:v>
      </x:c>
      <x:c r="M904" s="63" t="str">
        <x:v>2026-06-30</x:v>
      </x:c>
      <x:c r="N904" s="63" t="str">
        <x:v>2026-06-30</x:v>
      </x:c>
      <x:c r="O904" s="63" t="str">
        <x:v>E0</x:v>
      </x:c>
      <x:c r="P904" s="63" t="str">
        <x:v>APPROVED</x:v>
      </x:c>
      <x:c r="Q904" s="64" t="b">
        <x:v>0</x:v>
      </x:c>
      <x:c r="R904" s="63" t="str">
        <x:v>BUSINESS_AND_FINANCIAL_RISKS</x:v>
      </x:c>
      <x:c r="S904" s="63" t="str">
        <x:v>Governed sector operating-model and responsibility policy</x:v>
      </x:c>
      <x:c r="T904" s="63"/>
      <x:c r="U904" s="63" t="str">
        <x:v>internal://v31/governed-policy</x:v>
      </x:c>
      <x:c r="V904" s="63" t="str">
        <x:v>87383364603858d625bcd938318ab55c7c8366ec5126542e0b709adb7c678561</x:v>
      </x:c>
    </x:row>
    <x:row r="905">
      <x:c r="A905" s="63" t="str">
        <x:v>bec:E20:struct:risk:2</x:v>
      </x:c>
      <x:c r="B905" s="63" t="str">
        <x:v>E20</x:v>
      </x:c>
      <x:c r="C905" s="63" t="str">
        <x:v>sector_primary_risk</x:v>
      </x:c>
      <x:c r="D905" s="63" t="str">
        <x:v>CATEGORICAL</x:v>
      </x:c>
      <x:c r="E905" s="63" t="str">
        <x:v>SCENARIO</x:v>
      </x:c>
      <x:c r="F905" s="65"/>
      <x:c r="G905" s="66"/>
      <x:c r="H905" s="67"/>
      <x:c r="I905" s="63" t="str">
        <x:v>development funding</x:v>
      </x:c>
      <x:c r="J905" s="63"/>
      <x:c r="K905" s="63" t="str">
        <x:v>statement</x:v>
      </x:c>
      <x:c r="L905" s="63" t="str">
        <x:v>2025-06-01</x:v>
      </x:c>
      <x:c r="M905" s="63" t="str">
        <x:v>2026-06-30</x:v>
      </x:c>
      <x:c r="N905" s="63" t="str">
        <x:v>2026-06-30</x:v>
      </x:c>
      <x:c r="O905" s="63" t="str">
        <x:v>E0</x:v>
      </x:c>
      <x:c r="P905" s="63" t="str">
        <x:v>APPROVED</x:v>
      </x:c>
      <x:c r="Q905" s="64" t="b">
        <x:v>0</x:v>
      </x:c>
      <x:c r="R905" s="63" t="str">
        <x:v>BUSINESS_AND_FINANCIAL_RISKS</x:v>
      </x:c>
      <x:c r="S905" s="63" t="str">
        <x:v>Governed sector operating-model and responsibility policy</x:v>
      </x:c>
      <x:c r="T905" s="63"/>
      <x:c r="U905" s="63" t="str">
        <x:v>internal://v31/governed-policy</x:v>
      </x:c>
      <x:c r="V905" s="63" t="str">
        <x:v>0529f6eb1eaa663c182d5bfa1823dfeb321986445a52ecfdf5e27c58f627e104</x:v>
      </x:c>
    </x:row>
    <x:row r="906">
      <x:c r="A906" s="63" t="str">
        <x:v>bec:E20:struct:responsibility-model</x:v>
      </x:c>
      <x:c r="B906" s="63" t="str">
        <x:v>E20</x:v>
      </x:c>
      <x:c r="C906" s="63" t="str">
        <x:v>stakeholder_responsibility_model</x:v>
      </x:c>
      <x:c r="D906" s="63" t="str">
        <x:v>TEXTUAL</x:v>
      </x:c>
      <x:c r="E906" s="63" t="str">
        <x:v>SCENARIO</x:v>
      </x:c>
      <x:c r="F906" s="65"/>
      <x:c r="G906" s="66"/>
      <x:c r="H906" s="67"/>
      <x:c r="I906" s="63" t="str">
        <x:v>Responsibility is assigned by role persona using governed matrix v31-stakeholder-responsibility-3.1.0. Named individuals are not resolved in the demonstration and require CRM entitlement checks in production.</x:v>
      </x:c>
      <x:c r="J906" s="63"/>
      <x:c r="K906" s="63" t="str">
        <x:v>statement</x:v>
      </x:c>
      <x:c r="L906" s="63" t="str">
        <x:v>2025-06-01</x:v>
      </x:c>
      <x:c r="M906" s="63" t="str">
        <x:v>2026-06-30</x:v>
      </x:c>
      <x:c r="N906" s="63" t="str">
        <x:v>2026-06-30</x:v>
      </x:c>
      <x:c r="O906" s="63" t="str">
        <x:v>E0</x:v>
      </x:c>
      <x:c r="P906" s="63" t="str">
        <x:v>APPROVED</x:v>
      </x:c>
      <x:c r="Q906" s="64" t="b">
        <x:v>0</x:v>
      </x:c>
      <x:c r="R906" s="63" t="str">
        <x:v>STAKEHOLDER_RESPONSIBILITY</x:v>
      </x:c>
      <x:c r="S906" s="63" t="str">
        <x:v>Governed sector operating-model and responsibility policy</x:v>
      </x:c>
      <x:c r="T906" s="63"/>
      <x:c r="U906" s="63" t="str">
        <x:v>internal://v31/governed-policy</x:v>
      </x:c>
      <x:c r="V906" s="63" t="str">
        <x:v>47117fc347e879ea43d7f377e954939d43678698fd99d16cbfecf8bab52c5a92</x:v>
      </x:c>
    </x:row>
    <x:row r="907">
      <x:c r="A907" s="63" t="str">
        <x:v>bec:E20:struct:responsibility:fx_exposure</x:v>
      </x:c>
      <x:c r="B907" s="63" t="str">
        <x:v>E20</x:v>
      </x:c>
      <x:c r="C907" s="63" t="str">
        <x:v>problem_role_ownership</x:v>
      </x:c>
      <x:c r="D907" s="63" t="str">
        <x:v>STRUCTURE_RELATIONSHIP</x:v>
      </x:c>
      <x:c r="E907" s="63" t="str">
        <x:v>SCENARIO</x:v>
      </x:c>
      <x:c r="F907" s="65"/>
      <x:c r="G907" s="66"/>
      <x:c r="H907" s="67"/>
      <x:c r="I907" s="63"/>
      <x:c r="J907" s="63"/>
      <x:c r="K907" s="63" t="str">
        <x:v>statement</x:v>
      </x:c>
      <x:c r="L907" s="63" t="str">
        <x:v>2025-06-01</x:v>
      </x:c>
      <x:c r="M907" s="63" t="str">
        <x:v>2026-06-30</x:v>
      </x:c>
      <x:c r="N907" s="63" t="str">
        <x:v>2026-06-30</x:v>
      </x:c>
      <x:c r="O907" s="63" t="str">
        <x:v>E0</x:v>
      </x:c>
      <x:c r="P907" s="63" t="str">
        <x:v>APPROVED</x:v>
      </x:c>
      <x:c r="Q907" s="64" t="b">
        <x:v>0</x:v>
      </x:c>
      <x:c r="R907" s="63" t="str">
        <x:v>STAKEHOLDER_RESPONSIBILITY</x:v>
      </x:c>
      <x:c r="S907" s="63" t="str">
        <x:v>Governed sector operating-model and responsibility policy</x:v>
      </x:c>
      <x:c r="T907" s="63"/>
      <x:c r="U907" s="63" t="str">
        <x:v>internal://v31/governed-policy</x:v>
      </x:c>
      <x:c r="V907" s="63" t="str">
        <x:v>8581350bc8ed5b5a6617e2dda4437026af5e5ddf7ee1094ad90abcf3719ff1cf</x:v>
      </x:c>
    </x:row>
    <x:row r="908">
      <x:c r="A908" s="63" t="str">
        <x:v>bec:E20:struct:responsibility:refinancing_cliff</x:v>
      </x:c>
      <x:c r="B908" s="63" t="str">
        <x:v>E20</x:v>
      </x:c>
      <x:c r="C908" s="63" t="str">
        <x:v>problem_role_ownership</x:v>
      </x:c>
      <x:c r="D908" s="63" t="str">
        <x:v>STRUCTURE_RELATIONSHIP</x:v>
      </x:c>
      <x:c r="E908" s="63" t="str">
        <x:v>SCENARIO</x:v>
      </x:c>
      <x:c r="F908" s="65"/>
      <x:c r="G908" s="66"/>
      <x:c r="H908" s="67"/>
      <x:c r="I908" s="63"/>
      <x:c r="J908" s="63"/>
      <x:c r="K908" s="63" t="str">
        <x:v>statement</x:v>
      </x:c>
      <x:c r="L908" s="63" t="str">
        <x:v>2025-06-01</x:v>
      </x:c>
      <x:c r="M908" s="63" t="str">
        <x:v>2026-06-30</x:v>
      </x:c>
      <x:c r="N908" s="63" t="str">
        <x:v>2026-06-30</x:v>
      </x:c>
      <x:c r="O908" s="63" t="str">
        <x:v>E0</x:v>
      </x:c>
      <x:c r="P908" s="63" t="str">
        <x:v>APPROVED</x:v>
      </x:c>
      <x:c r="Q908" s="64" t="b">
        <x:v>0</x:v>
      </x:c>
      <x:c r="R908" s="63" t="str">
        <x:v>STAKEHOLDER_RESPONSIBILITY</x:v>
      </x:c>
      <x:c r="S908" s="63" t="str">
        <x:v>Governed sector operating-model and responsibility policy</x:v>
      </x:c>
      <x:c r="T908" s="63"/>
      <x:c r="U908" s="63" t="str">
        <x:v>internal://v31/governed-policy</x:v>
      </x:c>
      <x:c r="V908" s="63" t="str">
        <x:v>8deca9a8bc18df5b231e4119cc7e90035f18c888de7627d90c5acbb4f0d45a5f</x:v>
      </x:c>
    </x:row>
    <x:row r="909">
      <x:c r="A909" s="63" t="str">
        <x:v>bec:E20:struct:responsibility:working_capital_pressure</x:v>
      </x:c>
      <x:c r="B909" s="63" t="str">
        <x:v>E20</x:v>
      </x:c>
      <x:c r="C909" s="63" t="str">
        <x:v>problem_role_ownership</x:v>
      </x:c>
      <x:c r="D909" s="63" t="str">
        <x:v>STRUCTURE_RELATIONSHIP</x:v>
      </x:c>
      <x:c r="E909" s="63" t="str">
        <x:v>SCENARIO</x:v>
      </x:c>
      <x:c r="F909" s="65"/>
      <x:c r="G909" s="66"/>
      <x:c r="H909" s="67"/>
      <x:c r="I909" s="63"/>
      <x:c r="J909" s="63"/>
      <x:c r="K909" s="63" t="str">
        <x:v>statement</x:v>
      </x:c>
      <x:c r="L909" s="63" t="str">
        <x:v>2025-06-01</x:v>
      </x:c>
      <x:c r="M909" s="63" t="str">
        <x:v>2026-06-30</x:v>
      </x:c>
      <x:c r="N909" s="63" t="str">
        <x:v>2026-06-30</x:v>
      </x:c>
      <x:c r="O909" s="63" t="str">
        <x:v>E0</x:v>
      </x:c>
      <x:c r="P909" s="63" t="str">
        <x:v>APPROVED</x:v>
      </x:c>
      <x:c r="Q909" s="64" t="b">
        <x:v>0</x:v>
      </x:c>
      <x:c r="R909" s="63" t="str">
        <x:v>STAKEHOLDER_RESPONSIBILITY</x:v>
      </x:c>
      <x:c r="S909" s="63" t="str">
        <x:v>Governed sector operating-model and responsibility policy</x:v>
      </x:c>
      <x:c r="T909" s="63"/>
      <x:c r="U909" s="63" t="str">
        <x:v>internal://v31/governed-policy</x:v>
      </x:c>
      <x:c r="V909" s="63" t="str">
        <x:v>e5e02aa4f39d96d6a614be25976ea6c4e22a8d09a3d76064028baa652dda56ba</x:v>
      </x:c>
    </x:row>
  </x:sheetData>
  <x:mergeCells>
    <x:mergeCell ref="A1:V1"/>
    <x:mergeCell ref="A2:V2"/>
  </x:mergeCells>
  <x:conditionalFormatting sqref="A5:V909">
    <x:cfRule type="expression" dxfId="0" priority="1">
      <x:formula>$P5="PENDING_REVIEW"</x:formula>
    </x:cfRule>
    <x:cfRule type="expression" dxfId="1" priority="2">
      <x:formula>$O5="E1"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46" hidden="0" customWidth="1"/>
  </x:cols>
  <x:sheetData>
    <x:row r="1" ht="36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Every client has a complete structural twin; the audited E1 depth gate remains open for all 20.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3" t="str">
        <x:v>Entity ID</x:v>
      </x:c>
      <x:c r="B4" s="73" t="str">
        <x:v>Entity name</x:v>
      </x:c>
      <x:c r="C4" s="73" t="str">
        <x:v>Sector</x:v>
      </x:c>
      <x:c r="D4" s="73" t="str">
        <x:v>Claims</x:v>
      </x:c>
      <x:c r="E4" s="73" t="str">
        <x:v>Approved</x:v>
      </x:c>
      <x:c r="F4" s="73" t="str">
        <x:v>Pending</x:v>
      </x:c>
      <x:c r="G4" s="73" t="str">
        <x:v>E1 claims</x:v>
      </x:c>
      <x:c r="H4" s="73" t="str">
        <x:v>Approved E1</x:v>
      </x:c>
      <x:c r="I4" s="73" t="str">
        <x:v>Domains</x:v>
      </x:c>
      <x:c r="J4" s="73" t="str">
        <x:v>Gaps</x:v>
      </x:c>
      <x:c r="K4" s="73" t="str">
        <x:v>Critical-path fact</x:v>
      </x:c>
      <x:c r="L4" s="73" t="str">
        <x:v>15 E1 threshold</x:v>
      </x:c>
      <x:c r="M4" s="73" t="str">
        <x:v>Coverage status</x:v>
      </x:c>
      <x:c r="N4" s="73" t="str">
        <x:v>Decision impact</x:v>
      </x:c>
    </x:row>
    <x:row r="5">
      <x:c r="A5" s="63" t="str">
        <x:v>E01</x:v>
      </x:c>
      <x:c r="B5" s="63" t="str">
        <x:v>BHP Group</x:v>
      </x:c>
      <x:c r="C5" s="63" t="str">
        <x:v>mining</x:v>
      </x:c>
      <x:c r="D5" s="63" t="n">
        <x:v>52</x:v>
      </x:c>
      <x:c r="E5" s="63" t="n">
        <x:v>52</x:v>
      </x:c>
      <x:c r="F5" s="63" t="n">
        <x:v>0</x:v>
      </x:c>
      <x:c r="G5" s="63" t="n">
        <x:v>11</x:v>
      </x:c>
      <x:c r="H5" s="63" t="n">
        <x:v>11</x:v>
      </x:c>
      <x:c r="I5" s="63" t="n">
        <x:v>11</x:v>
      </x:c>
      <x:c r="J5" s="63" t="n">
        <x:v>1</x:v>
      </x:c>
      <x:c r="K5" s="64" t="b">
        <x:v>1</x:v>
      </x:c>
      <x:c r="L5" s="64" t="b">
        <x:v>0</x:v>
      </x:c>
      <x:c r="M5" s="63" t="str">
        <x:f>IF(L5,"COMPLETE","E1 GATE OPEN")</x:f>
        <x:v>E1 GATE OPEN</x:v>
      </x:c>
      <x:c r="N5" s="63" t="str">
        <x:v>Discovery only; acquire and approve more public evidence</x:v>
      </x:c>
    </x:row>
    <x:row r="6">
      <x:c r="A6" s="63" t="str">
        <x:v>E02</x:v>
      </x:c>
      <x:c r="B6" s="63" t="str">
        <x:v>Glencore</x:v>
      </x:c>
      <x:c r="C6" s="63" t="str">
        <x:v>mining</x:v>
      </x:c>
      <x:c r="D6" s="63" t="n">
        <x:v>52</x:v>
      </x:c>
      <x:c r="E6" s="63" t="n">
        <x:v>52</x:v>
      </x:c>
      <x:c r="F6" s="63" t="n">
        <x:v>0</x:v>
      </x:c>
      <x:c r="G6" s="63" t="n">
        <x:v>11</x:v>
      </x:c>
      <x:c r="H6" s="63" t="n">
        <x:v>11</x:v>
      </x:c>
      <x:c r="I6" s="63" t="n">
        <x:v>11</x:v>
      </x:c>
      <x:c r="J6" s="63" t="n">
        <x:v>1</x:v>
      </x:c>
      <x:c r="K6" s="64" t="b">
        <x:v>1</x:v>
      </x:c>
      <x:c r="L6" s="64" t="b">
        <x:v>0</x:v>
      </x:c>
      <x:c r="M6" s="63" t="str">
        <x:f>IF(L6,"COMPLETE","E1 GATE OPEN")</x:f>
        <x:v>E1 GATE OPEN</x:v>
      </x:c>
      <x:c r="N6" s="63" t="str">
        <x:v>Discovery only; acquire and approve more public evidence</x:v>
      </x:c>
    </x:row>
    <x:row r="7">
      <x:c r="A7" s="63" t="str">
        <x:v>E03</x:v>
      </x:c>
      <x:c r="B7" s="63" t="str">
        <x:v>Anglo American</x:v>
      </x:c>
      <x:c r="C7" s="63" t="str">
        <x:v>mining</x:v>
      </x:c>
      <x:c r="D7" s="63" t="n">
        <x:v>44</x:v>
      </x:c>
      <x:c r="E7" s="63" t="n">
        <x:v>41</x:v>
      </x:c>
      <x:c r="F7" s="63" t="n">
        <x:v>3</x:v>
      </x:c>
      <x:c r="G7" s="63" t="n">
        <x:v>3</x:v>
      </x:c>
      <x:c r="H7" s="63" t="n">
        <x:v>0</x:v>
      </x:c>
      <x:c r="I7" s="63" t="n">
        <x:v>11</x:v>
      </x:c>
      <x:c r="J7" s="63" t="n">
        <x:v>4</x:v>
      </x:c>
      <x:c r="K7" s="64" t="b">
        <x:v>1</x:v>
      </x:c>
      <x:c r="L7" s="64" t="b">
        <x:v>0</x:v>
      </x:c>
      <x:c r="M7" s="63" t="str">
        <x:f>IF(L7,"COMPLETE","E1 GATE OPEN")</x:f>
        <x:v>E1 GATE OPEN</x:v>
      </x:c>
      <x:c r="N7" s="63" t="str">
        <x:v>Discovery only; acquire and approve more public evidence</x:v>
      </x:c>
    </x:row>
    <x:row r="8">
      <x:c r="A8" s="63" t="str">
        <x:v>E04</x:v>
      </x:c>
      <x:c r="B8" s="63" t="str">
        <x:v>AngloGold Ashanti</x:v>
      </x:c>
      <x:c r="C8" s="63" t="str">
        <x:v>mining</x:v>
      </x:c>
      <x:c r="D8" s="63" t="n">
        <x:v>44</x:v>
      </x:c>
      <x:c r="E8" s="63" t="n">
        <x:v>41</x:v>
      </x:c>
      <x:c r="F8" s="63" t="n">
        <x:v>3</x:v>
      </x:c>
      <x:c r="G8" s="63" t="n">
        <x:v>3</x:v>
      </x:c>
      <x:c r="H8" s="63" t="n">
        <x:v>0</x:v>
      </x:c>
      <x:c r="I8" s="63" t="n">
        <x:v>11</x:v>
      </x:c>
      <x:c r="J8" s="63" t="n">
        <x:v>4</x:v>
      </x:c>
      <x:c r="K8" s="64" t="b">
        <x:v>1</x:v>
      </x:c>
      <x:c r="L8" s="64" t="b">
        <x:v>0</x:v>
      </x:c>
      <x:c r="M8" s="63" t="str">
        <x:f>IF(L8,"COMPLETE","E1 GATE OPEN")</x:f>
        <x:v>E1 GATE OPEN</x:v>
      </x:c>
      <x:c r="N8" s="63" t="str">
        <x:v>Discovery only; acquire and approve more public evidence</x:v>
      </x:c>
    </x:row>
    <x:row r="9">
      <x:c r="A9" s="63" t="str">
        <x:v>E05</x:v>
      </x:c>
      <x:c r="B9" s="63" t="str">
        <x:v>Gold Fields</x:v>
      </x:c>
      <x:c r="C9" s="63" t="str">
        <x:v>mining</x:v>
      </x:c>
      <x:c r="D9" s="63" t="n">
        <x:v>44</x:v>
      </x:c>
      <x:c r="E9" s="63" t="n">
        <x:v>41</x:v>
      </x:c>
      <x:c r="F9" s="63" t="n">
        <x:v>3</x:v>
      </x:c>
      <x:c r="G9" s="63" t="n">
        <x:v>3</x:v>
      </x:c>
      <x:c r="H9" s="63" t="n">
        <x:v>0</x:v>
      </x:c>
      <x:c r="I9" s="63" t="n">
        <x:v>11</x:v>
      </x:c>
      <x:c r="J9" s="63" t="n">
        <x:v>4</x:v>
      </x:c>
      <x:c r="K9" s="64" t="b">
        <x:v>1</x:v>
      </x:c>
      <x:c r="L9" s="64" t="b">
        <x:v>0</x:v>
      </x:c>
      <x:c r="M9" s="63" t="str">
        <x:f>IF(L9,"COMPLETE","E1 GATE OPEN")</x:f>
        <x:v>E1 GATE OPEN</x:v>
      </x:c>
      <x:c r="N9" s="63" t="str">
        <x:v>Discovery only; acquire and approve more public evidence</x:v>
      </x:c>
    </x:row>
    <x:row r="10">
      <x:c r="A10" s="63" t="str">
        <x:v>E06</x:v>
      </x:c>
      <x:c r="B10" s="63" t="str">
        <x:v>Valterra Platinum</x:v>
      </x:c>
      <x:c r="C10" s="63" t="str">
        <x:v>mining</x:v>
      </x:c>
      <x:c r="D10" s="63" t="n">
        <x:v>44</x:v>
      </x:c>
      <x:c r="E10" s="63" t="n">
        <x:v>41</x:v>
      </x:c>
      <x:c r="F10" s="63" t="n">
        <x:v>3</x:v>
      </x:c>
      <x:c r="G10" s="63" t="n">
        <x:v>3</x:v>
      </x:c>
      <x:c r="H10" s="63" t="n">
        <x:v>0</x:v>
      </x:c>
      <x:c r="I10" s="63" t="n">
        <x:v>11</x:v>
      </x:c>
      <x:c r="J10" s="63" t="n">
        <x:v>4</x:v>
      </x:c>
      <x:c r="K10" s="64" t="b">
        <x:v>1</x:v>
      </x:c>
      <x:c r="L10" s="64" t="b">
        <x:v>0</x:v>
      </x:c>
      <x:c r="M10" s="63" t="str">
        <x:f>IF(L10,"COMPLETE","E1 GATE OPEN")</x:f>
        <x:v>E1 GATE OPEN</x:v>
      </x:c>
      <x:c r="N10" s="63" t="str">
        <x:v>Discovery only; acquire and approve more public evidence</x:v>
      </x:c>
    </x:row>
    <x:row r="11">
      <x:c r="A11" s="63" t="str">
        <x:v>E07</x:v>
      </x:c>
      <x:c r="B11" s="63" t="str">
        <x:v>OUTsurance Group</x:v>
      </x:c>
      <x:c r="C11" s="63" t="str">
        <x:v>insurance</x:v>
      </x:c>
      <x:c r="D11" s="63" t="n">
        <x:v>44</x:v>
      </x:c>
      <x:c r="E11" s="63" t="n">
        <x:v>41</x:v>
      </x:c>
      <x:c r="F11" s="63" t="n">
        <x:v>3</x:v>
      </x:c>
      <x:c r="G11" s="63" t="n">
        <x:v>3</x:v>
      </x:c>
      <x:c r="H11" s="63" t="n">
        <x:v>0</x:v>
      </x:c>
      <x:c r="I11" s="63" t="n">
        <x:v>11</x:v>
      </x:c>
      <x:c r="J11" s="63" t="n">
        <x:v>4</x:v>
      </x:c>
      <x:c r="K11" s="64" t="b">
        <x:v>1</x:v>
      </x:c>
      <x:c r="L11" s="64" t="b">
        <x:v>0</x:v>
      </x:c>
      <x:c r="M11" s="63" t="str">
        <x:f>IF(L11,"COMPLETE","E1 GATE OPEN")</x:f>
        <x:v>E1 GATE OPEN</x:v>
      </x:c>
      <x:c r="N11" s="63" t="str">
        <x:v>Discovery only; acquire and approve more public evidence</x:v>
      </x:c>
    </x:row>
    <x:row r="12">
      <x:c r="A12" s="63" t="str">
        <x:v>E08</x:v>
      </x:c>
      <x:c r="B12" s="63" t="str">
        <x:v>Sanlam</x:v>
      </x:c>
      <x:c r="C12" s="63" t="str">
        <x:v>insurance</x:v>
      </x:c>
      <x:c r="D12" s="63" t="n">
        <x:v>44</x:v>
      </x:c>
      <x:c r="E12" s="63" t="n">
        <x:v>41</x:v>
      </x:c>
      <x:c r="F12" s="63" t="n">
        <x:v>3</x:v>
      </x:c>
      <x:c r="G12" s="63" t="n">
        <x:v>3</x:v>
      </x:c>
      <x:c r="H12" s="63" t="n">
        <x:v>0</x:v>
      </x:c>
      <x:c r="I12" s="63" t="n">
        <x:v>11</x:v>
      </x:c>
      <x:c r="J12" s="63" t="n">
        <x:v>4</x:v>
      </x:c>
      <x:c r="K12" s="64" t="b">
        <x:v>1</x:v>
      </x:c>
      <x:c r="L12" s="64" t="b">
        <x:v>0</x:v>
      </x:c>
      <x:c r="M12" s="63" t="str">
        <x:f>IF(L12,"COMPLETE","E1 GATE OPEN")</x:f>
        <x:v>E1 GATE OPEN</x:v>
      </x:c>
      <x:c r="N12" s="63" t="str">
        <x:v>Discovery only; acquire and approve more public evidence</x:v>
      </x:c>
    </x:row>
    <x:row r="13">
      <x:c r="A13" s="63" t="str">
        <x:v>E09</x:v>
      </x:c>
      <x:c r="B13" s="63" t="str">
        <x:v>Shoprite Holdings</x:v>
      </x:c>
      <x:c r="C13" s="63" t="str">
        <x:v>consumer</x:v>
      </x:c>
      <x:c r="D13" s="63" t="n">
        <x:v>53</x:v>
      </x:c>
      <x:c r="E13" s="63" t="n">
        <x:v>53</x:v>
      </x:c>
      <x:c r="F13" s="63" t="n">
        <x:v>0</x:v>
      </x:c>
      <x:c r="G13" s="63" t="n">
        <x:v>12</x:v>
      </x:c>
      <x:c r="H13" s="63" t="n">
        <x:v>12</x:v>
      </x:c>
      <x:c r="I13" s="63" t="n">
        <x:v>11</x:v>
      </x:c>
      <x:c r="J13" s="63" t="n">
        <x:v>1</x:v>
      </x:c>
      <x:c r="K13" s="64" t="b">
        <x:v>1</x:v>
      </x:c>
      <x:c r="L13" s="64" t="b">
        <x:v>0</x:v>
      </x:c>
      <x:c r="M13" s="63" t="str">
        <x:f>IF(L13,"COMPLETE","E1 GATE OPEN")</x:f>
        <x:v>E1 GATE OPEN</x:v>
      </x:c>
      <x:c r="N13" s="63" t="str">
        <x:v>Discovery only; acquire and approve more public evidence</x:v>
      </x:c>
    </x:row>
    <x:row r="14">
      <x:c r="A14" s="63" t="str">
        <x:v>E10</x:v>
      </x:c>
      <x:c r="B14" s="63" t="str">
        <x:v>Bid Corporation</x:v>
      </x:c>
      <x:c r="C14" s="63" t="str">
        <x:v>consumer</x:v>
      </x:c>
      <x:c r="D14" s="63" t="n">
        <x:v>44</x:v>
      </x:c>
      <x:c r="E14" s="63" t="n">
        <x:v>41</x:v>
      </x:c>
      <x:c r="F14" s="63" t="n">
        <x:v>3</x:v>
      </x:c>
      <x:c r="G14" s="63" t="n">
        <x:v>3</x:v>
      </x:c>
      <x:c r="H14" s="63" t="n">
        <x:v>0</x:v>
      </x:c>
      <x:c r="I14" s="63" t="n">
        <x:v>11</x:v>
      </x:c>
      <x:c r="J14" s="63" t="n">
        <x:v>4</x:v>
      </x:c>
      <x:c r="K14" s="64" t="b">
        <x:v>1</x:v>
      </x:c>
      <x:c r="L14" s="64" t="b">
        <x:v>0</x:v>
      </x:c>
      <x:c r="M14" s="63" t="str">
        <x:f>IF(L14,"COMPLETE","E1 GATE OPEN")</x:f>
        <x:v>E1 GATE OPEN</x:v>
      </x:c>
      <x:c r="N14" s="63" t="str">
        <x:v>Discovery only; acquire and approve more public evidence</x:v>
      </x:c>
    </x:row>
    <x:row r="15">
      <x:c r="A15" s="63" t="str">
        <x:v>E11</x:v>
      </x:c>
      <x:c r="B15" s="63" t="str">
        <x:v>Pepkor Holdings</x:v>
      </x:c>
      <x:c r="C15" s="63" t="str">
        <x:v>consumer</x:v>
      </x:c>
      <x:c r="D15" s="63" t="n">
        <x:v>44</x:v>
      </x:c>
      <x:c r="E15" s="63" t="n">
        <x:v>41</x:v>
      </x:c>
      <x:c r="F15" s="63" t="n">
        <x:v>3</x:v>
      </x:c>
      <x:c r="G15" s="63" t="n">
        <x:v>3</x:v>
      </x:c>
      <x:c r="H15" s="63" t="n">
        <x:v>0</x:v>
      </x:c>
      <x:c r="I15" s="63" t="n">
        <x:v>11</x:v>
      </x:c>
      <x:c r="J15" s="63" t="n">
        <x:v>4</x:v>
      </x:c>
      <x:c r="K15" s="64" t="b">
        <x:v>1</x:v>
      </x:c>
      <x:c r="L15" s="64" t="b">
        <x:v>0</x:v>
      </x:c>
      <x:c r="M15" s="63" t="str">
        <x:f>IF(L15,"COMPLETE","E1 GATE OPEN")</x:f>
        <x:v>E1 GATE OPEN</x:v>
      </x:c>
      <x:c r="N15" s="63" t="str">
        <x:v>Discovery only; acquire and approve more public evidence</x:v>
      </x:c>
    </x:row>
    <x:row r="16">
      <x:c r="A16" s="63" t="str">
        <x:v>E12</x:v>
      </x:c>
      <x:c r="B16" s="63" t="str">
        <x:v>Clicks Group</x:v>
      </x:c>
      <x:c r="C16" s="63" t="str">
        <x:v>consumer</x:v>
      </x:c>
      <x:c r="D16" s="63" t="n">
        <x:v>44</x:v>
      </x:c>
      <x:c r="E16" s="63" t="n">
        <x:v>41</x:v>
      </x:c>
      <x:c r="F16" s="63" t="n">
        <x:v>3</x:v>
      </x:c>
      <x:c r="G16" s="63" t="n">
        <x:v>3</x:v>
      </x:c>
      <x:c r="H16" s="63" t="n">
        <x:v>0</x:v>
      </x:c>
      <x:c r="I16" s="63" t="n">
        <x:v>11</x:v>
      </x:c>
      <x:c r="J16" s="63" t="n">
        <x:v>4</x:v>
      </x:c>
      <x:c r="K16" s="64" t="b">
        <x:v>1</x:v>
      </x:c>
      <x:c r="L16" s="64" t="b">
        <x:v>0</x:v>
      </x:c>
      <x:c r="M16" s="63" t="str">
        <x:f>IF(L16,"COMPLETE","E1 GATE OPEN")</x:f>
        <x:v>E1 GATE OPEN</x:v>
      </x:c>
      <x:c r="N16" s="63" t="str">
        <x:v>Discovery only; acquire and approve more public evidence</x:v>
      </x:c>
    </x:row>
    <x:row r="17">
      <x:c r="A17" s="63" t="str">
        <x:v>E13</x:v>
      </x:c>
      <x:c r="B17" s="63" t="str">
        <x:v>NEPI Rockcastle</x:v>
      </x:c>
      <x:c r="C17" s="63" t="str">
        <x:v>real_estate</x:v>
      </x:c>
      <x:c r="D17" s="63" t="n">
        <x:v>44</x:v>
      </x:c>
      <x:c r="E17" s="63" t="n">
        <x:v>41</x:v>
      </x:c>
      <x:c r="F17" s="63" t="n">
        <x:v>3</x:v>
      </x:c>
      <x:c r="G17" s="63" t="n">
        <x:v>3</x:v>
      </x:c>
      <x:c r="H17" s="63" t="n">
        <x:v>0</x:v>
      </x:c>
      <x:c r="I17" s="63" t="n">
        <x:v>11</x:v>
      </x:c>
      <x:c r="J17" s="63" t="n">
        <x:v>4</x:v>
      </x:c>
      <x:c r="K17" s="64" t="b">
        <x:v>1</x:v>
      </x:c>
      <x:c r="L17" s="64" t="b">
        <x:v>0</x:v>
      </x:c>
      <x:c r="M17" s="63" t="str">
        <x:f>IF(L17,"COMPLETE","E1 GATE OPEN")</x:f>
        <x:v>E1 GATE OPEN</x:v>
      </x:c>
      <x:c r="N17" s="63" t="str">
        <x:v>Discovery only; acquire and approve more public evidence</x:v>
      </x:c>
    </x:row>
    <x:row r="18">
      <x:c r="A18" s="63" t="str">
        <x:v>E14</x:v>
      </x:c>
      <x:c r="B18" s="63" t="str">
        <x:v>Prosus</x:v>
      </x:c>
      <x:c r="C18" s="63" t="str">
        <x:v>tech</x:v>
      </x:c>
      <x:c r="D18" s="63" t="n">
        <x:v>44</x:v>
      </x:c>
      <x:c r="E18" s="63" t="n">
        <x:v>41</x:v>
      </x:c>
      <x:c r="F18" s="63" t="n">
        <x:v>3</x:v>
      </x:c>
      <x:c r="G18" s="63" t="n">
        <x:v>3</x:v>
      </x:c>
      <x:c r="H18" s="63" t="n">
        <x:v>0</x:v>
      </x:c>
      <x:c r="I18" s="63" t="n">
        <x:v>11</x:v>
      </x:c>
      <x:c r="J18" s="63" t="n">
        <x:v>4</x:v>
      </x:c>
      <x:c r="K18" s="64" t="b">
        <x:v>1</x:v>
      </x:c>
      <x:c r="L18" s="64" t="b">
        <x:v>0</x:v>
      </x:c>
      <x:c r="M18" s="63" t="str">
        <x:f>IF(L18,"COMPLETE","E1 GATE OPEN")</x:f>
        <x:v>E1 GATE OPEN</x:v>
      </x:c>
      <x:c r="N18" s="63" t="str">
        <x:v>Discovery only; acquire and approve more public evidence</x:v>
      </x:c>
    </x:row>
    <x:row r="19">
      <x:c r="A19" s="63" t="str">
        <x:v>E15</x:v>
      </x:c>
      <x:c r="B19" s="63" t="str">
        <x:v>Naspers</x:v>
      </x:c>
      <x:c r="C19" s="63" t="str">
        <x:v>tech</x:v>
      </x:c>
      <x:c r="D19" s="63" t="n">
        <x:v>44</x:v>
      </x:c>
      <x:c r="E19" s="63" t="n">
        <x:v>41</x:v>
      </x:c>
      <x:c r="F19" s="63" t="n">
        <x:v>3</x:v>
      </x:c>
      <x:c r="G19" s="63" t="n">
        <x:v>3</x:v>
      </x:c>
      <x:c r="H19" s="63" t="n">
        <x:v>0</x:v>
      </x:c>
      <x:c r="I19" s="63" t="n">
        <x:v>11</x:v>
      </x:c>
      <x:c r="J19" s="63" t="n">
        <x:v>4</x:v>
      </x:c>
      <x:c r="K19" s="64" t="b">
        <x:v>1</x:v>
      </x:c>
      <x:c r="L19" s="64" t="b">
        <x:v>0</x:v>
      </x:c>
      <x:c r="M19" s="63" t="str">
        <x:f>IF(L19,"COMPLETE","E1 GATE OPEN")</x:f>
        <x:v>E1 GATE OPEN</x:v>
      </x:c>
      <x:c r="N19" s="63" t="str">
        <x:v>Discovery only; acquire and approve more public evidence</x:v>
      </x:c>
    </x:row>
    <x:row r="20">
      <x:c r="A20" s="63" t="str">
        <x:v>E16</x:v>
      </x:c>
      <x:c r="B20" s="63" t="str">
        <x:v>MTN Group</x:v>
      </x:c>
      <x:c r="C20" s="63" t="str">
        <x:v>telecoms</x:v>
      </x:c>
      <x:c r="D20" s="63" t="n">
        <x:v>44</x:v>
      </x:c>
      <x:c r="E20" s="63" t="n">
        <x:v>41</x:v>
      </x:c>
      <x:c r="F20" s="63" t="n">
        <x:v>3</x:v>
      </x:c>
      <x:c r="G20" s="63" t="n">
        <x:v>3</x:v>
      </x:c>
      <x:c r="H20" s="63" t="n">
        <x:v>0</x:v>
      </x:c>
      <x:c r="I20" s="63" t="n">
        <x:v>11</x:v>
      </x:c>
      <x:c r="J20" s="63" t="n">
        <x:v>4</x:v>
      </x:c>
      <x:c r="K20" s="64" t="b">
        <x:v>1</x:v>
      </x:c>
      <x:c r="L20" s="64" t="b">
        <x:v>0</x:v>
      </x:c>
      <x:c r="M20" s="63" t="str">
        <x:f>IF(L20,"COMPLETE","E1 GATE OPEN")</x:f>
        <x:v>E1 GATE OPEN</x:v>
      </x:c>
      <x:c r="N20" s="63" t="str">
        <x:v>Discovery only; acquire and approve more public evidence</x:v>
      </x:c>
    </x:row>
    <x:row r="21">
      <x:c r="A21" s="63" t="str">
        <x:v>E17</x:v>
      </x:c>
      <x:c r="B21" s="63" t="str">
        <x:v>Vodacom Group</x:v>
      </x:c>
      <x:c r="C21" s="63" t="str">
        <x:v>telecoms</x:v>
      </x:c>
      <x:c r="D21" s="63" t="n">
        <x:v>44</x:v>
      </x:c>
      <x:c r="E21" s="63" t="n">
        <x:v>41</x:v>
      </x:c>
      <x:c r="F21" s="63" t="n">
        <x:v>3</x:v>
      </x:c>
      <x:c r="G21" s="63" t="n">
        <x:v>3</x:v>
      </x:c>
      <x:c r="H21" s="63" t="n">
        <x:v>0</x:v>
      </x:c>
      <x:c r="I21" s="63" t="n">
        <x:v>11</x:v>
      </x:c>
      <x:c r="J21" s="63" t="n">
        <x:v>4</x:v>
      </x:c>
      <x:c r="K21" s="64" t="b">
        <x:v>1</x:v>
      </x:c>
      <x:c r="L21" s="64" t="b">
        <x:v>0</x:v>
      </x:c>
      <x:c r="M21" s="63" t="str">
        <x:f>IF(L21,"COMPLETE","E1 GATE OPEN")</x:f>
        <x:v>E1 GATE OPEN</x:v>
      </x:c>
      <x:c r="N21" s="63" t="str">
        <x:v>Discovery only; acquire and approve more public evidence</x:v>
      </x:c>
    </x:row>
    <x:row r="22">
      <x:c r="A22" s="63" t="str">
        <x:v>E18</x:v>
      </x:c>
      <x:c r="B22" s="63" t="str">
        <x:v>The Bidvest Group</x:v>
      </x:c>
      <x:c r="C22" s="63" t="str">
        <x:v>industrials_pharma</x:v>
      </x:c>
      <x:c r="D22" s="63" t="n">
        <x:v>44</x:v>
      </x:c>
      <x:c r="E22" s="63" t="n">
        <x:v>41</x:v>
      </x:c>
      <x:c r="F22" s="63" t="n">
        <x:v>3</x:v>
      </x:c>
      <x:c r="G22" s="63" t="n">
        <x:v>3</x:v>
      </x:c>
      <x:c r="H22" s="63" t="n">
        <x:v>0</x:v>
      </x:c>
      <x:c r="I22" s="63" t="n">
        <x:v>11</x:v>
      </x:c>
      <x:c r="J22" s="63" t="n">
        <x:v>4</x:v>
      </x:c>
      <x:c r="K22" s="64" t="b">
        <x:v>1</x:v>
      </x:c>
      <x:c r="L22" s="64" t="b">
        <x:v>0</x:v>
      </x:c>
      <x:c r="M22" s="63" t="str">
        <x:f>IF(L22,"COMPLETE","E1 GATE OPEN")</x:f>
        <x:v>E1 GATE OPEN</x:v>
      </x:c>
      <x:c r="N22" s="63" t="str">
        <x:v>Discovery only; acquire and approve more public evidence</x:v>
      </x:c>
    </x:row>
    <x:row r="23">
      <x:c r="A23" s="63" t="str">
        <x:v>E19</x:v>
      </x:c>
      <x:c r="B23" s="63" t="str">
        <x:v>Aspen Pharmacare</x:v>
      </x:c>
      <x:c r="C23" s="63" t="str">
        <x:v>industrials_pharma</x:v>
      </x:c>
      <x:c r="D23" s="63" t="n">
        <x:v>44</x:v>
      </x:c>
      <x:c r="E23" s="63" t="n">
        <x:v>41</x:v>
      </x:c>
      <x:c r="F23" s="63" t="n">
        <x:v>3</x:v>
      </x:c>
      <x:c r="G23" s="63" t="n">
        <x:v>3</x:v>
      </x:c>
      <x:c r="H23" s="63" t="n">
        <x:v>0</x:v>
      </x:c>
      <x:c r="I23" s="63" t="n">
        <x:v>11</x:v>
      </x:c>
      <x:c r="J23" s="63" t="n">
        <x:v>4</x:v>
      </x:c>
      <x:c r="K23" s="64" t="b">
        <x:v>1</x:v>
      </x:c>
      <x:c r="L23" s="64" t="b">
        <x:v>0</x:v>
      </x:c>
      <x:c r="M23" s="63" t="str">
        <x:f>IF(L23,"COMPLETE","E1 GATE OPEN")</x:f>
        <x:v>E1 GATE OPEN</x:v>
      </x:c>
      <x:c r="N23" s="63" t="str">
        <x:v>Discovery only; acquire and approve more public evidence</x:v>
      </x:c>
    </x:row>
    <x:row r="24">
      <x:c r="A24" s="63" t="str">
        <x:v>E20</x:v>
      </x:c>
      <x:c r="B24" s="63" t="str">
        <x:v>Shaftesbury Capital plc</x:v>
      </x:c>
      <x:c r="C24" s="63" t="str">
        <x:v>real_estate</x:v>
      </x:c>
      <x:c r="D24" s="63" t="n">
        <x:v>44</x:v>
      </x:c>
      <x:c r="E24" s="63" t="n">
        <x:v>41</x:v>
      </x:c>
      <x:c r="F24" s="63" t="n">
        <x:v>3</x:v>
      </x:c>
      <x:c r="G24" s="63" t="n">
        <x:v>3</x:v>
      </x:c>
      <x:c r="H24" s="63" t="n">
        <x:v>0</x:v>
      </x:c>
      <x:c r="I24" s="63" t="n">
        <x:v>11</x:v>
      </x:c>
      <x:c r="J24" s="63" t="n">
        <x:v>4</x:v>
      </x:c>
      <x:c r="K24" s="64" t="b">
        <x:v>1</x:v>
      </x:c>
      <x:c r="L24" s="64" t="b">
        <x:v>0</x:v>
      </x:c>
      <x:c r="M24" s="63" t="str">
        <x:f>IF(L24,"COMPLETE","E1 GATE OPEN")</x:f>
        <x:v>E1 GATE OPEN</x:v>
      </x:c>
      <x:c r="N24" s="63" t="str">
        <x:v>Discovery only; acquire and approve more public evidence</x:v>
      </x:c>
    </x:row>
  </x:sheetData>
  <x:mergeCells>
    <x:mergeCell ref="A1:N1"/>
    <x:mergeCell ref="A2:N2"/>
  </x:mergeCells>
  <x:conditionalFormatting sqref="M5:M24">
    <x:cfRule type="containsText" dxfId="2" priority="1" operator="containsText" text="OPE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3" hidden="0" customWidth="1"/>
    <x:col min="3" max="3" width="23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46" hidden="0" customWidth="1"/>
    <x:col min="13" max="13" width="46" hidden="0" customWidth="1"/>
    <x:col min="14" max="14" width="46" hidden="0" customWidth="1"/>
  </x:cols>
  <x:sheetData>
    <x:row r="1" ht="36" customHeight="1">
      <x:c r="A1" s="3" t="str">
        <x:v>Business Model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Twelve point-in-time domains per client; unknown values remain unknown and decision impacts stay traceable.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9" t="str">
        <x:v>Entity ID</x:v>
      </x:c>
      <x:c r="B4" s="79" t="str">
        <x:v>Entity name</x:v>
      </x:c>
      <x:c r="C4" s="79" t="str">
        <x:v>Sector</x:v>
      </x:c>
      <x:c r="D4" s="79" t="str">
        <x:v>Snapshot</x:v>
      </x:c>
      <x:c r="E4" s="79" t="str">
        <x:v>Domain</x:v>
      </x:c>
      <x:c r="F4" s="79" t="str">
        <x:v>Label</x:v>
      </x:c>
      <x:c r="G4" s="79" t="str">
        <x:v>Status</x:v>
      </x:c>
      <x:c r="H4" s="79" t="str">
        <x:v>Claim class</x:v>
      </x:c>
      <x:c r="I4" s="79" t="str">
        <x:v>Evidence tier</x:v>
      </x:c>
      <x:c r="J4" s="79" t="str">
        <x:v>Materiality</x:v>
      </x:c>
      <x:c r="K4" s="79" t="str">
        <x:v>Freshness days</x:v>
      </x:c>
      <x:c r="L4" s="79" t="str">
        <x:v>Evidence claim IDs</x:v>
      </x:c>
      <x:c r="M4" s="79" t="str">
        <x:v>Missing information</x:v>
      </x:c>
      <x:c r="N4" s="79" t="str">
        <x:v>Decision impacts</x:v>
      </x:c>
    </x:row>
    <x:row r="5">
      <x:c r="A5" s="63" t="str">
        <x:v>E01</x:v>
      </x:c>
      <x:c r="B5" s="63" t="str">
        <x:v>BHP Group</x:v>
      </x:c>
      <x:c r="C5" s="63" t="str">
        <x:v>mining</x:v>
      </x:c>
      <x:c r="D5" s="63" t="str">
        <x:v>twin:E01:2026-06-30:3.1.0</x:v>
      </x:c>
      <x:c r="E5" s="63" t="str">
        <x:v>REVENUE_ENGINE</x:v>
      </x:c>
      <x:c r="F5" s="63" t="str">
        <x:v>Revenue engine</x:v>
      </x:c>
      <x:c r="G5" s="63" t="str">
        <x:v>SUPPORTED</x:v>
      </x:c>
      <x:c r="H5" s="63" t="str">
        <x:v>OBSERVED</x:v>
      </x:c>
      <x:c r="I5" s="63" t="str">
        <x:v>E0</x:v>
      </x:c>
      <x:c r="J5" s="80" t="n">
        <x:v>0.95</x:v>
      </x:c>
      <x:c r="K5" s="63" t="n">
        <x:v>0</x:v>
      </x:c>
      <x:c r="L5" s="63" t="str">
        <x:v>bec:BHP-2025-AR-CLOSE, bec:BHP-2025-AR-OPEN, bec:BHP-2025-REV, bec:E01:obs:flow:collections, bec:E01:obs:trend:collections</x:v>
      </x:c>
      <x:c r="M5" s="63" t="str"/>
      <x:c r="N5" s="63" t="str">
        <x:v>{"problems":["COLLECTIONS_INEFFICIENCY","WORKING_CAPITAL_PRESSURE"],"solutions":["COLLECTIONS","SUPPLY_CHAIN_FINANCE"],"timing":["collection seasonality"]}</x:v>
      </x:c>
    </x:row>
    <x:row r="6">
      <x:c r="A6" s="63" t="str">
        <x:v>E01</x:v>
      </x:c>
      <x:c r="B6" s="63" t="str">
        <x:v>BHP Group</x:v>
      </x:c>
      <x:c r="C6" s="63" t="str">
        <x:v>mining</x:v>
      </x:c>
      <x:c r="D6" s="63" t="str">
        <x:v>twin:E01:2026-06-30:3.1.0</x:v>
      </x:c>
      <x:c r="E6" s="63" t="str">
        <x:v>COST_ENGINE</x:v>
      </x:c>
      <x:c r="F6" s="63" t="str">
        <x:v>Cost engine</x:v>
      </x:c>
      <x:c r="G6" s="63" t="str">
        <x:v>SUPPORTED</x:v>
      </x:c>
      <x:c r="H6" s="63" t="str">
        <x:v>OBSERVED</x:v>
      </x:c>
      <x:c r="I6" s="63" t="str">
        <x:v>E0</x:v>
      </x:c>
      <x:c r="J6" s="80" t="n">
        <x:v>0.9</x:v>
      </x:c>
      <x:c r="K6" s="63" t="n">
        <x:v>0</x:v>
      </x:c>
      <x:c r="L6" s="63" t="str">
        <x:v>bec:BHP-2025-AP-CLOSE, bec:BHP-2025-AP-OPEN, bec:BHP-2025-COST, bec:E01:obs:flow:payments, bec:E01:obs:trend:payments</x:v>
      </x:c>
      <x:c r="M6" s="63" t="str"/>
      <x:c r="N6" s="63" t="str">
        <x:v>{"problems":["PAYMENTS_INEFFICIENCY","SUPPLY_CHAIN_RISK"],"solutions":["PAYMENTS","SUPPLY_CHAIN_FINANCE","TRADE_FINANCE"],"timing":["supplier payment runs"]}</x:v>
      </x:c>
    </x:row>
    <x:row r="7">
      <x:c r="A7" s="63" t="str">
        <x:v>E01</x:v>
      </x:c>
      <x:c r="B7" s="63" t="str">
        <x:v>BHP Group</x:v>
      </x:c>
      <x:c r="C7" s="63" t="str">
        <x:v>mining</x:v>
      </x:c>
      <x:c r="D7" s="63" t="str">
        <x:v>twin:E01:2026-06-30:3.1.0</x:v>
      </x:c>
      <x:c r="E7" s="63" t="str">
        <x:v>WORKING_CAPITAL_CYCLE</x:v>
      </x:c>
      <x:c r="F7" s="63" t="str">
        <x:v>Working-capital cycle</x:v>
      </x:c>
      <x:c r="G7" s="63" t="str">
        <x:v>SUPPORTED</x:v>
      </x:c>
      <x:c r="H7" s="63" t="str">
        <x:v>OBSERVED</x:v>
      </x:c>
      <x:c r="I7" s="63" t="str">
        <x:v>E0</x:v>
      </x:c>
      <x:c r="J7" s="80" t="n">
        <x:v>0.95</x:v>
      </x:c>
      <x:c r="K7" s="63" t="n">
        <x:v>0</x:v>
      </x:c>
      <x:c r="L7" s="63" t="str">
        <x:v>bec:BHP-2025-AP-CLOSE, bec:BHP-2025-AP-OPEN, bec:BHP-2025-AR-CLOSE, bec:BHP-2025-AR-OPEN, bec:BHP-2025-INV-CLOSE, bec:BHP-2025-INV-OPEN, bec:E01:obs:events:trade-90d, bec:E01:obs:events:trade-90d-value, bec:E01:obs:flow:collections, bec:E01:obs:flow:payments, bec:E01:obs:flow:trade-finance, bec:E01:obs:latent:working_capital_intensity, bec:E01:obs:trend:collections, bec:E01:obs:trend:payments, bec:E01:obs:trend:trade-finance</x:v>
      </x:c>
      <x:c r="M7" s="63" t="str">
        <x:v>WORKING_CAPITAL_GAP: available_short_term_funding</x:v>
      </x:c>
      <x:c r="N7" s="63" t="str">
        <x:v>{"problems":["WORKING_CAPITAL_PRESSURE","SUPPLY_CHAIN_RISK"],"solutions":["WORKING_CAPITAL_REVOLVING","SUPPLY_CHAIN_FINANCE","TRADE_FINANCE"],"timing":["cash-conversion pressure points"]}</x:v>
      </x:c>
    </x:row>
    <x:row r="8">
      <x:c r="A8" s="63" t="str">
        <x:v>E01</x:v>
      </x:c>
      <x:c r="B8" s="63" t="str">
        <x:v>BHP Group</x:v>
      </x:c>
      <x:c r="C8" s="63" t="str">
        <x:v>mining</x:v>
      </x:c>
      <x:c r="D8" s="63" t="str">
        <x:v>twin:E01:2026-06-30:3.1.0</x:v>
      </x:c>
      <x:c r="E8" s="63" t="str">
        <x:v>FUNDING_STRUCTURE</x:v>
      </x:c>
      <x:c r="F8" s="63" t="str">
        <x:v>Funding structure</x:v>
      </x:c>
      <x:c r="G8" s="63" t="str">
        <x:v>SUPPORTED</x:v>
      </x:c>
      <x:c r="H8" s="63" t="str">
        <x:v>OBSERVED</x:v>
      </x:c>
      <x:c r="I8" s="63" t="str">
        <x:v>E0</x:v>
      </x:c>
      <x:c r="J8" s="80" t="n">
        <x:v>0.95</x:v>
      </x:c>
      <x:c r="K8" s="63" t="n">
        <x:v>0</x:v>
      </x:c>
      <x:c r="L8" s="63" t="str">
        <x:v>bec:BHP-2025-DEBT, bec:E01:maturity:current-debt, bec:E01:obs:latent:financing_need</x:v>
      </x:c>
      <x:c r="M8" s="63" t="str">
        <x:v>REFINANCING_EXPOSURE_12M: available_liquidity; full debt maturity ladder by instrument and tenor</x:v>
      </x:c>
      <x:c r="N8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9">
      <x:c r="A9" s="63" t="str">
        <x:v>E01</x:v>
      </x:c>
      <x:c r="B9" s="63" t="str">
        <x:v>BHP Group</x:v>
      </x:c>
      <x:c r="C9" s="63" t="str">
        <x:v>mining</x:v>
      </x:c>
      <x:c r="D9" s="63" t="str">
        <x:v>twin:E01:2026-06-30:3.1.0</x:v>
      </x:c>
      <x:c r="E9" s="63" t="str">
        <x:v>LIQUIDITY_AND_BUFFER</x:v>
      </x:c>
      <x:c r="F9" s="63" t="str">
        <x:v>Liquidity and cash buffer</x:v>
      </x:c>
      <x:c r="G9" s="63" t="str">
        <x:v>INFERRED</x:v>
      </x:c>
      <x:c r="H9" s="63" t="str">
        <x:v>OBSERVED</x:v>
      </x:c>
      <x:c r="I9" s="63" t="str">
        <x:v>E0</x:v>
      </x:c>
      <x:c r="J9" s="80" t="n">
        <x:v>0.9</x:v>
      </x:c>
      <x:c r="K9" s="63" t="n">
        <x:v>0</x:v>
      </x:c>
      <x:c r="L9" s="63" t="str">
        <x:v>bec:E01:maturity:current-debt, bec:E01:obs:flow:liquidity, bec:E01:obs:latent:liquidity_volatility, bec:E01:obs:trend:liquidity</x:v>
      </x:c>
      <x:c r="M9" s="63" t="str">
        <x:v>CASH_COVER: cash; LIQUIDITY_BUFFER: cash; undrawn committed facility headroom</x:v>
      </x:c>
      <x:c r="N9" s="63" t="str">
        <x:v>{"problems":["LIQUIDITY_FRAGMENTATION","REFINANCING_CLIFF"],"solutions":["LIQUIDITY_CASH_MANAGEMENT","WORKING_CAPITAL_REVOLVING"],"timing":["buffer depletion"]}</x:v>
      </x:c>
    </x:row>
    <x:row r="10">
      <x:c r="A10" s="63" t="str">
        <x:v>E01</x:v>
      </x:c>
      <x:c r="B10" s="63" t="str">
        <x:v>BHP Group</x:v>
      </x:c>
      <x:c r="C10" s="63" t="str">
        <x:v>mining</x:v>
      </x:c>
      <x:c r="D10" s="63" t="str">
        <x:v>twin:E01:2026-06-30:3.1.0</x:v>
      </x:c>
      <x:c r="E10" s="63" t="str">
        <x:v>OPERATING_MODEL</x:v>
      </x:c>
      <x:c r="F10" s="63" t="str">
        <x:v>Operating model</x:v>
      </x:c>
      <x:c r="G10" s="63" t="str">
        <x:v>SUPPORTED</x:v>
      </x:c>
      <x:c r="H10" s="63" t="str">
        <x:v>OBSERVED</x:v>
      </x:c>
      <x:c r="I10" s="63" t="str">
        <x:v>E0</x:v>
      </x:c>
      <x:c r="J10" s="80" t="n">
        <x:v>0.7</x:v>
      </x:c>
      <x:c r="K10" s="63" t="n">
        <x:v>0</x:v>
      </x:c>
      <x:c r="L10" s="63" t="str">
        <x:v>bec:E01:obs:events:trade-90d, bec:E01:obs:flow:trade-finance, bec:E01:obs:latent:operating_scale, bec:E01:obs:latent:relationship_complexity, bec:E01:obs:relationship-breadth, bec:E01:obs:trend:trade-finance, bec:E01:struct:operating-model</x:v>
      </x:c>
      <x:c r="M10" s="63" t="str">
        <x:v>client-specific ERP, shared-service and treasury system detail</x:v>
      </x:c>
      <x:c r="N10" s="63" t="str">
        <x:v>{"problems":["TREASURY_CENTRALISATION","OPERATIONAL_RESILIENCE"],"solutions":["PAYMENTS","LIQUIDITY_CASH_MANAGEMENT","COLLECTIONS"],"timing":["ERP and treasury system change windows"]}</x:v>
      </x:c>
    </x:row>
    <x:row r="11">
      <x:c r="A11" s="63" t="str">
        <x:v>E01</x:v>
      </x:c>
      <x:c r="B11" s="63" t="str">
        <x:v>BHP Group</x:v>
      </x:c>
      <x:c r="C11" s="63" t="str">
        <x:v>mining</x:v>
      </x:c>
      <x:c r="D11" s="63" t="str">
        <x:v>twin:E01:2026-06-30:3.1.0</x:v>
      </x:c>
      <x:c r="E11" s="63" t="str">
        <x:v>GEOGRAPHIC_EXPOSURE</x:v>
      </x:c>
      <x:c r="F11" s="63" t="str">
        <x:v>Geographic exposure</x:v>
      </x:c>
      <x:c r="G11" s="63" t="str">
        <x:v>SUPPORTED</x:v>
      </x:c>
      <x:c r="H11" s="63" t="str">
        <x:v>OBSERVED</x:v>
      </x:c>
      <x:c r="I11" s="63" t="str">
        <x:v>E0</x:v>
      </x:c>
      <x:c r="J11" s="80" t="n">
        <x:v>0.75</x:v>
      </x:c>
      <x:c r="K11" s="63" t="n">
        <x:v>0</x:v>
      </x:c>
      <x:c r="L11" s="63" t="str">
        <x:v>bec:E01:obs:corridor-name:0, bec:E01:obs:corridor-name:1, bec:E01:obs:corridor-name:2, bec:E01:obs:corridor:0, bec:E01:obs:corridor:1, bec:E01:obs:corridor:2, bec:E01:obs:country-count, bec:E01:obs:flow:cross-border-fx, bec:E01:obs:latent:international_exposure, bec:E01:obs:trend:cross-border-fx</x:v>
      </x:c>
      <x:c r="M11" s="63" t="str"/>
      <x:c r="N11" s="63" t="str">
        <x:v>{"problems":["FX_EXPOSURE","SUPPLY_CHAIN_RISK"],"solutions":["CROSS_BORDER_FX","TRADE_FINANCE"],"timing":["corridor seasonality"]}</x:v>
      </x:c>
    </x:row>
    <x:row r="12">
      <x:c r="A12" s="63" t="str">
        <x:v>E01</x:v>
      </x:c>
      <x:c r="B12" s="63" t="str">
        <x:v>BHP Group</x:v>
      </x:c>
      <x:c r="C12" s="63" t="str">
        <x:v>mining</x:v>
      </x:c>
      <x:c r="D12" s="63" t="str">
        <x:v>twin:E01:2026-06-30:3.1.0</x:v>
      </x:c>
      <x:c r="E12" s="63" t="str">
        <x:v>CURRENCY_AND_COMMODITY_EXPOSURE</x:v>
      </x:c>
      <x:c r="F12" s="63" t="str">
        <x:v>Currency and commodity exposure</x:v>
      </x:c>
      <x:c r="G12" s="63" t="str">
        <x:v>INFERRED</x:v>
      </x:c>
      <x:c r="H12" s="63" t="str">
        <x:v>OBSERVED</x:v>
      </x:c>
      <x:c r="I12" s="63" t="str">
        <x:v>E0</x:v>
      </x:c>
      <x:c r="J12" s="80" t="n">
        <x:v>0.85</x:v>
      </x:c>
      <x:c r="K12" s="63" t="n">
        <x:v>0</x:v>
      </x:c>
      <x:c r="L12" s="63" t="str">
        <x:v>bec:BHP-2025-FX, bec:E01:obs:currency-pair:0, bec:E01:obs:currency-pair:1, bec:E01:obs:currency-pair:2, bec:E01:obs:currency:0, bec:E01:obs:currency:1, bec:E01:obs:currency:2, bec:E01:obs:flow:cross-border-fx, bec:E01:obs:trend:cross-border-fx</x:v>
      </x:c>
      <x:c r="M12" s="63" t="str">
        <x:v>commodity hedge programme detail; hedge ratio; signed currency inflow/outflow split</x:v>
      </x:c>
      <x:c r="N12" s="63" t="str">
        <x:v>{"problems":["FX_EXPOSURE","COMMODITY_EXPOSURE"],"solutions":["CROSS_BORDER_FX","COMMODITY_RISK_MANAGEMENT"],"timing":["hedge roll dates"]}</x:v>
      </x:c>
    </x:row>
    <x:row r="13">
      <x:c r="A13" s="63" t="str">
        <x:v>E01</x:v>
      </x:c>
      <x:c r="B13" s="63" t="str">
        <x:v>BHP Group</x:v>
      </x:c>
      <x:c r="C13" s="63" t="str">
        <x:v>mining</x:v>
      </x:c>
      <x:c r="D13" s="63" t="str">
        <x:v>twin:E01:2026-06-30:3.1.0</x:v>
      </x:c>
      <x:c r="E13" s="63" t="str">
        <x:v>PROJECTS_SUBSIDIARIES_SPVS</x:v>
      </x:c>
      <x:c r="F13" s="63" t="str">
        <x:v>Projects, subsidiaries and SPVs</x:v>
      </x:c>
      <x:c r="G13" s="63" t="str">
        <x:v>UNKNOWN</x:v>
      </x:c>
      <x:c r="H13" s="63" t="str">
        <x:v>SCENARIO</x:v>
      </x:c>
      <x:c r="I13" s="63" t="str">
        <x:v>E0</x:v>
      </x:c>
      <x:c r="J13" s="80" t="n">
        <x:v>0.7</x:v>
      </x:c>
      <x:c r="K13" s="63"/>
      <x:c r="L13" s="63" t="str"/>
      <x:c r="M13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3" s="63" t="str">
        <x:v>{"problems":["PROJECT_MOBILISATION","GUARANTEE_OR_COLLATERAL_REQUIREMENT"],"solutions":["PROJECT_FINANCE","GUARANTEES_AND_LC","ESCROW_AND_AGENCY"],"timing":["project financial close"]}</x:v>
      </x:c>
    </x:row>
    <x:row r="14">
      <x:c r="A14" s="63" t="str">
        <x:v>E01</x:v>
      </x:c>
      <x:c r="B14" s="63" t="str">
        <x:v>BHP Group</x:v>
      </x:c>
      <x:c r="C14" s="63" t="str">
        <x:v>mining</x:v>
      </x:c>
      <x:c r="D14" s="63" t="str">
        <x:v>twin:E01:2026-06-30:3.1.0</x:v>
      </x:c>
      <x:c r="E14" s="63" t="str">
        <x:v>STAKEHOLDER_RESPONSIBILITY</x:v>
      </x:c>
      <x:c r="F14" s="63" t="str">
        <x:v>Stakeholder responsibility model</x:v>
      </x:c>
      <x:c r="G14" s="63" t="str">
        <x:v>SUPPORTED</x:v>
      </x:c>
      <x:c r="H14" s="63" t="str">
        <x:v>IDENTIFIED_BOUND</x:v>
      </x:c>
      <x:c r="I14" s="63" t="str">
        <x:v>E0</x:v>
      </x:c>
      <x:c r="J14" s="80" t="n">
        <x:v>0.6</x:v>
      </x:c>
      <x:c r="K14" s="63" t="n">
        <x:v>0</x:v>
      </x:c>
      <x:c r="L14" s="63" t="str">
        <x:v>bec:E01:struct:responsibility-model, bec:E01:struct:responsibility:fx_exposure, bec:E01:struct:responsibility:refinancing_cliff, bec:E01:struct:responsibility:working_capital_pressure</x:v>
      </x:c>
      <x:c r="M14" s="63" t="str">
        <x:v>client-confirmed decision authority and mandate limits</x:v>
      </x:c>
      <x:c r="N14" s="63" t="str">
        <x:v>{"problems":[],"solutions":[],"timing":["decision-authority availability"]}</x:v>
      </x:c>
    </x:row>
    <x:row r="15">
      <x:c r="A15" s="63" t="str">
        <x:v>E01</x:v>
      </x:c>
      <x:c r="B15" s="63" t="str">
        <x:v>BHP Group</x:v>
      </x:c>
      <x:c r="C15" s="63" t="str">
        <x:v>mining</x:v>
      </x:c>
      <x:c r="D15" s="63" t="str">
        <x:v>twin:E01:2026-06-30:3.1.0</x:v>
      </x:c>
      <x:c r="E15" s="63" t="str">
        <x:v>BUSINESS_AND_FINANCIAL_RISKS</x:v>
      </x:c>
      <x:c r="F15" s="63" t="str">
        <x:v>Business and financial risks</x:v>
      </x:c>
      <x:c r="G15" s="63" t="str">
        <x:v>SUPPORTED</x:v>
      </x:c>
      <x:c r="H15" s="63" t="str">
        <x:v>IDENTIFIED_BOUND</x:v>
      </x:c>
      <x:c r="I15" s="63" t="str">
        <x:v>E0</x:v>
      </x:c>
      <x:c r="J15" s="80" t="n">
        <x:v>0.65</x:v>
      </x:c>
      <x:c r="K15" s="63" t="n">
        <x:v>0</x:v>
      </x:c>
      <x:c r="L15" s="63" t="str">
        <x:v>bec:E01:struct:risk:0, bec:E01:struct:risk:1, bec:E01:struct:risk:2</x:v>
      </x:c>
      <x:c r="M15" s="63" t="str">
        <x:v>client risk-report extraction</x:v>
      </x:c>
      <x:c r="N15" s="63" t="str">
        <x:v>{"problems":["OPERATIONAL_RESILIENCE","COMMODITY_EXPOSURE"],"solutions":["COMMODITY_RISK_MANAGEMENT","GUARANTEES_AND_LC"],"timing":["risk-review cycle"]}</x:v>
      </x:c>
    </x:row>
    <x:row r="16">
      <x:c r="A16" s="63" t="str">
        <x:v>E01</x:v>
      </x:c>
      <x:c r="B16" s="63" t="str">
        <x:v>BHP Group</x:v>
      </x:c>
      <x:c r="C16" s="63" t="str">
        <x:v>mining</x:v>
      </x:c>
      <x:c r="D16" s="63" t="str">
        <x:v>twin:E01:2026-06-30:3.1.0</x:v>
      </x:c>
      <x:c r="E16" s="63" t="str">
        <x:v>STRATEGY_ACTIONS_AND_ESG</x:v>
      </x:c>
      <x:c r="F16" s="63" t="str">
        <x:v>Strategy, corporate actions and ESG activity</x:v>
      </x:c>
      <x:c r="G16" s="63" t="str">
        <x:v>SUPPORTED</x:v>
      </x:c>
      <x:c r="H16" s="63" t="str">
        <x:v>OBSERVED</x:v>
      </x:c>
      <x:c r="I16" s="63" t="str">
        <x:v>E0</x:v>
      </x:c>
      <x:c r="J16" s="80" t="n">
        <x:v>0.55</x:v>
      </x:c>
      <x:c r="K16" s="63" t="n">
        <x:v>0</x:v>
      </x:c>
      <x:c r="L16" s="63" t="str">
        <x:v>bec:E01:obs:latent:event_intensity</x:v>
      </x:c>
      <x:c r="M16" s="63" t="str">
        <x:v>announced corporate actions; evidence-based ESG activity and transition targets</x:v>
      </x:c>
      <x:c r="N16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7">
      <x:c r="A17" s="63" t="str">
        <x:v>E02</x:v>
      </x:c>
      <x:c r="B17" s="63" t="str">
        <x:v>Glencore</x:v>
      </x:c>
      <x:c r="C17" s="63" t="str">
        <x:v>mining</x:v>
      </x:c>
      <x:c r="D17" s="63" t="str">
        <x:v>twin:E02:2026-06-30:3.1.0</x:v>
      </x:c>
      <x:c r="E17" s="63" t="str">
        <x:v>REVENUE_ENGINE</x:v>
      </x:c>
      <x:c r="F17" s="63" t="str">
        <x:v>Revenue engine</x:v>
      </x:c>
      <x:c r="G17" s="63" t="str">
        <x:v>SUPPORTED</x:v>
      </x:c>
      <x:c r="H17" s="63" t="str">
        <x:v>OBSERVED</x:v>
      </x:c>
      <x:c r="I17" s="63" t="str">
        <x:v>E0</x:v>
      </x:c>
      <x:c r="J17" s="80" t="n">
        <x:v>0.95</x:v>
      </x:c>
      <x:c r="K17" s="63" t="n">
        <x:v>0</x:v>
      </x:c>
      <x:c r="L17" s="63" t="str">
        <x:v>bec:E02:obs:flow:collections, bec:E02:obs:trend:collections, bec:GLEN-2025-AR-CLOSE, bec:GLEN-2025-AR-OPEN, bec:GLEN-2025-REV</x:v>
      </x:c>
      <x:c r="M17" s="63" t="str"/>
      <x:c r="N17" s="63" t="str">
        <x:v>{"problems":["COLLECTIONS_INEFFICIENCY","WORKING_CAPITAL_PRESSURE"],"solutions":["COLLECTIONS","SUPPLY_CHAIN_FINANCE"],"timing":["collection seasonality"]}</x:v>
      </x:c>
    </x:row>
    <x:row r="18">
      <x:c r="A18" s="63" t="str">
        <x:v>E02</x:v>
      </x:c>
      <x:c r="B18" s="63" t="str">
        <x:v>Glencore</x:v>
      </x:c>
      <x:c r="C18" s="63" t="str">
        <x:v>mining</x:v>
      </x:c>
      <x:c r="D18" s="63" t="str">
        <x:v>twin:E02:2026-06-30:3.1.0</x:v>
      </x:c>
      <x:c r="E18" s="63" t="str">
        <x:v>COST_ENGINE</x:v>
      </x:c>
      <x:c r="F18" s="63" t="str">
        <x:v>Cost engine</x:v>
      </x:c>
      <x:c r="G18" s="63" t="str">
        <x:v>SUPPORTED</x:v>
      </x:c>
      <x:c r="H18" s="63" t="str">
        <x:v>OBSERVED</x:v>
      </x:c>
      <x:c r="I18" s="63" t="str">
        <x:v>E0</x:v>
      </x:c>
      <x:c r="J18" s="80" t="n">
        <x:v>0.9</x:v>
      </x:c>
      <x:c r="K18" s="63" t="n">
        <x:v>0</x:v>
      </x:c>
      <x:c r="L18" s="63" t="str">
        <x:v>bec:E02:obs:flow:payments, bec:E02:obs:trend:payments, bec:GLEN-2025-AP-CLOSE, bec:GLEN-2025-AP-OPEN, bec:GLEN-2025-COST</x:v>
      </x:c>
      <x:c r="M18" s="63" t="str"/>
      <x:c r="N18" s="63" t="str">
        <x:v>{"problems":["PAYMENTS_INEFFICIENCY","SUPPLY_CHAIN_RISK"],"solutions":["PAYMENTS","SUPPLY_CHAIN_FINANCE","TRADE_FINANCE"],"timing":["supplier payment runs"]}</x:v>
      </x:c>
    </x:row>
    <x:row r="19">
      <x:c r="A19" s="63" t="str">
        <x:v>E02</x:v>
      </x:c>
      <x:c r="B19" s="63" t="str">
        <x:v>Glencore</x:v>
      </x:c>
      <x:c r="C19" s="63" t="str">
        <x:v>mining</x:v>
      </x:c>
      <x:c r="D19" s="63" t="str">
        <x:v>twin:E02:2026-06-30:3.1.0</x:v>
      </x:c>
      <x:c r="E19" s="63" t="str">
        <x:v>WORKING_CAPITAL_CYCLE</x:v>
      </x:c>
      <x:c r="F19" s="63" t="str">
        <x:v>Working-capital cycle</x:v>
      </x:c>
      <x:c r="G19" s="63" t="str">
        <x:v>SUPPORTED</x:v>
      </x:c>
      <x:c r="H19" s="63" t="str">
        <x:v>OBSERVED</x:v>
      </x:c>
      <x:c r="I19" s="63" t="str">
        <x:v>E0</x:v>
      </x:c>
      <x:c r="J19" s="80" t="n">
        <x:v>0.95</x:v>
      </x:c>
      <x:c r="K19" s="63" t="n">
        <x:v>0</x:v>
      </x:c>
      <x:c r="L19" s="63" t="str">
        <x:v>bec:E02:obs:events:trade-90d, bec:E02:obs:events:trade-90d-value, bec:E02:obs:flow:collections, bec:E02:obs:flow:payments, bec:E02:obs:flow:trade-finance, bec:E02:obs:latent:working_capital_intensity, bec:E02:obs:trend:collections, bec:E02:obs:trend:payments, bec:E02:obs:trend:trade-finance, bec:GLEN-2025-AP-CLOSE, bec:GLEN-2025-AP-OPEN, bec:GLEN-2025-AR-CLOSE, bec:GLEN-2025-AR-OPEN, bec:GLEN-2025-INV-CLOSE, bec:GLEN-2025-INV-OPEN</x:v>
      </x:c>
      <x:c r="M19" s="63" t="str">
        <x:v>WORKING_CAPITAL_GAP: available_short_term_funding</x:v>
      </x:c>
      <x:c r="N19" s="63" t="str">
        <x:v>{"problems":["WORKING_CAPITAL_PRESSURE","SUPPLY_CHAIN_RISK"],"solutions":["WORKING_CAPITAL_REVOLVING","SUPPLY_CHAIN_FINANCE","TRADE_FINANCE"],"timing":["cash-conversion pressure points"]}</x:v>
      </x:c>
    </x:row>
    <x:row r="20">
      <x:c r="A20" s="63" t="str">
        <x:v>E02</x:v>
      </x:c>
      <x:c r="B20" s="63" t="str">
        <x:v>Glencore</x:v>
      </x:c>
      <x:c r="C20" s="63" t="str">
        <x:v>mining</x:v>
      </x:c>
      <x:c r="D20" s="63" t="str">
        <x:v>twin:E02:2026-06-30:3.1.0</x:v>
      </x:c>
      <x:c r="E20" s="63" t="str">
        <x:v>FUNDING_STRUCTURE</x:v>
      </x:c>
      <x:c r="F20" s="63" t="str">
        <x:v>Funding structure</x:v>
      </x:c>
      <x:c r="G20" s="63" t="str">
        <x:v>SUPPORTED</x:v>
      </x:c>
      <x:c r="H20" s="63" t="str">
        <x:v>OBSERVED</x:v>
      </x:c>
      <x:c r="I20" s="63" t="str">
        <x:v>E0</x:v>
      </x:c>
      <x:c r="J20" s="80" t="n">
        <x:v>0.95</x:v>
      </x:c>
      <x:c r="K20" s="63" t="n">
        <x:v>0</x:v>
      </x:c>
      <x:c r="L20" s="63" t="str">
        <x:v>bec:E02:maturity:current-debt, bec:E02:obs:latent:financing_need, bec:GLEN-2025-DEBT</x:v>
      </x:c>
      <x:c r="M20" s="63" t="str">
        <x:v>REFINANCING_EXPOSURE_12M: available_liquidity; full debt maturity ladder by instrument and tenor</x:v>
      </x:c>
      <x:c r="N20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21">
      <x:c r="A21" s="63" t="str">
        <x:v>E02</x:v>
      </x:c>
      <x:c r="B21" s="63" t="str">
        <x:v>Glencore</x:v>
      </x:c>
      <x:c r="C21" s="63" t="str">
        <x:v>mining</x:v>
      </x:c>
      <x:c r="D21" s="63" t="str">
        <x:v>twin:E02:2026-06-30:3.1.0</x:v>
      </x:c>
      <x:c r="E21" s="63" t="str">
        <x:v>LIQUIDITY_AND_BUFFER</x:v>
      </x:c>
      <x:c r="F21" s="63" t="str">
        <x:v>Liquidity and cash buffer</x:v>
      </x:c>
      <x:c r="G21" s="63" t="str">
        <x:v>INFERRED</x:v>
      </x:c>
      <x:c r="H21" s="63" t="str">
        <x:v>OBSERVED</x:v>
      </x:c>
      <x:c r="I21" s="63" t="str">
        <x:v>E0</x:v>
      </x:c>
      <x:c r="J21" s="80" t="n">
        <x:v>0.9</x:v>
      </x:c>
      <x:c r="K21" s="63" t="n">
        <x:v>0</x:v>
      </x:c>
      <x:c r="L21" s="63" t="str">
        <x:v>bec:E02:maturity:current-debt, bec:E02:obs:flow:liquidity, bec:E02:obs:latent:liquidity_volatility, bec:E02:obs:trend:liquidity</x:v>
      </x:c>
      <x:c r="M21" s="63" t="str">
        <x:v>CASH_COVER: cash; LIQUIDITY_BUFFER: cash; undrawn committed facility headroom</x:v>
      </x:c>
      <x:c r="N21" s="63" t="str">
        <x:v>{"problems":["LIQUIDITY_FRAGMENTATION","REFINANCING_CLIFF"],"solutions":["LIQUIDITY_CASH_MANAGEMENT","WORKING_CAPITAL_REVOLVING"],"timing":["buffer depletion"]}</x:v>
      </x:c>
    </x:row>
    <x:row r="22">
      <x:c r="A22" s="63" t="str">
        <x:v>E02</x:v>
      </x:c>
      <x:c r="B22" s="63" t="str">
        <x:v>Glencore</x:v>
      </x:c>
      <x:c r="C22" s="63" t="str">
        <x:v>mining</x:v>
      </x:c>
      <x:c r="D22" s="63" t="str">
        <x:v>twin:E02:2026-06-30:3.1.0</x:v>
      </x:c>
      <x:c r="E22" s="63" t="str">
        <x:v>OPERATING_MODEL</x:v>
      </x:c>
      <x:c r="F22" s="63" t="str">
        <x:v>Operating model</x:v>
      </x:c>
      <x:c r="G22" s="63" t="str">
        <x:v>SUPPORTED</x:v>
      </x:c>
      <x:c r="H22" s="63" t="str">
        <x:v>OBSERVED</x:v>
      </x:c>
      <x:c r="I22" s="63" t="str">
        <x:v>E0</x:v>
      </x:c>
      <x:c r="J22" s="80" t="n">
        <x:v>0.7</x:v>
      </x:c>
      <x:c r="K22" s="63" t="n">
        <x:v>0</x:v>
      </x:c>
      <x:c r="L22" s="63" t="str">
        <x:v>bec:E02:obs:events:trade-90d, bec:E02:obs:flow:trade-finance, bec:E02:obs:latent:operating_scale, bec:E02:obs:latent:relationship_complexity, bec:E02:obs:relationship-breadth, bec:E02:obs:trend:trade-finance, bec:E02:struct:operating-model</x:v>
      </x:c>
      <x:c r="M22" s="63" t="str">
        <x:v>client-specific ERP, shared-service and treasury system detail</x:v>
      </x:c>
      <x:c r="N22" s="63" t="str">
        <x:v>{"problems":["TREASURY_CENTRALISATION","OPERATIONAL_RESILIENCE"],"solutions":["PAYMENTS","LIQUIDITY_CASH_MANAGEMENT","COLLECTIONS"],"timing":["ERP and treasury system change windows"]}</x:v>
      </x:c>
    </x:row>
    <x:row r="23">
      <x:c r="A23" s="63" t="str">
        <x:v>E02</x:v>
      </x:c>
      <x:c r="B23" s="63" t="str">
        <x:v>Glencore</x:v>
      </x:c>
      <x:c r="C23" s="63" t="str">
        <x:v>mining</x:v>
      </x:c>
      <x:c r="D23" s="63" t="str">
        <x:v>twin:E02:2026-06-30:3.1.0</x:v>
      </x:c>
      <x:c r="E23" s="63" t="str">
        <x:v>GEOGRAPHIC_EXPOSURE</x:v>
      </x:c>
      <x:c r="F23" s="63" t="str">
        <x:v>Geographic exposure</x:v>
      </x:c>
      <x:c r="G23" s="63" t="str">
        <x:v>SUPPORTED</x:v>
      </x:c>
      <x:c r="H23" s="63" t="str">
        <x:v>OBSERVED</x:v>
      </x:c>
      <x:c r="I23" s="63" t="str">
        <x:v>E0</x:v>
      </x:c>
      <x:c r="J23" s="80" t="n">
        <x:v>0.75</x:v>
      </x:c>
      <x:c r="K23" s="63" t="n">
        <x:v>0</x:v>
      </x:c>
      <x:c r="L23" s="63" t="str">
        <x:v>bec:E02:obs:corridor-name:0, bec:E02:obs:corridor-name:1, bec:E02:obs:corridor-name:2, bec:E02:obs:corridor:0, bec:E02:obs:corridor:1, bec:E02:obs:corridor:2, bec:E02:obs:country-count, bec:E02:obs:flow:cross-border-fx, bec:E02:obs:latent:international_exposure, bec:E02:obs:trend:cross-border-fx</x:v>
      </x:c>
      <x:c r="M23" s="63" t="str"/>
      <x:c r="N23" s="63" t="str">
        <x:v>{"problems":["FX_EXPOSURE","SUPPLY_CHAIN_RISK"],"solutions":["CROSS_BORDER_FX","TRADE_FINANCE"],"timing":["corridor seasonality"]}</x:v>
      </x:c>
    </x:row>
    <x:row r="24">
      <x:c r="A24" s="63" t="str">
        <x:v>E02</x:v>
      </x:c>
      <x:c r="B24" s="63" t="str">
        <x:v>Glencore</x:v>
      </x:c>
      <x:c r="C24" s="63" t="str">
        <x:v>mining</x:v>
      </x:c>
      <x:c r="D24" s="63" t="str">
        <x:v>twin:E02:2026-06-30:3.1.0</x:v>
      </x:c>
      <x:c r="E24" s="63" t="str">
        <x:v>CURRENCY_AND_COMMODITY_EXPOSURE</x:v>
      </x:c>
      <x:c r="F24" s="63" t="str">
        <x:v>Currency and commodity exposure</x:v>
      </x:c>
      <x:c r="G24" s="63" t="str">
        <x:v>INFERRED</x:v>
      </x:c>
      <x:c r="H24" s="63" t="str">
        <x:v>OBSERVED</x:v>
      </x:c>
      <x:c r="I24" s="63" t="str">
        <x:v>E0</x:v>
      </x:c>
      <x:c r="J24" s="80" t="n">
        <x:v>0.85</x:v>
      </x:c>
      <x:c r="K24" s="63" t="n">
        <x:v>0</x:v>
      </x:c>
      <x:c r="L24" s="63" t="str">
        <x:v>bec:E02:obs:currency-pair:0, bec:E02:obs:currency-pair:1, bec:E02:obs:currency-pair:2, bec:E02:obs:currency:0, bec:E02:obs:currency:1, bec:E02:obs:currency:2, bec:E02:obs:flow:cross-border-fx, bec:E02:obs:trend:cross-border-fx, bec:GLEN-2025-FX</x:v>
      </x:c>
      <x:c r="M24" s="63" t="str">
        <x:v>commodity hedge programme detail; hedge ratio; signed currency inflow/outflow split</x:v>
      </x:c>
      <x:c r="N24" s="63" t="str">
        <x:v>{"problems":["FX_EXPOSURE","COMMODITY_EXPOSURE"],"solutions":["CROSS_BORDER_FX","COMMODITY_RISK_MANAGEMENT"],"timing":["hedge roll dates"]}</x:v>
      </x:c>
    </x:row>
    <x:row r="25">
      <x:c r="A25" s="63" t="str">
        <x:v>E02</x:v>
      </x:c>
      <x:c r="B25" s="63" t="str">
        <x:v>Glencore</x:v>
      </x:c>
      <x:c r="C25" s="63" t="str">
        <x:v>mining</x:v>
      </x:c>
      <x:c r="D25" s="63" t="str">
        <x:v>twin:E02:2026-06-30:3.1.0</x:v>
      </x:c>
      <x:c r="E25" s="63" t="str">
        <x:v>PROJECTS_SUBSIDIARIES_SPVS</x:v>
      </x:c>
      <x:c r="F25" s="63" t="str">
        <x:v>Projects, subsidiaries and SPVs</x:v>
      </x:c>
      <x:c r="G25" s="63" t="str">
        <x:v>UNKNOWN</x:v>
      </x:c>
      <x:c r="H25" s="63" t="str">
        <x:v>SCENARIO</x:v>
      </x:c>
      <x:c r="I25" s="63" t="str">
        <x:v>E0</x:v>
      </x:c>
      <x:c r="J25" s="80" t="n">
        <x:v>0.7</x:v>
      </x:c>
      <x:c r="K25" s="63"/>
      <x:c r="L25" s="63" t="str"/>
      <x:c r="M25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25" s="63" t="str">
        <x:v>{"problems":["PROJECT_MOBILISATION","GUARANTEE_OR_COLLATERAL_REQUIREMENT"],"solutions":["PROJECT_FINANCE","GUARANTEES_AND_LC","ESCROW_AND_AGENCY"],"timing":["project financial close"]}</x:v>
      </x:c>
    </x:row>
    <x:row r="26">
      <x:c r="A26" s="63" t="str">
        <x:v>E02</x:v>
      </x:c>
      <x:c r="B26" s="63" t="str">
        <x:v>Glencore</x:v>
      </x:c>
      <x:c r="C26" s="63" t="str">
        <x:v>mining</x:v>
      </x:c>
      <x:c r="D26" s="63" t="str">
        <x:v>twin:E02:2026-06-30:3.1.0</x:v>
      </x:c>
      <x:c r="E26" s="63" t="str">
        <x:v>STAKEHOLDER_RESPONSIBILITY</x:v>
      </x:c>
      <x:c r="F26" s="63" t="str">
        <x:v>Stakeholder responsibility model</x:v>
      </x:c>
      <x:c r="G26" s="63" t="str">
        <x:v>SUPPORTED</x:v>
      </x:c>
      <x:c r="H26" s="63" t="str">
        <x:v>IDENTIFIED_BOUND</x:v>
      </x:c>
      <x:c r="I26" s="63" t="str">
        <x:v>E0</x:v>
      </x:c>
      <x:c r="J26" s="80" t="n">
        <x:v>0.6</x:v>
      </x:c>
      <x:c r="K26" s="63" t="n">
        <x:v>0</x:v>
      </x:c>
      <x:c r="L26" s="63" t="str">
        <x:v>bec:E02:struct:responsibility-model, bec:E02:struct:responsibility:fx_exposure, bec:E02:struct:responsibility:refinancing_cliff, bec:E02:struct:responsibility:working_capital_pressure</x:v>
      </x:c>
      <x:c r="M26" s="63" t="str">
        <x:v>client-confirmed decision authority and mandate limits</x:v>
      </x:c>
      <x:c r="N26" s="63" t="str">
        <x:v>{"problems":[],"solutions":[],"timing":["decision-authority availability"]}</x:v>
      </x:c>
    </x:row>
    <x:row r="27">
      <x:c r="A27" s="63" t="str">
        <x:v>E02</x:v>
      </x:c>
      <x:c r="B27" s="63" t="str">
        <x:v>Glencore</x:v>
      </x:c>
      <x:c r="C27" s="63" t="str">
        <x:v>mining</x:v>
      </x:c>
      <x:c r="D27" s="63" t="str">
        <x:v>twin:E02:2026-06-30:3.1.0</x:v>
      </x:c>
      <x:c r="E27" s="63" t="str">
        <x:v>BUSINESS_AND_FINANCIAL_RISKS</x:v>
      </x:c>
      <x:c r="F27" s="63" t="str">
        <x:v>Business and financial risks</x:v>
      </x:c>
      <x:c r="G27" s="63" t="str">
        <x:v>SUPPORTED</x:v>
      </x:c>
      <x:c r="H27" s="63" t="str">
        <x:v>IDENTIFIED_BOUND</x:v>
      </x:c>
      <x:c r="I27" s="63" t="str">
        <x:v>E0</x:v>
      </x:c>
      <x:c r="J27" s="80" t="n">
        <x:v>0.65</x:v>
      </x:c>
      <x:c r="K27" s="63" t="n">
        <x:v>0</x:v>
      </x:c>
      <x:c r="L27" s="63" t="str">
        <x:v>bec:E02:struct:risk:0, bec:E02:struct:risk:1, bec:E02:struct:risk:2</x:v>
      </x:c>
      <x:c r="M27" s="63" t="str">
        <x:v>client risk-report extraction</x:v>
      </x:c>
      <x:c r="N27" s="63" t="str">
        <x:v>{"problems":["OPERATIONAL_RESILIENCE","COMMODITY_EXPOSURE"],"solutions":["COMMODITY_RISK_MANAGEMENT","GUARANTEES_AND_LC"],"timing":["risk-review cycle"]}</x:v>
      </x:c>
    </x:row>
    <x:row r="28">
      <x:c r="A28" s="63" t="str">
        <x:v>E02</x:v>
      </x:c>
      <x:c r="B28" s="63" t="str">
        <x:v>Glencore</x:v>
      </x:c>
      <x:c r="C28" s="63" t="str">
        <x:v>mining</x:v>
      </x:c>
      <x:c r="D28" s="63" t="str">
        <x:v>twin:E02:2026-06-30:3.1.0</x:v>
      </x:c>
      <x:c r="E28" s="63" t="str">
        <x:v>STRATEGY_ACTIONS_AND_ESG</x:v>
      </x:c>
      <x:c r="F28" s="63" t="str">
        <x:v>Strategy, corporate actions and ESG activity</x:v>
      </x:c>
      <x:c r="G28" s="63" t="str">
        <x:v>SUPPORTED</x:v>
      </x:c>
      <x:c r="H28" s="63" t="str">
        <x:v>OBSERVED</x:v>
      </x:c>
      <x:c r="I28" s="63" t="str">
        <x:v>E0</x:v>
      </x:c>
      <x:c r="J28" s="80" t="n">
        <x:v>0.55</x:v>
      </x:c>
      <x:c r="K28" s="63" t="n">
        <x:v>0</x:v>
      </x:c>
      <x:c r="L28" s="63" t="str">
        <x:v>bec:E02:obs:latent:event_intensity</x:v>
      </x:c>
      <x:c r="M28" s="63" t="str">
        <x:v>announced corporate actions; evidence-based ESG activity and transition targets</x:v>
      </x:c>
      <x:c r="N28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29">
      <x:c r="A29" s="63" t="str">
        <x:v>E03</x:v>
      </x:c>
      <x:c r="B29" s="63" t="str">
        <x:v>Anglo American</x:v>
      </x:c>
      <x:c r="C29" s="63" t="str">
        <x:v>mining</x:v>
      </x:c>
      <x:c r="D29" s="63" t="str">
        <x:v>twin:E03:2026-06-30:3.1.0</x:v>
      </x:c>
      <x:c r="E29" s="63" t="str">
        <x:v>REVENUE_ENGINE</x:v>
      </x:c>
      <x:c r="F29" s="63" t="str">
        <x:v>Revenue engine</x:v>
      </x:c>
      <x:c r="G29" s="63" t="str">
        <x:v>SUPPORTED</x:v>
      </x:c>
      <x:c r="H29" s="63" t="str">
        <x:v>OBSERVED</x:v>
      </x:c>
      <x:c r="I29" s="63" t="str">
        <x:v>E0</x:v>
      </x:c>
      <x:c r="J29" s="80" t="n">
        <x:v>0.95</x:v>
      </x:c>
      <x:c r="K29" s="63" t="n">
        <x:v>0</x:v>
      </x:c>
      <x:c r="L29" s="63" t="str">
        <x:v>bec:AA-2025-REV, bec:E03:obs:flow:collections, bec:E03:obs:trend:collections</x:v>
      </x:c>
      <x:c r="M29" s="63" t="str"/>
      <x:c r="N29" s="63" t="str">
        <x:v>{"problems":["COLLECTIONS_INEFFICIENCY","WORKING_CAPITAL_PRESSURE"],"solutions":["COLLECTIONS","SUPPLY_CHAIN_FINANCE"],"timing":["collection seasonality"]}</x:v>
      </x:c>
    </x:row>
    <x:row r="30">
      <x:c r="A30" s="63" t="str">
        <x:v>E03</x:v>
      </x:c>
      <x:c r="B30" s="63" t="str">
        <x:v>Anglo American</x:v>
      </x:c>
      <x:c r="C30" s="63" t="str">
        <x:v>mining</x:v>
      </x:c>
      <x:c r="D30" s="63" t="str">
        <x:v>twin:E03:2026-06-30:3.1.0</x:v>
      </x:c>
      <x:c r="E30" s="63" t="str">
        <x:v>COST_ENGINE</x:v>
      </x:c>
      <x:c r="F30" s="63" t="str">
        <x:v>Cost engine</x:v>
      </x:c>
      <x:c r="G30" s="63" t="str">
        <x:v>SUPPORTED</x:v>
      </x:c>
      <x:c r="H30" s="63" t="str">
        <x:v>OBSERVED</x:v>
      </x:c>
      <x:c r="I30" s="63" t="str">
        <x:v>E0</x:v>
      </x:c>
      <x:c r="J30" s="80" t="n">
        <x:v>0.9</x:v>
      </x:c>
      <x:c r="K30" s="63" t="n">
        <x:v>0</x:v>
      </x:c>
      <x:c r="L30" s="63" t="str">
        <x:v>bec:E03:obs:flow:payments, bec:E03:obs:trend:payments</x:v>
      </x:c>
      <x:c r="M30" s="63" t="str">
        <x:v>No approved E1 evidence supports this domain. No audited cost base is available for this client.</x:v>
      </x:c>
      <x:c r="N30" s="63" t="str">
        <x:v>{"problems":["PAYMENTS_INEFFICIENCY","SUPPLY_CHAIN_RISK"],"solutions":["PAYMENTS","SUPPLY_CHAIN_FINANCE","TRADE_FINANCE"],"timing":["supplier payment runs"]}</x:v>
      </x:c>
    </x:row>
    <x:row r="31">
      <x:c r="A31" s="63" t="str">
        <x:v>E03</x:v>
      </x:c>
      <x:c r="B31" s="63" t="str">
        <x:v>Anglo American</x:v>
      </x:c>
      <x:c r="C31" s="63" t="str">
        <x:v>mining</x:v>
      </x:c>
      <x:c r="D31" s="63" t="str">
        <x:v>twin:E03:2026-06-30:3.1.0</x:v>
      </x:c>
      <x:c r="E31" s="63" t="str">
        <x:v>WORKING_CAPITAL_CYCLE</x:v>
      </x:c>
      <x:c r="F31" s="63" t="str">
        <x:v>Working-capital cycle</x:v>
      </x:c>
      <x:c r="G31" s="63" t="str">
        <x:v>INFERRED</x:v>
      </x:c>
      <x:c r="H31" s="63" t="str">
        <x:v>OBSERVED</x:v>
      </x:c>
      <x:c r="I31" s="63" t="str">
        <x:v>E0</x:v>
      </x:c>
      <x:c r="J31" s="80" t="n">
        <x:v>0.95</x:v>
      </x:c>
      <x:c r="K31" s="63" t="n">
        <x:v>0</x:v>
      </x:c>
      <x:c r="L31" s="63" t="str">
        <x:v>bec:E03:obs:events:trade-90d, bec:E03:obs:events:trade-90d-value, bec:E03:obs:flow:collections, bec:E03:obs:flow:payments, bec:E03:obs:flow:trade-finance, bec:E03:obs:latent:working_capital_intensity, bec:E03:obs:trend:collections, bec:E03:obs:trend:payments, bec:E03:obs:trend:trade-finance</x:v>
      </x:c>
      <x:c r="M31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31" s="63" t="str">
        <x:v>{"problems":["WORKING_CAPITAL_PRESSURE","SUPPLY_CHAIN_RISK"],"solutions":["WORKING_CAPITAL_REVOLVING","SUPPLY_CHAIN_FINANCE","TRADE_FINANCE"],"timing":["cash-conversion pressure points"]}</x:v>
      </x:c>
    </x:row>
    <x:row r="32">
      <x:c r="A32" s="63" t="str">
        <x:v>E03</x:v>
      </x:c>
      <x:c r="B32" s="63" t="str">
        <x:v>Anglo American</x:v>
      </x:c>
      <x:c r="C32" s="63" t="str">
        <x:v>mining</x:v>
      </x:c>
      <x:c r="D32" s="63" t="str">
        <x:v>twin:E03:2026-06-30:3.1.0</x:v>
      </x:c>
      <x:c r="E32" s="63" t="str">
        <x:v>FUNDING_STRUCTURE</x:v>
      </x:c>
      <x:c r="F32" s="63" t="str">
        <x:v>Funding structure</x:v>
      </x:c>
      <x:c r="G32" s="63" t="str">
        <x:v>INFERRED</x:v>
      </x:c>
      <x:c r="H32" s="63" t="str">
        <x:v>OBSERVED</x:v>
      </x:c>
      <x:c r="I32" s="63" t="str">
        <x:v>E0</x:v>
      </x:c>
      <x:c r="J32" s="80" t="n">
        <x:v>0.95</x:v>
      </x:c>
      <x:c r="K32" s="63" t="n">
        <x:v>0</x:v>
      </x:c>
      <x:c r="L32" s="63" t="str">
        <x:v>bec:AA-2025-DEBT, bec:E03:obs:latent:financing_need</x:v>
      </x:c>
      <x:c r="M32" s="63" t="str">
        <x:v>No approved E1 evidence supports this domain. No audited debt or facility disclosure is available for this client.; full debt maturity ladder by instrument and tenor</x:v>
      </x:c>
      <x:c r="N32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33">
      <x:c r="A33" s="63" t="str">
        <x:v>E03</x:v>
      </x:c>
      <x:c r="B33" s="63" t="str">
        <x:v>Anglo American</x:v>
      </x:c>
      <x:c r="C33" s="63" t="str">
        <x:v>mining</x:v>
      </x:c>
      <x:c r="D33" s="63" t="str">
        <x:v>twin:E03:2026-06-30:3.1.0</x:v>
      </x:c>
      <x:c r="E33" s="63" t="str">
        <x:v>LIQUIDITY_AND_BUFFER</x:v>
      </x:c>
      <x:c r="F33" s="63" t="str">
        <x:v>Liquidity and cash buffer</x:v>
      </x:c>
      <x:c r="G33" s="63" t="str">
        <x:v>INFERRED</x:v>
      </x:c>
      <x:c r="H33" s="63" t="str">
        <x:v>OBSERVED</x:v>
      </x:c>
      <x:c r="I33" s="63" t="str">
        <x:v>E0</x:v>
      </x:c>
      <x:c r="J33" s="80" t="n">
        <x:v>0.9</x:v>
      </x:c>
      <x:c r="K33" s="63" t="n">
        <x:v>0</x:v>
      </x:c>
      <x:c r="L33" s="63" t="str">
        <x:v>bec:AA-2025-CASH, bec:E03:obs:flow:liquidity, bec:E03:obs:latent:liquidity_volatility, bec:E03:obs:trend:liquidity</x:v>
      </x:c>
      <x:c r="M33" s="63" t="str">
        <x:v>undrawn committed facility headroom</x:v>
      </x:c>
      <x:c r="N33" s="63" t="str">
        <x:v>{"problems":["LIQUIDITY_FRAGMENTATION","REFINANCING_CLIFF"],"solutions":["LIQUIDITY_CASH_MANAGEMENT","WORKING_CAPITAL_REVOLVING"],"timing":["buffer depletion"]}</x:v>
      </x:c>
    </x:row>
    <x:row r="34">
      <x:c r="A34" s="63" t="str">
        <x:v>E03</x:v>
      </x:c>
      <x:c r="B34" s="63" t="str">
        <x:v>Anglo American</x:v>
      </x:c>
      <x:c r="C34" s="63" t="str">
        <x:v>mining</x:v>
      </x:c>
      <x:c r="D34" s="63" t="str">
        <x:v>twin:E03:2026-06-30:3.1.0</x:v>
      </x:c>
      <x:c r="E34" s="63" t="str">
        <x:v>OPERATING_MODEL</x:v>
      </x:c>
      <x:c r="F34" s="63" t="str">
        <x:v>Operating model</x:v>
      </x:c>
      <x:c r="G34" s="63" t="str">
        <x:v>SUPPORTED</x:v>
      </x:c>
      <x:c r="H34" s="63" t="str">
        <x:v>OBSERVED</x:v>
      </x:c>
      <x:c r="I34" s="63" t="str">
        <x:v>E0</x:v>
      </x:c>
      <x:c r="J34" s="80" t="n">
        <x:v>0.7</x:v>
      </x:c>
      <x:c r="K34" s="63" t="n">
        <x:v>0</x:v>
      </x:c>
      <x:c r="L34" s="63" t="str">
        <x:v>bec:E03:obs:events:trade-90d, bec:E03:obs:flow:trade-finance, bec:E03:obs:latent:operating_scale, bec:E03:obs:latent:relationship_complexity, bec:E03:obs:relationship-breadth, bec:E03:obs:trend:trade-finance, bec:E03:struct:operating-model</x:v>
      </x:c>
      <x:c r="M34" s="63" t="str">
        <x:v>client-specific ERP, shared-service and treasury system detail</x:v>
      </x:c>
      <x:c r="N34" s="63" t="str">
        <x:v>{"problems":["TREASURY_CENTRALISATION","OPERATIONAL_RESILIENCE"],"solutions":["PAYMENTS","LIQUIDITY_CASH_MANAGEMENT","COLLECTIONS"],"timing":["ERP and treasury system change windows"]}</x:v>
      </x:c>
    </x:row>
    <x:row r="35">
      <x:c r="A35" s="63" t="str">
        <x:v>E03</x:v>
      </x:c>
      <x:c r="B35" s="63" t="str">
        <x:v>Anglo American</x:v>
      </x:c>
      <x:c r="C35" s="63" t="str">
        <x:v>mining</x:v>
      </x:c>
      <x:c r="D35" s="63" t="str">
        <x:v>twin:E03:2026-06-30:3.1.0</x:v>
      </x:c>
      <x:c r="E35" s="63" t="str">
        <x:v>GEOGRAPHIC_EXPOSURE</x:v>
      </x:c>
      <x:c r="F35" s="63" t="str">
        <x:v>Geographic exposure</x:v>
      </x:c>
      <x:c r="G35" s="63" t="str">
        <x:v>SUPPORTED</x:v>
      </x:c>
      <x:c r="H35" s="63" t="str">
        <x:v>OBSERVED</x:v>
      </x:c>
      <x:c r="I35" s="63" t="str">
        <x:v>E0</x:v>
      </x:c>
      <x:c r="J35" s="80" t="n">
        <x:v>0.75</x:v>
      </x:c>
      <x:c r="K35" s="63" t="n">
        <x:v>0</x:v>
      </x:c>
      <x:c r="L35" s="63" t="str">
        <x:v>bec:E03:obs:corridor-name:0, bec:E03:obs:corridor-name:1, bec:E03:obs:corridor-name:2, bec:E03:obs:corridor:0, bec:E03:obs:corridor:1, bec:E03:obs:corridor:2, bec:E03:obs:country-count, bec:E03:obs:flow:cross-border-fx, bec:E03:obs:latent:international_exposure, bec:E03:obs:trend:cross-border-fx</x:v>
      </x:c>
      <x:c r="M35" s="63" t="str"/>
      <x:c r="N35" s="63" t="str">
        <x:v>{"problems":["FX_EXPOSURE","SUPPLY_CHAIN_RISK"],"solutions":["CROSS_BORDER_FX","TRADE_FINANCE"],"timing":["corridor seasonality"]}</x:v>
      </x:c>
    </x:row>
    <x:row r="36">
      <x:c r="A36" s="63" t="str">
        <x:v>E03</x:v>
      </x:c>
      <x:c r="B36" s="63" t="str">
        <x:v>Anglo American</x:v>
      </x:c>
      <x:c r="C36" s="63" t="str">
        <x:v>mining</x:v>
      </x:c>
      <x:c r="D36" s="63" t="str">
        <x:v>twin:E03:2026-06-30:3.1.0</x:v>
      </x:c>
      <x:c r="E36" s="63" t="str">
        <x:v>CURRENCY_AND_COMMODITY_EXPOSURE</x:v>
      </x:c>
      <x:c r="F36" s="63" t="str">
        <x:v>Currency and commodity exposure</x:v>
      </x:c>
      <x:c r="G36" s="63" t="str">
        <x:v>INFERRED</x:v>
      </x:c>
      <x:c r="H36" s="63" t="str">
        <x:v>OBSERVED</x:v>
      </x:c>
      <x:c r="I36" s="63" t="str">
        <x:v>E0</x:v>
      </x:c>
      <x:c r="J36" s="80" t="n">
        <x:v>0.85</x:v>
      </x:c>
      <x:c r="K36" s="63" t="n">
        <x:v>0</x:v>
      </x:c>
      <x:c r="L36" s="63" t="str">
        <x:v>bec:E03:obs:currency-pair:0, bec:E03:obs:currency-pair:1, bec:E03:obs:currency-pair:2, bec:E03:obs:currency:0, bec:E03:obs:currency:1, bec:E03:obs:currency:2, bec:E03:obs:flow:cross-border-fx, bec:E03:obs:trend:cross-border-fx</x:v>
      </x:c>
      <x:c r="M36" s="63" t="str">
        <x:v>commodity hedge programme detail; hedge ratio; signed currency inflow/outflow split</x:v>
      </x:c>
      <x:c r="N36" s="63" t="str">
        <x:v>{"problems":["FX_EXPOSURE","COMMODITY_EXPOSURE"],"solutions":["CROSS_BORDER_FX","COMMODITY_RISK_MANAGEMENT"],"timing":["hedge roll dates"]}</x:v>
      </x:c>
    </x:row>
    <x:row r="37">
      <x:c r="A37" s="63" t="str">
        <x:v>E03</x:v>
      </x:c>
      <x:c r="B37" s="63" t="str">
        <x:v>Anglo American</x:v>
      </x:c>
      <x:c r="C37" s="63" t="str">
        <x:v>mining</x:v>
      </x:c>
      <x:c r="D37" s="63" t="str">
        <x:v>twin:E03:2026-06-30:3.1.0</x:v>
      </x:c>
      <x:c r="E37" s="63" t="str">
        <x:v>PROJECTS_SUBSIDIARIES_SPVS</x:v>
      </x:c>
      <x:c r="F37" s="63" t="str">
        <x:v>Projects, subsidiaries and SPVs</x:v>
      </x:c>
      <x:c r="G37" s="63" t="str">
        <x:v>UNKNOWN</x:v>
      </x:c>
      <x:c r="H37" s="63" t="str">
        <x:v>SCENARIO</x:v>
      </x:c>
      <x:c r="I37" s="63" t="str">
        <x:v>E0</x:v>
      </x:c>
      <x:c r="J37" s="80" t="n">
        <x:v>0.7</x:v>
      </x:c>
      <x:c r="K37" s="63"/>
      <x:c r="L37" s="63" t="str"/>
      <x:c r="M37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37" s="63" t="str">
        <x:v>{"problems":["PROJECT_MOBILISATION","GUARANTEE_OR_COLLATERAL_REQUIREMENT"],"solutions":["PROJECT_FINANCE","GUARANTEES_AND_LC","ESCROW_AND_AGENCY"],"timing":["project financial close"]}</x:v>
      </x:c>
    </x:row>
    <x:row r="38">
      <x:c r="A38" s="63" t="str">
        <x:v>E03</x:v>
      </x:c>
      <x:c r="B38" s="63" t="str">
        <x:v>Anglo American</x:v>
      </x:c>
      <x:c r="C38" s="63" t="str">
        <x:v>mining</x:v>
      </x:c>
      <x:c r="D38" s="63" t="str">
        <x:v>twin:E03:2026-06-30:3.1.0</x:v>
      </x:c>
      <x:c r="E38" s="63" t="str">
        <x:v>STAKEHOLDER_RESPONSIBILITY</x:v>
      </x:c>
      <x:c r="F38" s="63" t="str">
        <x:v>Stakeholder responsibility model</x:v>
      </x:c>
      <x:c r="G38" s="63" t="str">
        <x:v>SUPPORTED</x:v>
      </x:c>
      <x:c r="H38" s="63" t="str">
        <x:v>IDENTIFIED_BOUND</x:v>
      </x:c>
      <x:c r="I38" s="63" t="str">
        <x:v>E0</x:v>
      </x:c>
      <x:c r="J38" s="80" t="n">
        <x:v>0.6</x:v>
      </x:c>
      <x:c r="K38" s="63" t="n">
        <x:v>0</x:v>
      </x:c>
      <x:c r="L38" s="63" t="str">
        <x:v>bec:E03:struct:responsibility-model, bec:E03:struct:responsibility:fx_exposure, bec:E03:struct:responsibility:refinancing_cliff, bec:E03:struct:responsibility:working_capital_pressure</x:v>
      </x:c>
      <x:c r="M38" s="63" t="str">
        <x:v>client-confirmed decision authority and mandate limits</x:v>
      </x:c>
      <x:c r="N38" s="63" t="str">
        <x:v>{"problems":[],"solutions":[],"timing":["decision-authority availability"]}</x:v>
      </x:c>
    </x:row>
    <x:row r="39">
      <x:c r="A39" s="63" t="str">
        <x:v>E03</x:v>
      </x:c>
      <x:c r="B39" s="63" t="str">
        <x:v>Anglo American</x:v>
      </x:c>
      <x:c r="C39" s="63" t="str">
        <x:v>mining</x:v>
      </x:c>
      <x:c r="D39" s="63" t="str">
        <x:v>twin:E03:2026-06-30:3.1.0</x:v>
      </x:c>
      <x:c r="E39" s="63" t="str">
        <x:v>BUSINESS_AND_FINANCIAL_RISKS</x:v>
      </x:c>
      <x:c r="F39" s="63" t="str">
        <x:v>Business and financial risks</x:v>
      </x:c>
      <x:c r="G39" s="63" t="str">
        <x:v>SUPPORTED</x:v>
      </x:c>
      <x:c r="H39" s="63" t="str">
        <x:v>IDENTIFIED_BOUND</x:v>
      </x:c>
      <x:c r="I39" s="63" t="str">
        <x:v>E0</x:v>
      </x:c>
      <x:c r="J39" s="80" t="n">
        <x:v>0.65</x:v>
      </x:c>
      <x:c r="K39" s="63" t="n">
        <x:v>0</x:v>
      </x:c>
      <x:c r="L39" s="63" t="str">
        <x:v>bec:E03:struct:risk:0, bec:E03:struct:risk:1, bec:E03:struct:risk:2</x:v>
      </x:c>
      <x:c r="M39" s="63" t="str">
        <x:v>client risk-report extraction</x:v>
      </x:c>
      <x:c r="N39" s="63" t="str">
        <x:v>{"problems":["OPERATIONAL_RESILIENCE","COMMODITY_EXPOSURE"],"solutions":["COMMODITY_RISK_MANAGEMENT","GUARANTEES_AND_LC"],"timing":["risk-review cycle"]}</x:v>
      </x:c>
    </x:row>
    <x:row r="40">
      <x:c r="A40" s="63" t="str">
        <x:v>E03</x:v>
      </x:c>
      <x:c r="B40" s="63" t="str">
        <x:v>Anglo American</x:v>
      </x:c>
      <x:c r="C40" s="63" t="str">
        <x:v>mining</x:v>
      </x:c>
      <x:c r="D40" s="63" t="str">
        <x:v>twin:E03:2026-06-30:3.1.0</x:v>
      </x:c>
      <x:c r="E40" s="63" t="str">
        <x:v>STRATEGY_ACTIONS_AND_ESG</x:v>
      </x:c>
      <x:c r="F40" s="63" t="str">
        <x:v>Strategy, corporate actions and ESG activity</x:v>
      </x:c>
      <x:c r="G40" s="63" t="str">
        <x:v>SUPPORTED</x:v>
      </x:c>
      <x:c r="H40" s="63" t="str">
        <x:v>OBSERVED</x:v>
      </x:c>
      <x:c r="I40" s="63" t="str">
        <x:v>E0</x:v>
      </x:c>
      <x:c r="J40" s="80" t="n">
        <x:v>0.55</x:v>
      </x:c>
      <x:c r="K40" s="63" t="n">
        <x:v>0</x:v>
      </x:c>
      <x:c r="L40" s="63" t="str">
        <x:v>bec:E03:obs:latent:event_intensity</x:v>
      </x:c>
      <x:c r="M40" s="63" t="str">
        <x:v>announced corporate actions; evidence-based ESG activity and transition targets</x:v>
      </x:c>
      <x:c r="N40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41">
      <x:c r="A41" s="63" t="str">
        <x:v>E04</x:v>
      </x:c>
      <x:c r="B41" s="63" t="str">
        <x:v>AngloGold Ashanti</x:v>
      </x:c>
      <x:c r="C41" s="63" t="str">
        <x:v>mining</x:v>
      </x:c>
      <x:c r="D41" s="63" t="str">
        <x:v>twin:E04:2026-06-30:3.1.0</x:v>
      </x:c>
      <x:c r="E41" s="63" t="str">
        <x:v>REVENUE_ENGINE</x:v>
      </x:c>
      <x:c r="F41" s="63" t="str">
        <x:v>Revenue engine</x:v>
      </x:c>
      <x:c r="G41" s="63" t="str">
        <x:v>SUPPORTED</x:v>
      </x:c>
      <x:c r="H41" s="63" t="str">
        <x:v>OBSERVED</x:v>
      </x:c>
      <x:c r="I41" s="63" t="str">
        <x:v>E0</x:v>
      </x:c>
      <x:c r="J41" s="80" t="n">
        <x:v>0.95</x:v>
      </x:c>
      <x:c r="K41" s="63" t="n">
        <x:v>0</x:v>
      </x:c>
      <x:c r="L41" s="63" t="str">
        <x:v>bec:AGA-2025-REV, bec:E04:obs:flow:collections, bec:E04:obs:trend:collections</x:v>
      </x:c>
      <x:c r="M41" s="63" t="str"/>
      <x:c r="N41" s="63" t="str">
        <x:v>{"problems":["COLLECTIONS_INEFFICIENCY","WORKING_CAPITAL_PRESSURE"],"solutions":["COLLECTIONS","SUPPLY_CHAIN_FINANCE"],"timing":["collection seasonality"]}</x:v>
      </x:c>
    </x:row>
    <x:row r="42">
      <x:c r="A42" s="63" t="str">
        <x:v>E04</x:v>
      </x:c>
      <x:c r="B42" s="63" t="str">
        <x:v>AngloGold Ashanti</x:v>
      </x:c>
      <x:c r="C42" s="63" t="str">
        <x:v>mining</x:v>
      </x:c>
      <x:c r="D42" s="63" t="str">
        <x:v>twin:E04:2026-06-30:3.1.0</x:v>
      </x:c>
      <x:c r="E42" s="63" t="str">
        <x:v>COST_ENGINE</x:v>
      </x:c>
      <x:c r="F42" s="63" t="str">
        <x:v>Cost engine</x:v>
      </x:c>
      <x:c r="G42" s="63" t="str">
        <x:v>SUPPORTED</x:v>
      </x:c>
      <x:c r="H42" s="63" t="str">
        <x:v>OBSERVED</x:v>
      </x:c>
      <x:c r="I42" s="63" t="str">
        <x:v>E0</x:v>
      </x:c>
      <x:c r="J42" s="80" t="n">
        <x:v>0.9</x:v>
      </x:c>
      <x:c r="K42" s="63" t="n">
        <x:v>0</x:v>
      </x:c>
      <x:c r="L42" s="63" t="str">
        <x:v>bec:E04:obs:flow:payments, bec:E04:obs:trend:payments</x:v>
      </x:c>
      <x:c r="M42" s="63" t="str">
        <x:v>No approved E1 evidence supports this domain. No audited cost base is available for this client.</x:v>
      </x:c>
      <x:c r="N42" s="63" t="str">
        <x:v>{"problems":["PAYMENTS_INEFFICIENCY","SUPPLY_CHAIN_RISK"],"solutions":["PAYMENTS","SUPPLY_CHAIN_FINANCE","TRADE_FINANCE"],"timing":["supplier payment runs"]}</x:v>
      </x:c>
    </x:row>
    <x:row r="43">
      <x:c r="A43" s="63" t="str">
        <x:v>E04</x:v>
      </x:c>
      <x:c r="B43" s="63" t="str">
        <x:v>AngloGold Ashanti</x:v>
      </x:c>
      <x:c r="C43" s="63" t="str">
        <x:v>mining</x:v>
      </x:c>
      <x:c r="D43" s="63" t="str">
        <x:v>twin:E04:2026-06-30:3.1.0</x:v>
      </x:c>
      <x:c r="E43" s="63" t="str">
        <x:v>WORKING_CAPITAL_CYCLE</x:v>
      </x:c>
      <x:c r="F43" s="63" t="str">
        <x:v>Working-capital cycle</x:v>
      </x:c>
      <x:c r="G43" s="63" t="str">
        <x:v>INFERRED</x:v>
      </x:c>
      <x:c r="H43" s="63" t="str">
        <x:v>OBSERVED</x:v>
      </x:c>
      <x:c r="I43" s="63" t="str">
        <x:v>E0</x:v>
      </x:c>
      <x:c r="J43" s="80" t="n">
        <x:v>0.95</x:v>
      </x:c>
      <x:c r="K43" s="63" t="n">
        <x:v>0</x:v>
      </x:c>
      <x:c r="L43" s="63" t="str">
        <x:v>bec:E04:obs:events:trade-90d, bec:E04:obs:events:trade-90d-value, bec:E04:obs:flow:collections, bec:E04:obs:flow:payments, bec:E04:obs:flow:trade-finance, bec:E04:obs:latent:working_capital_intensity, bec:E04:obs:trend:collections, bec:E04:obs:trend:payments, bec:E04:obs:trend:trade-finance</x:v>
      </x:c>
      <x:c r="M43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43" s="63" t="str">
        <x:v>{"problems":["WORKING_CAPITAL_PRESSURE","SUPPLY_CHAIN_RISK"],"solutions":["WORKING_CAPITAL_REVOLVING","SUPPLY_CHAIN_FINANCE","TRADE_FINANCE"],"timing":["cash-conversion pressure points"]}</x:v>
      </x:c>
    </x:row>
    <x:row r="44">
      <x:c r="A44" s="63" t="str">
        <x:v>E04</x:v>
      </x:c>
      <x:c r="B44" s="63" t="str">
        <x:v>AngloGold Ashanti</x:v>
      </x:c>
      <x:c r="C44" s="63" t="str">
        <x:v>mining</x:v>
      </x:c>
      <x:c r="D44" s="63" t="str">
        <x:v>twin:E04:2026-06-30:3.1.0</x:v>
      </x:c>
      <x:c r="E44" s="63" t="str">
        <x:v>FUNDING_STRUCTURE</x:v>
      </x:c>
      <x:c r="F44" s="63" t="str">
        <x:v>Funding structure</x:v>
      </x:c>
      <x:c r="G44" s="63" t="str">
        <x:v>INFERRED</x:v>
      </x:c>
      <x:c r="H44" s="63" t="str">
        <x:v>OBSERVED</x:v>
      </x:c>
      <x:c r="I44" s="63" t="str">
        <x:v>E0</x:v>
      </x:c>
      <x:c r="J44" s="80" t="n">
        <x:v>0.95</x:v>
      </x:c>
      <x:c r="K44" s="63" t="n">
        <x:v>0</x:v>
      </x:c>
      <x:c r="L44" s="63" t="str">
        <x:v>bec:AGA-2025-DEBT, bec:E04:obs:latent:financing_need</x:v>
      </x:c>
      <x:c r="M44" s="63" t="str">
        <x:v>No approved E1 evidence supports this domain. No audited debt or facility disclosure is available for this client.; full debt maturity ladder by instrument and tenor</x:v>
      </x:c>
      <x:c r="N44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45">
      <x:c r="A45" s="63" t="str">
        <x:v>E04</x:v>
      </x:c>
      <x:c r="B45" s="63" t="str">
        <x:v>AngloGold Ashanti</x:v>
      </x:c>
      <x:c r="C45" s="63" t="str">
        <x:v>mining</x:v>
      </x:c>
      <x:c r="D45" s="63" t="str">
        <x:v>twin:E04:2026-06-30:3.1.0</x:v>
      </x:c>
      <x:c r="E45" s="63" t="str">
        <x:v>LIQUIDITY_AND_BUFFER</x:v>
      </x:c>
      <x:c r="F45" s="63" t="str">
        <x:v>Liquidity and cash buffer</x:v>
      </x:c>
      <x:c r="G45" s="63" t="str">
        <x:v>INFERRED</x:v>
      </x:c>
      <x:c r="H45" s="63" t="str">
        <x:v>OBSERVED</x:v>
      </x:c>
      <x:c r="I45" s="63" t="str">
        <x:v>E0</x:v>
      </x:c>
      <x:c r="J45" s="80" t="n">
        <x:v>0.9</x:v>
      </x:c>
      <x:c r="K45" s="63" t="n">
        <x:v>0</x:v>
      </x:c>
      <x:c r="L45" s="63" t="str">
        <x:v>bec:AGA-2025-CASH, bec:E04:obs:flow:liquidity, bec:E04:obs:latent:liquidity_volatility, bec:E04:obs:trend:liquidity</x:v>
      </x:c>
      <x:c r="M45" s="63" t="str">
        <x:v>undrawn committed facility headroom</x:v>
      </x:c>
      <x:c r="N45" s="63" t="str">
        <x:v>{"problems":["LIQUIDITY_FRAGMENTATION","REFINANCING_CLIFF"],"solutions":["LIQUIDITY_CASH_MANAGEMENT","WORKING_CAPITAL_REVOLVING"],"timing":["buffer depletion"]}</x:v>
      </x:c>
    </x:row>
    <x:row r="46">
      <x:c r="A46" s="63" t="str">
        <x:v>E04</x:v>
      </x:c>
      <x:c r="B46" s="63" t="str">
        <x:v>AngloGold Ashanti</x:v>
      </x:c>
      <x:c r="C46" s="63" t="str">
        <x:v>mining</x:v>
      </x:c>
      <x:c r="D46" s="63" t="str">
        <x:v>twin:E04:2026-06-30:3.1.0</x:v>
      </x:c>
      <x:c r="E46" s="63" t="str">
        <x:v>OPERATING_MODEL</x:v>
      </x:c>
      <x:c r="F46" s="63" t="str">
        <x:v>Operating model</x:v>
      </x:c>
      <x:c r="G46" s="63" t="str">
        <x:v>SUPPORTED</x:v>
      </x:c>
      <x:c r="H46" s="63" t="str">
        <x:v>OBSERVED</x:v>
      </x:c>
      <x:c r="I46" s="63" t="str">
        <x:v>E0</x:v>
      </x:c>
      <x:c r="J46" s="80" t="n">
        <x:v>0.7</x:v>
      </x:c>
      <x:c r="K46" s="63" t="n">
        <x:v>0</x:v>
      </x:c>
      <x:c r="L46" s="63" t="str">
        <x:v>bec:E04:obs:events:trade-90d, bec:E04:obs:flow:trade-finance, bec:E04:obs:latent:operating_scale, bec:E04:obs:latent:relationship_complexity, bec:E04:obs:relationship-breadth, bec:E04:obs:trend:trade-finance, bec:E04:struct:operating-model</x:v>
      </x:c>
      <x:c r="M46" s="63" t="str">
        <x:v>client-specific ERP, shared-service and treasury system detail</x:v>
      </x:c>
      <x:c r="N46" s="63" t="str">
        <x:v>{"problems":["TREASURY_CENTRALISATION","OPERATIONAL_RESILIENCE"],"solutions":["PAYMENTS","LIQUIDITY_CASH_MANAGEMENT","COLLECTIONS"],"timing":["ERP and treasury system change windows"]}</x:v>
      </x:c>
    </x:row>
    <x:row r="47">
      <x:c r="A47" s="63" t="str">
        <x:v>E04</x:v>
      </x:c>
      <x:c r="B47" s="63" t="str">
        <x:v>AngloGold Ashanti</x:v>
      </x:c>
      <x:c r="C47" s="63" t="str">
        <x:v>mining</x:v>
      </x:c>
      <x:c r="D47" s="63" t="str">
        <x:v>twin:E04:2026-06-30:3.1.0</x:v>
      </x:c>
      <x:c r="E47" s="63" t="str">
        <x:v>GEOGRAPHIC_EXPOSURE</x:v>
      </x:c>
      <x:c r="F47" s="63" t="str">
        <x:v>Geographic exposure</x:v>
      </x:c>
      <x:c r="G47" s="63" t="str">
        <x:v>SUPPORTED</x:v>
      </x:c>
      <x:c r="H47" s="63" t="str">
        <x:v>OBSERVED</x:v>
      </x:c>
      <x:c r="I47" s="63" t="str">
        <x:v>E0</x:v>
      </x:c>
      <x:c r="J47" s="80" t="n">
        <x:v>0.75</x:v>
      </x:c>
      <x:c r="K47" s="63" t="n">
        <x:v>0</x:v>
      </x:c>
      <x:c r="L47" s="63" t="str">
        <x:v>bec:E04:obs:corridor-name:0, bec:E04:obs:corridor-name:1, bec:E04:obs:corridor-name:2, bec:E04:obs:corridor:0, bec:E04:obs:corridor:1, bec:E04:obs:corridor:2, bec:E04:obs:country-count, bec:E04:obs:flow:cross-border-fx, bec:E04:obs:latent:international_exposure, bec:E04:obs:trend:cross-border-fx</x:v>
      </x:c>
      <x:c r="M47" s="63" t="str"/>
      <x:c r="N47" s="63" t="str">
        <x:v>{"problems":["FX_EXPOSURE","SUPPLY_CHAIN_RISK"],"solutions":["CROSS_BORDER_FX","TRADE_FINANCE"],"timing":["corridor seasonality"]}</x:v>
      </x:c>
    </x:row>
    <x:row r="48">
      <x:c r="A48" s="63" t="str">
        <x:v>E04</x:v>
      </x:c>
      <x:c r="B48" s="63" t="str">
        <x:v>AngloGold Ashanti</x:v>
      </x:c>
      <x:c r="C48" s="63" t="str">
        <x:v>mining</x:v>
      </x:c>
      <x:c r="D48" s="63" t="str">
        <x:v>twin:E04:2026-06-30:3.1.0</x:v>
      </x:c>
      <x:c r="E48" s="63" t="str">
        <x:v>CURRENCY_AND_COMMODITY_EXPOSURE</x:v>
      </x:c>
      <x:c r="F48" s="63" t="str">
        <x:v>Currency and commodity exposure</x:v>
      </x:c>
      <x:c r="G48" s="63" t="str">
        <x:v>INFERRED</x:v>
      </x:c>
      <x:c r="H48" s="63" t="str">
        <x:v>OBSERVED</x:v>
      </x:c>
      <x:c r="I48" s="63" t="str">
        <x:v>E0</x:v>
      </x:c>
      <x:c r="J48" s="80" t="n">
        <x:v>0.85</x:v>
      </x:c>
      <x:c r="K48" s="63" t="n">
        <x:v>0</x:v>
      </x:c>
      <x:c r="L48" s="63" t="str">
        <x:v>bec:E04:obs:currency-pair:0, bec:E04:obs:currency-pair:1, bec:E04:obs:currency-pair:2, bec:E04:obs:currency:0, bec:E04:obs:currency:1, bec:E04:obs:currency:2, bec:E04:obs:flow:cross-border-fx, bec:E04:obs:trend:cross-border-fx</x:v>
      </x:c>
      <x:c r="M48" s="63" t="str">
        <x:v>commodity hedge programme detail; hedge ratio; signed currency inflow/outflow split</x:v>
      </x:c>
      <x:c r="N48" s="63" t="str">
        <x:v>{"problems":["FX_EXPOSURE","COMMODITY_EXPOSURE"],"solutions":["CROSS_BORDER_FX","COMMODITY_RISK_MANAGEMENT"],"timing":["hedge roll dates"]}</x:v>
      </x:c>
    </x:row>
    <x:row r="49">
      <x:c r="A49" s="63" t="str">
        <x:v>E04</x:v>
      </x:c>
      <x:c r="B49" s="63" t="str">
        <x:v>AngloGold Ashanti</x:v>
      </x:c>
      <x:c r="C49" s="63" t="str">
        <x:v>mining</x:v>
      </x:c>
      <x:c r="D49" s="63" t="str">
        <x:v>twin:E04:2026-06-30:3.1.0</x:v>
      </x:c>
      <x:c r="E49" s="63" t="str">
        <x:v>PROJECTS_SUBSIDIARIES_SPVS</x:v>
      </x:c>
      <x:c r="F49" s="63" t="str">
        <x:v>Projects, subsidiaries and SPVs</x:v>
      </x:c>
      <x:c r="G49" s="63" t="str">
        <x:v>UNKNOWN</x:v>
      </x:c>
      <x:c r="H49" s="63" t="str">
        <x:v>SCENARIO</x:v>
      </x:c>
      <x:c r="I49" s="63" t="str">
        <x:v>E0</x:v>
      </x:c>
      <x:c r="J49" s="80" t="n">
        <x:v>0.7</x:v>
      </x:c>
      <x:c r="K49" s="63"/>
      <x:c r="L49" s="63" t="str"/>
      <x:c r="M49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49" s="63" t="str">
        <x:v>{"problems":["PROJECT_MOBILISATION","GUARANTEE_OR_COLLATERAL_REQUIREMENT"],"solutions":["PROJECT_FINANCE","GUARANTEES_AND_LC","ESCROW_AND_AGENCY"],"timing":["project financial close"]}</x:v>
      </x:c>
    </x:row>
    <x:row r="50">
      <x:c r="A50" s="63" t="str">
        <x:v>E04</x:v>
      </x:c>
      <x:c r="B50" s="63" t="str">
        <x:v>AngloGold Ashanti</x:v>
      </x:c>
      <x:c r="C50" s="63" t="str">
        <x:v>mining</x:v>
      </x:c>
      <x:c r="D50" s="63" t="str">
        <x:v>twin:E04:2026-06-30:3.1.0</x:v>
      </x:c>
      <x:c r="E50" s="63" t="str">
        <x:v>STAKEHOLDER_RESPONSIBILITY</x:v>
      </x:c>
      <x:c r="F50" s="63" t="str">
        <x:v>Stakeholder responsibility model</x:v>
      </x:c>
      <x:c r="G50" s="63" t="str">
        <x:v>SUPPORTED</x:v>
      </x:c>
      <x:c r="H50" s="63" t="str">
        <x:v>IDENTIFIED_BOUND</x:v>
      </x:c>
      <x:c r="I50" s="63" t="str">
        <x:v>E0</x:v>
      </x:c>
      <x:c r="J50" s="80" t="n">
        <x:v>0.6</x:v>
      </x:c>
      <x:c r="K50" s="63" t="n">
        <x:v>0</x:v>
      </x:c>
      <x:c r="L50" s="63" t="str">
        <x:v>bec:E04:struct:responsibility-model, bec:E04:struct:responsibility:fx_exposure, bec:E04:struct:responsibility:refinancing_cliff, bec:E04:struct:responsibility:working_capital_pressure</x:v>
      </x:c>
      <x:c r="M50" s="63" t="str">
        <x:v>client-confirmed decision authority and mandate limits</x:v>
      </x:c>
      <x:c r="N50" s="63" t="str">
        <x:v>{"problems":[],"solutions":[],"timing":["decision-authority availability"]}</x:v>
      </x:c>
    </x:row>
    <x:row r="51">
      <x:c r="A51" s="63" t="str">
        <x:v>E04</x:v>
      </x:c>
      <x:c r="B51" s="63" t="str">
        <x:v>AngloGold Ashanti</x:v>
      </x:c>
      <x:c r="C51" s="63" t="str">
        <x:v>mining</x:v>
      </x:c>
      <x:c r="D51" s="63" t="str">
        <x:v>twin:E04:2026-06-30:3.1.0</x:v>
      </x:c>
      <x:c r="E51" s="63" t="str">
        <x:v>BUSINESS_AND_FINANCIAL_RISKS</x:v>
      </x:c>
      <x:c r="F51" s="63" t="str">
        <x:v>Business and financial risks</x:v>
      </x:c>
      <x:c r="G51" s="63" t="str">
        <x:v>SUPPORTED</x:v>
      </x:c>
      <x:c r="H51" s="63" t="str">
        <x:v>IDENTIFIED_BOUND</x:v>
      </x:c>
      <x:c r="I51" s="63" t="str">
        <x:v>E0</x:v>
      </x:c>
      <x:c r="J51" s="80" t="n">
        <x:v>0.65</x:v>
      </x:c>
      <x:c r="K51" s="63" t="n">
        <x:v>0</x:v>
      </x:c>
      <x:c r="L51" s="63" t="str">
        <x:v>bec:E04:struct:risk:0, bec:E04:struct:risk:1, bec:E04:struct:risk:2</x:v>
      </x:c>
      <x:c r="M51" s="63" t="str">
        <x:v>client risk-report extraction</x:v>
      </x:c>
      <x:c r="N51" s="63" t="str">
        <x:v>{"problems":["OPERATIONAL_RESILIENCE","COMMODITY_EXPOSURE"],"solutions":["COMMODITY_RISK_MANAGEMENT","GUARANTEES_AND_LC"],"timing":["risk-review cycle"]}</x:v>
      </x:c>
    </x:row>
    <x:row r="52">
      <x:c r="A52" s="63" t="str">
        <x:v>E04</x:v>
      </x:c>
      <x:c r="B52" s="63" t="str">
        <x:v>AngloGold Ashanti</x:v>
      </x:c>
      <x:c r="C52" s="63" t="str">
        <x:v>mining</x:v>
      </x:c>
      <x:c r="D52" s="63" t="str">
        <x:v>twin:E04:2026-06-30:3.1.0</x:v>
      </x:c>
      <x:c r="E52" s="63" t="str">
        <x:v>STRATEGY_ACTIONS_AND_ESG</x:v>
      </x:c>
      <x:c r="F52" s="63" t="str">
        <x:v>Strategy, corporate actions and ESG activity</x:v>
      </x:c>
      <x:c r="G52" s="63" t="str">
        <x:v>SUPPORTED</x:v>
      </x:c>
      <x:c r="H52" s="63" t="str">
        <x:v>OBSERVED</x:v>
      </x:c>
      <x:c r="I52" s="63" t="str">
        <x:v>E0</x:v>
      </x:c>
      <x:c r="J52" s="80" t="n">
        <x:v>0.55</x:v>
      </x:c>
      <x:c r="K52" s="63" t="n">
        <x:v>0</x:v>
      </x:c>
      <x:c r="L52" s="63" t="str">
        <x:v>bec:E04:obs:latent:event_intensity</x:v>
      </x:c>
      <x:c r="M52" s="63" t="str">
        <x:v>announced corporate actions; evidence-based ESG activity and transition targets</x:v>
      </x:c>
      <x:c r="N52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53">
      <x:c r="A53" s="63" t="str">
        <x:v>E05</x:v>
      </x:c>
      <x:c r="B53" s="63" t="str">
        <x:v>Gold Fields</x:v>
      </x:c>
      <x:c r="C53" s="63" t="str">
        <x:v>mining</x:v>
      </x:c>
      <x:c r="D53" s="63" t="str">
        <x:v>twin:E05:2026-06-30:3.1.0</x:v>
      </x:c>
      <x:c r="E53" s="63" t="str">
        <x:v>REVENUE_ENGINE</x:v>
      </x:c>
      <x:c r="F53" s="63" t="str">
        <x:v>Revenue engine</x:v>
      </x:c>
      <x:c r="G53" s="63" t="str">
        <x:v>SUPPORTED</x:v>
      </x:c>
      <x:c r="H53" s="63" t="str">
        <x:v>OBSERVED</x:v>
      </x:c>
      <x:c r="I53" s="63" t="str">
        <x:v>E0</x:v>
      </x:c>
      <x:c r="J53" s="80" t="n">
        <x:v>0.95</x:v>
      </x:c>
      <x:c r="K53" s="63" t="n">
        <x:v>0</x:v>
      </x:c>
      <x:c r="L53" s="63" t="str">
        <x:v>bec:E05:obs:flow:collections, bec:E05:obs:trend:collections, bec:GF-2025-REV</x:v>
      </x:c>
      <x:c r="M53" s="63" t="str"/>
      <x:c r="N53" s="63" t="str">
        <x:v>{"problems":["COLLECTIONS_INEFFICIENCY","WORKING_CAPITAL_PRESSURE"],"solutions":["COLLECTIONS","SUPPLY_CHAIN_FINANCE"],"timing":["collection seasonality"]}</x:v>
      </x:c>
    </x:row>
    <x:row r="54">
      <x:c r="A54" s="63" t="str">
        <x:v>E05</x:v>
      </x:c>
      <x:c r="B54" s="63" t="str">
        <x:v>Gold Fields</x:v>
      </x:c>
      <x:c r="C54" s="63" t="str">
        <x:v>mining</x:v>
      </x:c>
      <x:c r="D54" s="63" t="str">
        <x:v>twin:E05:2026-06-30:3.1.0</x:v>
      </x:c>
      <x:c r="E54" s="63" t="str">
        <x:v>COST_ENGINE</x:v>
      </x:c>
      <x:c r="F54" s="63" t="str">
        <x:v>Cost engine</x:v>
      </x:c>
      <x:c r="G54" s="63" t="str">
        <x:v>SUPPORTED</x:v>
      </x:c>
      <x:c r="H54" s="63" t="str">
        <x:v>OBSERVED</x:v>
      </x:c>
      <x:c r="I54" s="63" t="str">
        <x:v>E0</x:v>
      </x:c>
      <x:c r="J54" s="80" t="n">
        <x:v>0.9</x:v>
      </x:c>
      <x:c r="K54" s="63" t="n">
        <x:v>0</x:v>
      </x:c>
      <x:c r="L54" s="63" t="str">
        <x:v>bec:E05:obs:flow:payments, bec:E05:obs:trend:payments</x:v>
      </x:c>
      <x:c r="M54" s="63" t="str">
        <x:v>No approved E1 evidence supports this domain. No audited cost base is available for this client.</x:v>
      </x:c>
      <x:c r="N54" s="63" t="str">
        <x:v>{"problems":["PAYMENTS_INEFFICIENCY","SUPPLY_CHAIN_RISK"],"solutions":["PAYMENTS","SUPPLY_CHAIN_FINANCE","TRADE_FINANCE"],"timing":["supplier payment runs"]}</x:v>
      </x:c>
    </x:row>
    <x:row r="55">
      <x:c r="A55" s="63" t="str">
        <x:v>E05</x:v>
      </x:c>
      <x:c r="B55" s="63" t="str">
        <x:v>Gold Fields</x:v>
      </x:c>
      <x:c r="C55" s="63" t="str">
        <x:v>mining</x:v>
      </x:c>
      <x:c r="D55" s="63" t="str">
        <x:v>twin:E05:2026-06-30:3.1.0</x:v>
      </x:c>
      <x:c r="E55" s="63" t="str">
        <x:v>WORKING_CAPITAL_CYCLE</x:v>
      </x:c>
      <x:c r="F55" s="63" t="str">
        <x:v>Working-capital cycle</x:v>
      </x:c>
      <x:c r="G55" s="63" t="str">
        <x:v>INFERRED</x:v>
      </x:c>
      <x:c r="H55" s="63" t="str">
        <x:v>OBSERVED</x:v>
      </x:c>
      <x:c r="I55" s="63" t="str">
        <x:v>E0</x:v>
      </x:c>
      <x:c r="J55" s="80" t="n">
        <x:v>0.95</x:v>
      </x:c>
      <x:c r="K55" s="63" t="n">
        <x:v>0</x:v>
      </x:c>
      <x:c r="L55" s="63" t="str">
        <x:v>bec:E05:obs:events:trade-90d, bec:E05:obs:events:trade-90d-value, bec:E05:obs:flow:collections, bec:E05:obs:flow:payments, bec:E05:obs:flow:trade-finance, bec:E05:obs:latent:working_capital_intensity, bec:E05:obs:trend:collections, bec:E05:obs:trend:payments, bec:E05:obs:trend:trade-finance</x:v>
      </x:c>
      <x:c r="M55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55" s="63" t="str">
        <x:v>{"problems":["WORKING_CAPITAL_PRESSURE","SUPPLY_CHAIN_RISK"],"solutions":["WORKING_CAPITAL_REVOLVING","SUPPLY_CHAIN_FINANCE","TRADE_FINANCE"],"timing":["cash-conversion pressure points"]}</x:v>
      </x:c>
    </x:row>
    <x:row r="56">
      <x:c r="A56" s="63" t="str">
        <x:v>E05</x:v>
      </x:c>
      <x:c r="B56" s="63" t="str">
        <x:v>Gold Fields</x:v>
      </x:c>
      <x:c r="C56" s="63" t="str">
        <x:v>mining</x:v>
      </x:c>
      <x:c r="D56" s="63" t="str">
        <x:v>twin:E05:2026-06-30:3.1.0</x:v>
      </x:c>
      <x:c r="E56" s="63" t="str">
        <x:v>FUNDING_STRUCTURE</x:v>
      </x:c>
      <x:c r="F56" s="63" t="str">
        <x:v>Funding structure</x:v>
      </x:c>
      <x:c r="G56" s="63" t="str">
        <x:v>INFERRED</x:v>
      </x:c>
      <x:c r="H56" s="63" t="str">
        <x:v>OBSERVED</x:v>
      </x:c>
      <x:c r="I56" s="63" t="str">
        <x:v>E0</x:v>
      </x:c>
      <x:c r="J56" s="80" t="n">
        <x:v>0.95</x:v>
      </x:c>
      <x:c r="K56" s="63" t="n">
        <x:v>0</x:v>
      </x:c>
      <x:c r="L56" s="63" t="str">
        <x:v>bec:E05:obs:latent:financing_need, bec:GF-2025-DEBT</x:v>
      </x:c>
      <x:c r="M56" s="63" t="str">
        <x:v>No approved E1 evidence supports this domain. No audited debt or facility disclosure is available for this client.; full debt maturity ladder by instrument and tenor</x:v>
      </x:c>
      <x:c r="N56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57">
      <x:c r="A57" s="63" t="str">
        <x:v>E05</x:v>
      </x:c>
      <x:c r="B57" s="63" t="str">
        <x:v>Gold Fields</x:v>
      </x:c>
      <x:c r="C57" s="63" t="str">
        <x:v>mining</x:v>
      </x:c>
      <x:c r="D57" s="63" t="str">
        <x:v>twin:E05:2026-06-30:3.1.0</x:v>
      </x:c>
      <x:c r="E57" s="63" t="str">
        <x:v>LIQUIDITY_AND_BUFFER</x:v>
      </x:c>
      <x:c r="F57" s="63" t="str">
        <x:v>Liquidity and cash buffer</x:v>
      </x:c>
      <x:c r="G57" s="63" t="str">
        <x:v>INFERRED</x:v>
      </x:c>
      <x:c r="H57" s="63" t="str">
        <x:v>OBSERVED</x:v>
      </x:c>
      <x:c r="I57" s="63" t="str">
        <x:v>E0</x:v>
      </x:c>
      <x:c r="J57" s="80" t="n">
        <x:v>0.9</x:v>
      </x:c>
      <x:c r="K57" s="63" t="n">
        <x:v>0</x:v>
      </x:c>
      <x:c r="L57" s="63" t="str">
        <x:v>bec:E05:obs:flow:liquidity, bec:E05:obs:latent:liquidity_volatility, bec:E05:obs:trend:liquidity, bec:GF-2025-CASH</x:v>
      </x:c>
      <x:c r="M57" s="63" t="str">
        <x:v>undrawn committed facility headroom</x:v>
      </x:c>
      <x:c r="N57" s="63" t="str">
        <x:v>{"problems":["LIQUIDITY_FRAGMENTATION","REFINANCING_CLIFF"],"solutions":["LIQUIDITY_CASH_MANAGEMENT","WORKING_CAPITAL_REVOLVING"],"timing":["buffer depletion"]}</x:v>
      </x:c>
    </x:row>
    <x:row r="58">
      <x:c r="A58" s="63" t="str">
        <x:v>E05</x:v>
      </x:c>
      <x:c r="B58" s="63" t="str">
        <x:v>Gold Fields</x:v>
      </x:c>
      <x:c r="C58" s="63" t="str">
        <x:v>mining</x:v>
      </x:c>
      <x:c r="D58" s="63" t="str">
        <x:v>twin:E05:2026-06-30:3.1.0</x:v>
      </x:c>
      <x:c r="E58" s="63" t="str">
        <x:v>OPERATING_MODEL</x:v>
      </x:c>
      <x:c r="F58" s="63" t="str">
        <x:v>Operating model</x:v>
      </x:c>
      <x:c r="G58" s="63" t="str">
        <x:v>SUPPORTED</x:v>
      </x:c>
      <x:c r="H58" s="63" t="str">
        <x:v>OBSERVED</x:v>
      </x:c>
      <x:c r="I58" s="63" t="str">
        <x:v>E0</x:v>
      </x:c>
      <x:c r="J58" s="80" t="n">
        <x:v>0.7</x:v>
      </x:c>
      <x:c r="K58" s="63" t="n">
        <x:v>0</x:v>
      </x:c>
      <x:c r="L58" s="63" t="str">
        <x:v>bec:E05:obs:events:trade-90d, bec:E05:obs:flow:trade-finance, bec:E05:obs:latent:operating_scale, bec:E05:obs:latent:relationship_complexity, bec:E05:obs:relationship-breadth, bec:E05:obs:trend:trade-finance, bec:E05:struct:operating-model</x:v>
      </x:c>
      <x:c r="M58" s="63" t="str">
        <x:v>client-specific ERP, shared-service and treasury system detail</x:v>
      </x:c>
      <x:c r="N58" s="63" t="str">
        <x:v>{"problems":["TREASURY_CENTRALISATION","OPERATIONAL_RESILIENCE"],"solutions":["PAYMENTS","LIQUIDITY_CASH_MANAGEMENT","COLLECTIONS"],"timing":["ERP and treasury system change windows"]}</x:v>
      </x:c>
    </x:row>
    <x:row r="59">
      <x:c r="A59" s="63" t="str">
        <x:v>E05</x:v>
      </x:c>
      <x:c r="B59" s="63" t="str">
        <x:v>Gold Fields</x:v>
      </x:c>
      <x:c r="C59" s="63" t="str">
        <x:v>mining</x:v>
      </x:c>
      <x:c r="D59" s="63" t="str">
        <x:v>twin:E05:2026-06-30:3.1.0</x:v>
      </x:c>
      <x:c r="E59" s="63" t="str">
        <x:v>GEOGRAPHIC_EXPOSURE</x:v>
      </x:c>
      <x:c r="F59" s="63" t="str">
        <x:v>Geographic exposure</x:v>
      </x:c>
      <x:c r="G59" s="63" t="str">
        <x:v>SUPPORTED</x:v>
      </x:c>
      <x:c r="H59" s="63" t="str">
        <x:v>OBSERVED</x:v>
      </x:c>
      <x:c r="I59" s="63" t="str">
        <x:v>E0</x:v>
      </x:c>
      <x:c r="J59" s="80" t="n">
        <x:v>0.75</x:v>
      </x:c>
      <x:c r="K59" s="63" t="n">
        <x:v>0</x:v>
      </x:c>
      <x:c r="L59" s="63" t="str">
        <x:v>bec:E05:obs:corridor-name:0, bec:E05:obs:corridor-name:1, bec:E05:obs:corridor-name:2, bec:E05:obs:corridor:0, bec:E05:obs:corridor:1, bec:E05:obs:corridor:2, bec:E05:obs:country-count, bec:E05:obs:flow:cross-border-fx, bec:E05:obs:latent:international_exposure, bec:E05:obs:trend:cross-border-fx</x:v>
      </x:c>
      <x:c r="M59" s="63" t="str"/>
      <x:c r="N59" s="63" t="str">
        <x:v>{"problems":["FX_EXPOSURE","SUPPLY_CHAIN_RISK"],"solutions":["CROSS_BORDER_FX","TRADE_FINANCE"],"timing":["corridor seasonality"]}</x:v>
      </x:c>
    </x:row>
    <x:row r="60">
      <x:c r="A60" s="63" t="str">
        <x:v>E05</x:v>
      </x:c>
      <x:c r="B60" s="63" t="str">
        <x:v>Gold Fields</x:v>
      </x:c>
      <x:c r="C60" s="63" t="str">
        <x:v>mining</x:v>
      </x:c>
      <x:c r="D60" s="63" t="str">
        <x:v>twin:E05:2026-06-30:3.1.0</x:v>
      </x:c>
      <x:c r="E60" s="63" t="str">
        <x:v>CURRENCY_AND_COMMODITY_EXPOSURE</x:v>
      </x:c>
      <x:c r="F60" s="63" t="str">
        <x:v>Currency and commodity exposure</x:v>
      </x:c>
      <x:c r="G60" s="63" t="str">
        <x:v>INFERRED</x:v>
      </x:c>
      <x:c r="H60" s="63" t="str">
        <x:v>OBSERVED</x:v>
      </x:c>
      <x:c r="I60" s="63" t="str">
        <x:v>E0</x:v>
      </x:c>
      <x:c r="J60" s="80" t="n">
        <x:v>0.85</x:v>
      </x:c>
      <x:c r="K60" s="63" t="n">
        <x:v>0</x:v>
      </x:c>
      <x:c r="L60" s="63" t="str">
        <x:v>bec:E05:obs:currency-pair:0, bec:E05:obs:currency-pair:1, bec:E05:obs:currency-pair:2, bec:E05:obs:currency:0, bec:E05:obs:currency:1, bec:E05:obs:currency:2, bec:E05:obs:flow:cross-border-fx, bec:E05:obs:trend:cross-border-fx</x:v>
      </x:c>
      <x:c r="M60" s="63" t="str">
        <x:v>commodity hedge programme detail; hedge ratio; signed currency inflow/outflow split</x:v>
      </x:c>
      <x:c r="N60" s="63" t="str">
        <x:v>{"problems":["FX_EXPOSURE","COMMODITY_EXPOSURE"],"solutions":["CROSS_BORDER_FX","COMMODITY_RISK_MANAGEMENT"],"timing":["hedge roll dates"]}</x:v>
      </x:c>
    </x:row>
    <x:row r="61">
      <x:c r="A61" s="63" t="str">
        <x:v>E05</x:v>
      </x:c>
      <x:c r="B61" s="63" t="str">
        <x:v>Gold Fields</x:v>
      </x:c>
      <x:c r="C61" s="63" t="str">
        <x:v>mining</x:v>
      </x:c>
      <x:c r="D61" s="63" t="str">
        <x:v>twin:E05:2026-06-30:3.1.0</x:v>
      </x:c>
      <x:c r="E61" s="63" t="str">
        <x:v>PROJECTS_SUBSIDIARIES_SPVS</x:v>
      </x:c>
      <x:c r="F61" s="63" t="str">
        <x:v>Projects, subsidiaries and SPVs</x:v>
      </x:c>
      <x:c r="G61" s="63" t="str">
        <x:v>UNKNOWN</x:v>
      </x:c>
      <x:c r="H61" s="63" t="str">
        <x:v>SCENARIO</x:v>
      </x:c>
      <x:c r="I61" s="63" t="str">
        <x:v>E0</x:v>
      </x:c>
      <x:c r="J61" s="80" t="n">
        <x:v>0.7</x:v>
      </x:c>
      <x:c r="K61" s="63"/>
      <x:c r="L61" s="63" t="str"/>
      <x:c r="M61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61" s="63" t="str">
        <x:v>{"problems":["PROJECT_MOBILISATION","GUARANTEE_OR_COLLATERAL_REQUIREMENT"],"solutions":["PROJECT_FINANCE","GUARANTEES_AND_LC","ESCROW_AND_AGENCY"],"timing":["project financial close"]}</x:v>
      </x:c>
    </x:row>
    <x:row r="62">
      <x:c r="A62" s="63" t="str">
        <x:v>E05</x:v>
      </x:c>
      <x:c r="B62" s="63" t="str">
        <x:v>Gold Fields</x:v>
      </x:c>
      <x:c r="C62" s="63" t="str">
        <x:v>mining</x:v>
      </x:c>
      <x:c r="D62" s="63" t="str">
        <x:v>twin:E05:2026-06-30:3.1.0</x:v>
      </x:c>
      <x:c r="E62" s="63" t="str">
        <x:v>STAKEHOLDER_RESPONSIBILITY</x:v>
      </x:c>
      <x:c r="F62" s="63" t="str">
        <x:v>Stakeholder responsibility model</x:v>
      </x:c>
      <x:c r="G62" s="63" t="str">
        <x:v>SUPPORTED</x:v>
      </x:c>
      <x:c r="H62" s="63" t="str">
        <x:v>IDENTIFIED_BOUND</x:v>
      </x:c>
      <x:c r="I62" s="63" t="str">
        <x:v>E0</x:v>
      </x:c>
      <x:c r="J62" s="80" t="n">
        <x:v>0.6</x:v>
      </x:c>
      <x:c r="K62" s="63" t="n">
        <x:v>0</x:v>
      </x:c>
      <x:c r="L62" s="63" t="str">
        <x:v>bec:E05:struct:responsibility-model, bec:E05:struct:responsibility:fx_exposure, bec:E05:struct:responsibility:refinancing_cliff, bec:E05:struct:responsibility:working_capital_pressure</x:v>
      </x:c>
      <x:c r="M62" s="63" t="str">
        <x:v>client-confirmed decision authority and mandate limits</x:v>
      </x:c>
      <x:c r="N62" s="63" t="str">
        <x:v>{"problems":[],"solutions":[],"timing":["decision-authority availability"]}</x:v>
      </x:c>
    </x:row>
    <x:row r="63">
      <x:c r="A63" s="63" t="str">
        <x:v>E05</x:v>
      </x:c>
      <x:c r="B63" s="63" t="str">
        <x:v>Gold Fields</x:v>
      </x:c>
      <x:c r="C63" s="63" t="str">
        <x:v>mining</x:v>
      </x:c>
      <x:c r="D63" s="63" t="str">
        <x:v>twin:E05:2026-06-30:3.1.0</x:v>
      </x:c>
      <x:c r="E63" s="63" t="str">
        <x:v>BUSINESS_AND_FINANCIAL_RISKS</x:v>
      </x:c>
      <x:c r="F63" s="63" t="str">
        <x:v>Business and financial risks</x:v>
      </x:c>
      <x:c r="G63" s="63" t="str">
        <x:v>SUPPORTED</x:v>
      </x:c>
      <x:c r="H63" s="63" t="str">
        <x:v>IDENTIFIED_BOUND</x:v>
      </x:c>
      <x:c r="I63" s="63" t="str">
        <x:v>E0</x:v>
      </x:c>
      <x:c r="J63" s="80" t="n">
        <x:v>0.65</x:v>
      </x:c>
      <x:c r="K63" s="63" t="n">
        <x:v>0</x:v>
      </x:c>
      <x:c r="L63" s="63" t="str">
        <x:v>bec:E05:struct:risk:0, bec:E05:struct:risk:1, bec:E05:struct:risk:2</x:v>
      </x:c>
      <x:c r="M63" s="63" t="str">
        <x:v>client risk-report extraction</x:v>
      </x:c>
      <x:c r="N63" s="63" t="str">
        <x:v>{"problems":["OPERATIONAL_RESILIENCE","COMMODITY_EXPOSURE"],"solutions":["COMMODITY_RISK_MANAGEMENT","GUARANTEES_AND_LC"],"timing":["risk-review cycle"]}</x:v>
      </x:c>
    </x:row>
    <x:row r="64">
      <x:c r="A64" s="63" t="str">
        <x:v>E05</x:v>
      </x:c>
      <x:c r="B64" s="63" t="str">
        <x:v>Gold Fields</x:v>
      </x:c>
      <x:c r="C64" s="63" t="str">
        <x:v>mining</x:v>
      </x:c>
      <x:c r="D64" s="63" t="str">
        <x:v>twin:E05:2026-06-30:3.1.0</x:v>
      </x:c>
      <x:c r="E64" s="63" t="str">
        <x:v>STRATEGY_ACTIONS_AND_ESG</x:v>
      </x:c>
      <x:c r="F64" s="63" t="str">
        <x:v>Strategy, corporate actions and ESG activity</x:v>
      </x:c>
      <x:c r="G64" s="63" t="str">
        <x:v>SUPPORTED</x:v>
      </x:c>
      <x:c r="H64" s="63" t="str">
        <x:v>OBSERVED</x:v>
      </x:c>
      <x:c r="I64" s="63" t="str">
        <x:v>E0</x:v>
      </x:c>
      <x:c r="J64" s="80" t="n">
        <x:v>0.55</x:v>
      </x:c>
      <x:c r="K64" s="63" t="n">
        <x:v>0</x:v>
      </x:c>
      <x:c r="L64" s="63" t="str">
        <x:v>bec:E05:obs:latent:event_intensity</x:v>
      </x:c>
      <x:c r="M64" s="63" t="str">
        <x:v>announced corporate actions; evidence-based ESG activity and transition targets</x:v>
      </x:c>
      <x:c r="N64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65">
      <x:c r="A65" s="63" t="str">
        <x:v>E06</x:v>
      </x:c>
      <x:c r="B65" s="63" t="str">
        <x:v>Valterra Platinum</x:v>
      </x:c>
      <x:c r="C65" s="63" t="str">
        <x:v>mining</x:v>
      </x:c>
      <x:c r="D65" s="63" t="str">
        <x:v>twin:E06:2026-06-30:3.1.0</x:v>
      </x:c>
      <x:c r="E65" s="63" t="str">
        <x:v>REVENUE_ENGINE</x:v>
      </x:c>
      <x:c r="F65" s="63" t="str">
        <x:v>Revenue engine</x:v>
      </x:c>
      <x:c r="G65" s="63" t="str">
        <x:v>SUPPORTED</x:v>
      </x:c>
      <x:c r="H65" s="63" t="str">
        <x:v>OBSERVED</x:v>
      </x:c>
      <x:c r="I65" s="63" t="str">
        <x:v>E0</x:v>
      </x:c>
      <x:c r="J65" s="80" t="n">
        <x:v>0.95</x:v>
      </x:c>
      <x:c r="K65" s="63" t="n">
        <x:v>0</x:v>
      </x:c>
      <x:c r="L65" s="63" t="str">
        <x:v>bec:E06:obs:flow:collections, bec:E06:obs:trend:collections, bec:VALTERRA-2025-REV</x:v>
      </x:c>
      <x:c r="M65" s="63" t="str"/>
      <x:c r="N65" s="63" t="str">
        <x:v>{"problems":["COLLECTIONS_INEFFICIENCY","WORKING_CAPITAL_PRESSURE"],"solutions":["COLLECTIONS","SUPPLY_CHAIN_FINANCE"],"timing":["collection seasonality"]}</x:v>
      </x:c>
    </x:row>
    <x:row r="66">
      <x:c r="A66" s="63" t="str">
        <x:v>E06</x:v>
      </x:c>
      <x:c r="B66" s="63" t="str">
        <x:v>Valterra Platinum</x:v>
      </x:c>
      <x:c r="C66" s="63" t="str">
        <x:v>mining</x:v>
      </x:c>
      <x:c r="D66" s="63" t="str">
        <x:v>twin:E06:2026-06-30:3.1.0</x:v>
      </x:c>
      <x:c r="E66" s="63" t="str">
        <x:v>COST_ENGINE</x:v>
      </x:c>
      <x:c r="F66" s="63" t="str">
        <x:v>Cost engine</x:v>
      </x:c>
      <x:c r="G66" s="63" t="str">
        <x:v>SUPPORTED</x:v>
      </x:c>
      <x:c r="H66" s="63" t="str">
        <x:v>OBSERVED</x:v>
      </x:c>
      <x:c r="I66" s="63" t="str">
        <x:v>E0</x:v>
      </x:c>
      <x:c r="J66" s="80" t="n">
        <x:v>0.9</x:v>
      </x:c>
      <x:c r="K66" s="63" t="n">
        <x:v>0</x:v>
      </x:c>
      <x:c r="L66" s="63" t="str">
        <x:v>bec:E06:obs:flow:payments, bec:E06:obs:trend:payments</x:v>
      </x:c>
      <x:c r="M66" s="63" t="str">
        <x:v>No approved E1 evidence supports this domain. No audited cost base is available for this client.</x:v>
      </x:c>
      <x:c r="N66" s="63" t="str">
        <x:v>{"problems":["PAYMENTS_INEFFICIENCY","SUPPLY_CHAIN_RISK"],"solutions":["PAYMENTS","SUPPLY_CHAIN_FINANCE","TRADE_FINANCE"],"timing":["supplier payment runs"]}</x:v>
      </x:c>
    </x:row>
    <x:row r="67">
      <x:c r="A67" s="63" t="str">
        <x:v>E06</x:v>
      </x:c>
      <x:c r="B67" s="63" t="str">
        <x:v>Valterra Platinum</x:v>
      </x:c>
      <x:c r="C67" s="63" t="str">
        <x:v>mining</x:v>
      </x:c>
      <x:c r="D67" s="63" t="str">
        <x:v>twin:E06:2026-06-30:3.1.0</x:v>
      </x:c>
      <x:c r="E67" s="63" t="str">
        <x:v>WORKING_CAPITAL_CYCLE</x:v>
      </x:c>
      <x:c r="F67" s="63" t="str">
        <x:v>Working-capital cycle</x:v>
      </x:c>
      <x:c r="G67" s="63" t="str">
        <x:v>INFERRED</x:v>
      </x:c>
      <x:c r="H67" s="63" t="str">
        <x:v>OBSERVED</x:v>
      </x:c>
      <x:c r="I67" s="63" t="str">
        <x:v>E0</x:v>
      </x:c>
      <x:c r="J67" s="80" t="n">
        <x:v>0.95</x:v>
      </x:c>
      <x:c r="K67" s="63" t="n">
        <x:v>0</x:v>
      </x:c>
      <x:c r="L67" s="63" t="str">
        <x:v>bec:E06:obs:events:trade-90d, bec:E06:obs:events:trade-90d-value, bec:E06:obs:flow:collections, bec:E06:obs:flow:payments, bec:E06:obs:flow:trade-finance, bec:E06:obs:latent:working_capital_intensity, bec:E06:obs:trend:collections, bec:E06:obs:trend:payments, bec:E06:obs:trend:trade-finance</x:v>
      </x:c>
      <x:c r="M67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67" s="63" t="str">
        <x:v>{"problems":["WORKING_CAPITAL_PRESSURE","SUPPLY_CHAIN_RISK"],"solutions":["WORKING_CAPITAL_REVOLVING","SUPPLY_CHAIN_FINANCE","TRADE_FINANCE"],"timing":["cash-conversion pressure points"]}</x:v>
      </x:c>
    </x:row>
    <x:row r="68">
      <x:c r="A68" s="63" t="str">
        <x:v>E06</x:v>
      </x:c>
      <x:c r="B68" s="63" t="str">
        <x:v>Valterra Platinum</x:v>
      </x:c>
      <x:c r="C68" s="63" t="str">
        <x:v>mining</x:v>
      </x:c>
      <x:c r="D68" s="63" t="str">
        <x:v>twin:E06:2026-06-30:3.1.0</x:v>
      </x:c>
      <x:c r="E68" s="63" t="str">
        <x:v>FUNDING_STRUCTURE</x:v>
      </x:c>
      <x:c r="F68" s="63" t="str">
        <x:v>Funding structure</x:v>
      </x:c>
      <x:c r="G68" s="63" t="str">
        <x:v>INFERRED</x:v>
      </x:c>
      <x:c r="H68" s="63" t="str">
        <x:v>OBSERVED</x:v>
      </x:c>
      <x:c r="I68" s="63" t="str">
        <x:v>E0</x:v>
      </x:c>
      <x:c r="J68" s="80" t="n">
        <x:v>0.95</x:v>
      </x:c>
      <x:c r="K68" s="63" t="n">
        <x:v>0</x:v>
      </x:c>
      <x:c r="L68" s="63" t="str">
        <x:v>bec:E06:obs:latent:financing_need, bec:VALTERRA-2025-DEBT</x:v>
      </x:c>
      <x:c r="M68" s="63" t="str">
        <x:v>No approved E1 evidence supports this domain. No audited debt or facility disclosure is available for this client.; full debt maturity ladder by instrument and tenor</x:v>
      </x:c>
      <x:c r="N68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69">
      <x:c r="A69" s="63" t="str">
        <x:v>E06</x:v>
      </x:c>
      <x:c r="B69" s="63" t="str">
        <x:v>Valterra Platinum</x:v>
      </x:c>
      <x:c r="C69" s="63" t="str">
        <x:v>mining</x:v>
      </x:c>
      <x:c r="D69" s="63" t="str">
        <x:v>twin:E06:2026-06-30:3.1.0</x:v>
      </x:c>
      <x:c r="E69" s="63" t="str">
        <x:v>LIQUIDITY_AND_BUFFER</x:v>
      </x:c>
      <x:c r="F69" s="63" t="str">
        <x:v>Liquidity and cash buffer</x:v>
      </x:c>
      <x:c r="G69" s="63" t="str">
        <x:v>INFERRED</x:v>
      </x:c>
      <x:c r="H69" s="63" t="str">
        <x:v>OBSERVED</x:v>
      </x:c>
      <x:c r="I69" s="63" t="str">
        <x:v>E0</x:v>
      </x:c>
      <x:c r="J69" s="80" t="n">
        <x:v>0.9</x:v>
      </x:c>
      <x:c r="K69" s="63" t="n">
        <x:v>0</x:v>
      </x:c>
      <x:c r="L69" s="63" t="str">
        <x:v>bec:E06:obs:flow:liquidity, bec:E06:obs:latent:liquidity_volatility, bec:E06:obs:trend:liquidity, bec:VALTERRA-2025-CASH</x:v>
      </x:c>
      <x:c r="M69" s="63" t="str">
        <x:v>undrawn committed facility headroom</x:v>
      </x:c>
      <x:c r="N69" s="63" t="str">
        <x:v>{"problems":["LIQUIDITY_FRAGMENTATION","REFINANCING_CLIFF"],"solutions":["LIQUIDITY_CASH_MANAGEMENT","WORKING_CAPITAL_REVOLVING"],"timing":["buffer depletion"]}</x:v>
      </x:c>
    </x:row>
    <x:row r="70">
      <x:c r="A70" s="63" t="str">
        <x:v>E06</x:v>
      </x:c>
      <x:c r="B70" s="63" t="str">
        <x:v>Valterra Platinum</x:v>
      </x:c>
      <x:c r="C70" s="63" t="str">
        <x:v>mining</x:v>
      </x:c>
      <x:c r="D70" s="63" t="str">
        <x:v>twin:E06:2026-06-30:3.1.0</x:v>
      </x:c>
      <x:c r="E70" s="63" t="str">
        <x:v>OPERATING_MODEL</x:v>
      </x:c>
      <x:c r="F70" s="63" t="str">
        <x:v>Operating model</x:v>
      </x:c>
      <x:c r="G70" s="63" t="str">
        <x:v>SUPPORTED</x:v>
      </x:c>
      <x:c r="H70" s="63" t="str">
        <x:v>OBSERVED</x:v>
      </x:c>
      <x:c r="I70" s="63" t="str">
        <x:v>E0</x:v>
      </x:c>
      <x:c r="J70" s="80" t="n">
        <x:v>0.7</x:v>
      </x:c>
      <x:c r="K70" s="63" t="n">
        <x:v>0</x:v>
      </x:c>
      <x:c r="L70" s="63" t="str">
        <x:v>bec:E06:obs:events:trade-90d, bec:E06:obs:flow:trade-finance, bec:E06:obs:latent:operating_scale, bec:E06:obs:latent:relationship_complexity, bec:E06:obs:relationship-breadth, bec:E06:obs:trend:trade-finance, bec:E06:struct:operating-model</x:v>
      </x:c>
      <x:c r="M70" s="63" t="str">
        <x:v>client-specific ERP, shared-service and treasury system detail</x:v>
      </x:c>
      <x:c r="N70" s="63" t="str">
        <x:v>{"problems":["TREASURY_CENTRALISATION","OPERATIONAL_RESILIENCE"],"solutions":["PAYMENTS","LIQUIDITY_CASH_MANAGEMENT","COLLECTIONS"],"timing":["ERP and treasury system change windows"]}</x:v>
      </x:c>
    </x:row>
    <x:row r="71">
      <x:c r="A71" s="63" t="str">
        <x:v>E06</x:v>
      </x:c>
      <x:c r="B71" s="63" t="str">
        <x:v>Valterra Platinum</x:v>
      </x:c>
      <x:c r="C71" s="63" t="str">
        <x:v>mining</x:v>
      </x:c>
      <x:c r="D71" s="63" t="str">
        <x:v>twin:E06:2026-06-30:3.1.0</x:v>
      </x:c>
      <x:c r="E71" s="63" t="str">
        <x:v>GEOGRAPHIC_EXPOSURE</x:v>
      </x:c>
      <x:c r="F71" s="63" t="str">
        <x:v>Geographic exposure</x:v>
      </x:c>
      <x:c r="G71" s="63" t="str">
        <x:v>SUPPORTED</x:v>
      </x:c>
      <x:c r="H71" s="63" t="str">
        <x:v>OBSERVED</x:v>
      </x:c>
      <x:c r="I71" s="63" t="str">
        <x:v>E0</x:v>
      </x:c>
      <x:c r="J71" s="80" t="n">
        <x:v>0.75</x:v>
      </x:c>
      <x:c r="K71" s="63" t="n">
        <x:v>0</x:v>
      </x:c>
      <x:c r="L71" s="63" t="str">
        <x:v>bec:E06:obs:corridor-name:0, bec:E06:obs:corridor-name:1, bec:E06:obs:corridor-name:2, bec:E06:obs:corridor:0, bec:E06:obs:corridor:1, bec:E06:obs:corridor:2, bec:E06:obs:country-count, bec:E06:obs:flow:cross-border-fx, bec:E06:obs:latent:international_exposure, bec:E06:obs:trend:cross-border-fx</x:v>
      </x:c>
      <x:c r="M71" s="63" t="str"/>
      <x:c r="N71" s="63" t="str">
        <x:v>{"problems":["FX_EXPOSURE","SUPPLY_CHAIN_RISK"],"solutions":["CROSS_BORDER_FX","TRADE_FINANCE"],"timing":["corridor seasonality"]}</x:v>
      </x:c>
    </x:row>
    <x:row r="72">
      <x:c r="A72" s="63" t="str">
        <x:v>E06</x:v>
      </x:c>
      <x:c r="B72" s="63" t="str">
        <x:v>Valterra Platinum</x:v>
      </x:c>
      <x:c r="C72" s="63" t="str">
        <x:v>mining</x:v>
      </x:c>
      <x:c r="D72" s="63" t="str">
        <x:v>twin:E06:2026-06-30:3.1.0</x:v>
      </x:c>
      <x:c r="E72" s="63" t="str">
        <x:v>CURRENCY_AND_COMMODITY_EXPOSURE</x:v>
      </x:c>
      <x:c r="F72" s="63" t="str">
        <x:v>Currency and commodity exposure</x:v>
      </x:c>
      <x:c r="G72" s="63" t="str">
        <x:v>INFERRED</x:v>
      </x:c>
      <x:c r="H72" s="63" t="str">
        <x:v>OBSERVED</x:v>
      </x:c>
      <x:c r="I72" s="63" t="str">
        <x:v>E0</x:v>
      </x:c>
      <x:c r="J72" s="80" t="n">
        <x:v>0.85</x:v>
      </x:c>
      <x:c r="K72" s="63" t="n">
        <x:v>0</x:v>
      </x:c>
      <x:c r="L72" s="63" t="str">
        <x:v>bec:E06:obs:currency-pair:0, bec:E06:obs:currency-pair:1, bec:E06:obs:currency-pair:2, bec:E06:obs:currency:0, bec:E06:obs:currency:1, bec:E06:obs:currency:2, bec:E06:obs:flow:cross-border-fx, bec:E06:obs:trend:cross-border-fx</x:v>
      </x:c>
      <x:c r="M72" s="63" t="str">
        <x:v>commodity hedge programme detail; hedge ratio; signed currency inflow/outflow split</x:v>
      </x:c>
      <x:c r="N72" s="63" t="str">
        <x:v>{"problems":["FX_EXPOSURE","COMMODITY_EXPOSURE"],"solutions":["CROSS_BORDER_FX","COMMODITY_RISK_MANAGEMENT"],"timing":["hedge roll dates"]}</x:v>
      </x:c>
    </x:row>
    <x:row r="73">
      <x:c r="A73" s="63" t="str">
        <x:v>E06</x:v>
      </x:c>
      <x:c r="B73" s="63" t="str">
        <x:v>Valterra Platinum</x:v>
      </x:c>
      <x:c r="C73" s="63" t="str">
        <x:v>mining</x:v>
      </x:c>
      <x:c r="D73" s="63" t="str">
        <x:v>twin:E06:2026-06-30:3.1.0</x:v>
      </x:c>
      <x:c r="E73" s="63" t="str">
        <x:v>PROJECTS_SUBSIDIARIES_SPVS</x:v>
      </x:c>
      <x:c r="F73" s="63" t="str">
        <x:v>Projects, subsidiaries and SPVs</x:v>
      </x:c>
      <x:c r="G73" s="63" t="str">
        <x:v>UNKNOWN</x:v>
      </x:c>
      <x:c r="H73" s="63" t="str">
        <x:v>SCENARIO</x:v>
      </x:c>
      <x:c r="I73" s="63" t="str">
        <x:v>E0</x:v>
      </x:c>
      <x:c r="J73" s="80" t="n">
        <x:v>0.7</x:v>
      </x:c>
      <x:c r="K73" s="63"/>
      <x:c r="L73" s="63" t="str"/>
      <x:c r="M73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73" s="63" t="str">
        <x:v>{"problems":["PROJECT_MOBILISATION","GUARANTEE_OR_COLLATERAL_REQUIREMENT"],"solutions":["PROJECT_FINANCE","GUARANTEES_AND_LC","ESCROW_AND_AGENCY"],"timing":["project financial close"]}</x:v>
      </x:c>
    </x:row>
    <x:row r="74">
      <x:c r="A74" s="63" t="str">
        <x:v>E06</x:v>
      </x:c>
      <x:c r="B74" s="63" t="str">
        <x:v>Valterra Platinum</x:v>
      </x:c>
      <x:c r="C74" s="63" t="str">
        <x:v>mining</x:v>
      </x:c>
      <x:c r="D74" s="63" t="str">
        <x:v>twin:E06:2026-06-30:3.1.0</x:v>
      </x:c>
      <x:c r="E74" s="63" t="str">
        <x:v>STAKEHOLDER_RESPONSIBILITY</x:v>
      </x:c>
      <x:c r="F74" s="63" t="str">
        <x:v>Stakeholder responsibility model</x:v>
      </x:c>
      <x:c r="G74" s="63" t="str">
        <x:v>SUPPORTED</x:v>
      </x:c>
      <x:c r="H74" s="63" t="str">
        <x:v>IDENTIFIED_BOUND</x:v>
      </x:c>
      <x:c r="I74" s="63" t="str">
        <x:v>E0</x:v>
      </x:c>
      <x:c r="J74" s="80" t="n">
        <x:v>0.6</x:v>
      </x:c>
      <x:c r="K74" s="63" t="n">
        <x:v>0</x:v>
      </x:c>
      <x:c r="L74" s="63" t="str">
        <x:v>bec:E06:struct:responsibility-model, bec:E06:struct:responsibility:fx_exposure, bec:E06:struct:responsibility:refinancing_cliff, bec:E06:struct:responsibility:working_capital_pressure</x:v>
      </x:c>
      <x:c r="M74" s="63" t="str">
        <x:v>client-confirmed decision authority and mandate limits</x:v>
      </x:c>
      <x:c r="N74" s="63" t="str">
        <x:v>{"problems":[],"solutions":[],"timing":["decision-authority availability"]}</x:v>
      </x:c>
    </x:row>
    <x:row r="75">
      <x:c r="A75" s="63" t="str">
        <x:v>E06</x:v>
      </x:c>
      <x:c r="B75" s="63" t="str">
        <x:v>Valterra Platinum</x:v>
      </x:c>
      <x:c r="C75" s="63" t="str">
        <x:v>mining</x:v>
      </x:c>
      <x:c r="D75" s="63" t="str">
        <x:v>twin:E06:2026-06-30:3.1.0</x:v>
      </x:c>
      <x:c r="E75" s="63" t="str">
        <x:v>BUSINESS_AND_FINANCIAL_RISKS</x:v>
      </x:c>
      <x:c r="F75" s="63" t="str">
        <x:v>Business and financial risks</x:v>
      </x:c>
      <x:c r="G75" s="63" t="str">
        <x:v>SUPPORTED</x:v>
      </x:c>
      <x:c r="H75" s="63" t="str">
        <x:v>IDENTIFIED_BOUND</x:v>
      </x:c>
      <x:c r="I75" s="63" t="str">
        <x:v>E0</x:v>
      </x:c>
      <x:c r="J75" s="80" t="n">
        <x:v>0.65</x:v>
      </x:c>
      <x:c r="K75" s="63" t="n">
        <x:v>0</x:v>
      </x:c>
      <x:c r="L75" s="63" t="str">
        <x:v>bec:E06:struct:risk:0, bec:E06:struct:risk:1, bec:E06:struct:risk:2</x:v>
      </x:c>
      <x:c r="M75" s="63" t="str">
        <x:v>client risk-report extraction</x:v>
      </x:c>
      <x:c r="N75" s="63" t="str">
        <x:v>{"problems":["OPERATIONAL_RESILIENCE","COMMODITY_EXPOSURE"],"solutions":["COMMODITY_RISK_MANAGEMENT","GUARANTEES_AND_LC"],"timing":["risk-review cycle"]}</x:v>
      </x:c>
    </x:row>
    <x:row r="76">
      <x:c r="A76" s="63" t="str">
        <x:v>E06</x:v>
      </x:c>
      <x:c r="B76" s="63" t="str">
        <x:v>Valterra Platinum</x:v>
      </x:c>
      <x:c r="C76" s="63" t="str">
        <x:v>mining</x:v>
      </x:c>
      <x:c r="D76" s="63" t="str">
        <x:v>twin:E06:2026-06-30:3.1.0</x:v>
      </x:c>
      <x:c r="E76" s="63" t="str">
        <x:v>STRATEGY_ACTIONS_AND_ESG</x:v>
      </x:c>
      <x:c r="F76" s="63" t="str">
        <x:v>Strategy, corporate actions and ESG activity</x:v>
      </x:c>
      <x:c r="G76" s="63" t="str">
        <x:v>SUPPORTED</x:v>
      </x:c>
      <x:c r="H76" s="63" t="str">
        <x:v>OBSERVED</x:v>
      </x:c>
      <x:c r="I76" s="63" t="str">
        <x:v>E0</x:v>
      </x:c>
      <x:c r="J76" s="80" t="n">
        <x:v>0.55</x:v>
      </x:c>
      <x:c r="K76" s="63" t="n">
        <x:v>0</x:v>
      </x:c>
      <x:c r="L76" s="63" t="str">
        <x:v>bec:E06:obs:latent:event_intensity</x:v>
      </x:c>
      <x:c r="M76" s="63" t="str">
        <x:v>announced corporate actions; evidence-based ESG activity and transition targets</x:v>
      </x:c>
      <x:c r="N76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77">
      <x:c r="A77" s="63" t="str">
        <x:v>E07</x:v>
      </x:c>
      <x:c r="B77" s="63" t="str">
        <x:v>OUTsurance Group</x:v>
      </x:c>
      <x:c r="C77" s="63" t="str">
        <x:v>insurance</x:v>
      </x:c>
      <x:c r="D77" s="63" t="str">
        <x:v>twin:E07:2026-06-30:3.1.0</x:v>
      </x:c>
      <x:c r="E77" s="63" t="str">
        <x:v>REVENUE_ENGINE</x:v>
      </x:c>
      <x:c r="F77" s="63" t="str">
        <x:v>Revenue engine</x:v>
      </x:c>
      <x:c r="G77" s="63" t="str">
        <x:v>SUPPORTED</x:v>
      </x:c>
      <x:c r="H77" s="63" t="str">
        <x:v>OBSERVED</x:v>
      </x:c>
      <x:c r="I77" s="63" t="str">
        <x:v>E0</x:v>
      </x:c>
      <x:c r="J77" s="80" t="n">
        <x:v>0.95</x:v>
      </x:c>
      <x:c r="K77" s="63" t="n">
        <x:v>0</x:v>
      </x:c>
      <x:c r="L77" s="63" t="str">
        <x:v>bec:E07:obs:flow:collections, bec:E07:obs:trend:collections, bec:OUT-2025-REV</x:v>
      </x:c>
      <x:c r="M77" s="63" t="str"/>
      <x:c r="N77" s="63" t="str">
        <x:v>{"problems":["COLLECTIONS_INEFFICIENCY","WORKING_CAPITAL_PRESSURE"],"solutions":["COLLECTIONS","SUPPLY_CHAIN_FINANCE"],"timing":["collection seasonality"]}</x:v>
      </x:c>
    </x:row>
    <x:row r="78">
      <x:c r="A78" s="63" t="str">
        <x:v>E07</x:v>
      </x:c>
      <x:c r="B78" s="63" t="str">
        <x:v>OUTsurance Group</x:v>
      </x:c>
      <x:c r="C78" s="63" t="str">
        <x:v>insurance</x:v>
      </x:c>
      <x:c r="D78" s="63" t="str">
        <x:v>twin:E07:2026-06-30:3.1.0</x:v>
      </x:c>
      <x:c r="E78" s="63" t="str">
        <x:v>COST_ENGINE</x:v>
      </x:c>
      <x:c r="F78" s="63" t="str">
        <x:v>Cost engine</x:v>
      </x:c>
      <x:c r="G78" s="63" t="str">
        <x:v>SUPPORTED</x:v>
      </x:c>
      <x:c r="H78" s="63" t="str">
        <x:v>OBSERVED</x:v>
      </x:c>
      <x:c r="I78" s="63" t="str">
        <x:v>E0</x:v>
      </x:c>
      <x:c r="J78" s="80" t="n">
        <x:v>0.9</x:v>
      </x:c>
      <x:c r="K78" s="63" t="n">
        <x:v>0</x:v>
      </x:c>
      <x:c r="L78" s="63" t="str">
        <x:v>bec:E07:obs:flow:payments, bec:E07:obs:trend:payments</x:v>
      </x:c>
      <x:c r="M78" s="63" t="str">
        <x:v>No approved E1 evidence supports this domain. No audited cost base is available for this client.</x:v>
      </x:c>
      <x:c r="N78" s="63" t="str">
        <x:v>{"problems":["PAYMENTS_INEFFICIENCY","SUPPLY_CHAIN_RISK"],"solutions":["PAYMENTS","SUPPLY_CHAIN_FINANCE","TRADE_FINANCE"],"timing":["supplier payment runs"]}</x:v>
      </x:c>
    </x:row>
    <x:row r="79">
      <x:c r="A79" s="63" t="str">
        <x:v>E07</x:v>
      </x:c>
      <x:c r="B79" s="63" t="str">
        <x:v>OUTsurance Group</x:v>
      </x:c>
      <x:c r="C79" s="63" t="str">
        <x:v>insurance</x:v>
      </x:c>
      <x:c r="D79" s="63" t="str">
        <x:v>twin:E07:2026-06-30:3.1.0</x:v>
      </x:c>
      <x:c r="E79" s="63" t="str">
        <x:v>WORKING_CAPITAL_CYCLE</x:v>
      </x:c>
      <x:c r="F79" s="63" t="str">
        <x:v>Working-capital cycle</x:v>
      </x:c>
      <x:c r="G79" s="63" t="str">
        <x:v>INFERRED</x:v>
      </x:c>
      <x:c r="H79" s="63" t="str">
        <x:v>OBSERVED</x:v>
      </x:c>
      <x:c r="I79" s="63" t="str">
        <x:v>E0</x:v>
      </x:c>
      <x:c r="J79" s="80" t="n">
        <x:v>0.95</x:v>
      </x:c>
      <x:c r="K79" s="63" t="n">
        <x:v>0</x:v>
      </x:c>
      <x:c r="L79" s="63" t="str">
        <x:v>bec:E07:obs:events:trade-90d, bec:E07:obs:events:trade-90d-value, bec:E07:obs:flow:collections, bec:E07:obs:flow:payments, bec:E07:obs:flow:trade-finance, bec:E07:obs:latent:working_capital_intensity, bec:E07:obs:trend:collections, bec:E07:obs:trend:payments, bec:E07:obs:trend:trade-finance</x:v>
      </x:c>
      <x:c r="M79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79" s="63" t="str">
        <x:v>{"problems":["WORKING_CAPITAL_PRESSURE","SUPPLY_CHAIN_RISK"],"solutions":["WORKING_CAPITAL_REVOLVING","SUPPLY_CHAIN_FINANCE","TRADE_FINANCE"],"timing":["cash-conversion pressure points"]}</x:v>
      </x:c>
    </x:row>
    <x:row r="80">
      <x:c r="A80" s="63" t="str">
        <x:v>E07</x:v>
      </x:c>
      <x:c r="B80" s="63" t="str">
        <x:v>OUTsurance Group</x:v>
      </x:c>
      <x:c r="C80" s="63" t="str">
        <x:v>insurance</x:v>
      </x:c>
      <x:c r="D80" s="63" t="str">
        <x:v>twin:E07:2026-06-30:3.1.0</x:v>
      </x:c>
      <x:c r="E80" s="63" t="str">
        <x:v>FUNDING_STRUCTURE</x:v>
      </x:c>
      <x:c r="F80" s="63" t="str">
        <x:v>Funding structure</x:v>
      </x:c>
      <x:c r="G80" s="63" t="str">
        <x:v>INFERRED</x:v>
      </x:c>
      <x:c r="H80" s="63" t="str">
        <x:v>OBSERVED</x:v>
      </x:c>
      <x:c r="I80" s="63" t="str">
        <x:v>E0</x:v>
      </x:c>
      <x:c r="J80" s="80" t="n">
        <x:v>0.95</x:v>
      </x:c>
      <x:c r="K80" s="63" t="n">
        <x:v>0</x:v>
      </x:c>
      <x:c r="L80" s="63" t="str">
        <x:v>bec:E07:obs:latent:financing_need, bec:OUT-2025-INS-LIAB</x:v>
      </x:c>
      <x:c r="M80" s="63" t="str">
        <x:v>LEVERAGE_PROXY: debt; No approved E1 evidence supports this domain. No audited debt or facility disclosure is available for this client.; REFINANCING_EXPOSURE_12M: debt_maturing_in_horizon; full debt maturity ladder by instrument and tenor</x:v>
      </x:c>
      <x:c r="N80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81">
      <x:c r="A81" s="63" t="str">
        <x:v>E07</x:v>
      </x:c>
      <x:c r="B81" s="63" t="str">
        <x:v>OUTsurance Group</x:v>
      </x:c>
      <x:c r="C81" s="63" t="str">
        <x:v>insurance</x:v>
      </x:c>
      <x:c r="D81" s="63" t="str">
        <x:v>twin:E07:2026-06-30:3.1.0</x:v>
      </x:c>
      <x:c r="E81" s="63" t="str">
        <x:v>LIQUIDITY_AND_BUFFER</x:v>
      </x:c>
      <x:c r="F81" s="63" t="str">
        <x:v>Liquidity and cash buffer</x:v>
      </x:c>
      <x:c r="G81" s="63" t="str">
        <x:v>INFERRED</x:v>
      </x:c>
      <x:c r="H81" s="63" t="str">
        <x:v>OBSERVED</x:v>
      </x:c>
      <x:c r="I81" s="63" t="str">
        <x:v>E0</x:v>
      </x:c>
      <x:c r="J81" s="80" t="n">
        <x:v>0.9</x:v>
      </x:c>
      <x:c r="K81" s="63" t="n">
        <x:v>0</x:v>
      </x:c>
      <x:c r="L81" s="63" t="str">
        <x:v>bec:E07:obs:flow:liquidity, bec:E07:obs:latent:liquidity_volatility, bec:E07:obs:trend:liquidity, bec:OUT-2025-CASH</x:v>
      </x:c>
      <x:c r="M81" s="63" t="str">
        <x:v>undrawn committed facility headroom</x:v>
      </x:c>
      <x:c r="N81" s="63" t="str">
        <x:v>{"problems":["LIQUIDITY_FRAGMENTATION","REFINANCING_CLIFF"],"solutions":["LIQUIDITY_CASH_MANAGEMENT","WORKING_CAPITAL_REVOLVING"],"timing":["buffer depletion"]}</x:v>
      </x:c>
    </x:row>
    <x:row r="82">
      <x:c r="A82" s="63" t="str">
        <x:v>E07</x:v>
      </x:c>
      <x:c r="B82" s="63" t="str">
        <x:v>OUTsurance Group</x:v>
      </x:c>
      <x:c r="C82" s="63" t="str">
        <x:v>insurance</x:v>
      </x:c>
      <x:c r="D82" s="63" t="str">
        <x:v>twin:E07:2026-06-30:3.1.0</x:v>
      </x:c>
      <x:c r="E82" s="63" t="str">
        <x:v>OPERATING_MODEL</x:v>
      </x:c>
      <x:c r="F82" s="63" t="str">
        <x:v>Operating model</x:v>
      </x:c>
      <x:c r="G82" s="63" t="str">
        <x:v>SUPPORTED</x:v>
      </x:c>
      <x:c r="H82" s="63" t="str">
        <x:v>OBSERVED</x:v>
      </x:c>
      <x:c r="I82" s="63" t="str">
        <x:v>E0</x:v>
      </x:c>
      <x:c r="J82" s="80" t="n">
        <x:v>0.7</x:v>
      </x:c>
      <x:c r="K82" s="63" t="n">
        <x:v>0</x:v>
      </x:c>
      <x:c r="L82" s="63" t="str">
        <x:v>bec:E07:obs:events:trade-90d, bec:E07:obs:flow:trade-finance, bec:E07:obs:latent:operating_scale, bec:E07:obs:latent:relationship_complexity, bec:E07:obs:relationship-breadth, bec:E07:obs:trend:trade-finance, bec:E07:struct:operating-model</x:v>
      </x:c>
      <x:c r="M82" s="63" t="str">
        <x:v>client-specific ERP, shared-service and treasury system detail</x:v>
      </x:c>
      <x:c r="N82" s="63" t="str">
        <x:v>{"problems":["TREASURY_CENTRALISATION","OPERATIONAL_RESILIENCE"],"solutions":["PAYMENTS","LIQUIDITY_CASH_MANAGEMENT","COLLECTIONS"],"timing":["ERP and treasury system change windows"]}</x:v>
      </x:c>
    </x:row>
    <x:row r="83">
      <x:c r="A83" s="63" t="str">
        <x:v>E07</x:v>
      </x:c>
      <x:c r="B83" s="63" t="str">
        <x:v>OUTsurance Group</x:v>
      </x:c>
      <x:c r="C83" s="63" t="str">
        <x:v>insurance</x:v>
      </x:c>
      <x:c r="D83" s="63" t="str">
        <x:v>twin:E07:2026-06-30:3.1.0</x:v>
      </x:c>
      <x:c r="E83" s="63" t="str">
        <x:v>GEOGRAPHIC_EXPOSURE</x:v>
      </x:c>
      <x:c r="F83" s="63" t="str">
        <x:v>Geographic exposure</x:v>
      </x:c>
      <x:c r="G83" s="63" t="str">
        <x:v>SUPPORTED</x:v>
      </x:c>
      <x:c r="H83" s="63" t="str">
        <x:v>OBSERVED</x:v>
      </x:c>
      <x:c r="I83" s="63" t="str">
        <x:v>E0</x:v>
      </x:c>
      <x:c r="J83" s="80" t="n">
        <x:v>0.75</x:v>
      </x:c>
      <x:c r="K83" s="63" t="n">
        <x:v>0</x:v>
      </x:c>
      <x:c r="L83" s="63" t="str">
        <x:v>bec:E07:obs:corridor-name:0, bec:E07:obs:corridor-name:1, bec:E07:obs:corridor-name:2, bec:E07:obs:corridor:0, bec:E07:obs:corridor:1, bec:E07:obs:corridor:2, bec:E07:obs:country-count, bec:E07:obs:flow:cross-border-fx, bec:E07:obs:latent:international_exposure, bec:E07:obs:trend:cross-border-fx</x:v>
      </x:c>
      <x:c r="M83" s="63" t="str"/>
      <x:c r="N83" s="63" t="str">
        <x:v>{"problems":["FX_EXPOSURE","SUPPLY_CHAIN_RISK"],"solutions":["CROSS_BORDER_FX","TRADE_FINANCE"],"timing":["corridor seasonality"]}</x:v>
      </x:c>
    </x:row>
    <x:row r="84">
      <x:c r="A84" s="63" t="str">
        <x:v>E07</x:v>
      </x:c>
      <x:c r="B84" s="63" t="str">
        <x:v>OUTsurance Group</x:v>
      </x:c>
      <x:c r="C84" s="63" t="str">
        <x:v>insurance</x:v>
      </x:c>
      <x:c r="D84" s="63" t="str">
        <x:v>twin:E07:2026-06-30:3.1.0</x:v>
      </x:c>
      <x:c r="E84" s="63" t="str">
        <x:v>CURRENCY_AND_COMMODITY_EXPOSURE</x:v>
      </x:c>
      <x:c r="F84" s="63" t="str">
        <x:v>Currency and commodity exposure</x:v>
      </x:c>
      <x:c r="G84" s="63" t="str">
        <x:v>INFERRED</x:v>
      </x:c>
      <x:c r="H84" s="63" t="str">
        <x:v>OBSERVED</x:v>
      </x:c>
      <x:c r="I84" s="63" t="str">
        <x:v>E0</x:v>
      </x:c>
      <x:c r="J84" s="80" t="n">
        <x:v>0.85</x:v>
      </x:c>
      <x:c r="K84" s="63" t="n">
        <x:v>0</x:v>
      </x:c>
      <x:c r="L84" s="63" t="str">
        <x:v>bec:E07:obs:currency-pair:0, bec:E07:obs:currency-pair:1, bec:E07:obs:currency-pair:2, bec:E07:obs:currency:0, bec:E07:obs:currency:1, bec:E07:obs:currency:2, bec:E07:obs:flow:cross-border-fx, bec:E07:obs:trend:cross-border-fx</x:v>
      </x:c>
      <x:c r="M84" s="63" t="str">
        <x:v>hedge ratio; signed currency inflow/outflow split</x:v>
      </x:c>
      <x:c r="N84" s="63" t="str">
        <x:v>{"problems":["FX_EXPOSURE","COMMODITY_EXPOSURE"],"solutions":["CROSS_BORDER_FX","COMMODITY_RISK_MANAGEMENT"],"timing":["hedge roll dates"]}</x:v>
      </x:c>
    </x:row>
    <x:row r="85">
      <x:c r="A85" s="63" t="str">
        <x:v>E07</x:v>
      </x:c>
      <x:c r="B85" s="63" t="str">
        <x:v>OUTsurance Group</x:v>
      </x:c>
      <x:c r="C85" s="63" t="str">
        <x:v>insurance</x:v>
      </x:c>
      <x:c r="D85" s="63" t="str">
        <x:v>twin:E07:2026-06-30:3.1.0</x:v>
      </x:c>
      <x:c r="E85" s="63" t="str">
        <x:v>PROJECTS_SUBSIDIARIES_SPVS</x:v>
      </x:c>
      <x:c r="F85" s="63" t="str">
        <x:v>Projects, subsidiaries and SPVs</x:v>
      </x:c>
      <x:c r="G85" s="63" t="str">
        <x:v>UNKNOWN</x:v>
      </x:c>
      <x:c r="H85" s="63" t="str">
        <x:v>SCENARIO</x:v>
      </x:c>
      <x:c r="I85" s="63" t="str">
        <x:v>E0</x:v>
      </x:c>
      <x:c r="J85" s="80" t="n">
        <x:v>0.7</x:v>
      </x:c>
      <x:c r="K85" s="63"/>
      <x:c r="L85" s="63" t="str"/>
      <x:c r="M85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85" s="63" t="str">
        <x:v>{"problems":["PROJECT_MOBILISATION","GUARANTEE_OR_COLLATERAL_REQUIREMENT"],"solutions":["PROJECT_FINANCE","GUARANTEES_AND_LC","ESCROW_AND_AGENCY"],"timing":["project financial close"]}</x:v>
      </x:c>
    </x:row>
    <x:row r="86">
      <x:c r="A86" s="63" t="str">
        <x:v>E07</x:v>
      </x:c>
      <x:c r="B86" s="63" t="str">
        <x:v>OUTsurance Group</x:v>
      </x:c>
      <x:c r="C86" s="63" t="str">
        <x:v>insurance</x:v>
      </x:c>
      <x:c r="D86" s="63" t="str">
        <x:v>twin:E07:2026-06-30:3.1.0</x:v>
      </x:c>
      <x:c r="E86" s="63" t="str">
        <x:v>STAKEHOLDER_RESPONSIBILITY</x:v>
      </x:c>
      <x:c r="F86" s="63" t="str">
        <x:v>Stakeholder responsibility model</x:v>
      </x:c>
      <x:c r="G86" s="63" t="str">
        <x:v>SUPPORTED</x:v>
      </x:c>
      <x:c r="H86" s="63" t="str">
        <x:v>IDENTIFIED_BOUND</x:v>
      </x:c>
      <x:c r="I86" s="63" t="str">
        <x:v>E0</x:v>
      </x:c>
      <x:c r="J86" s="80" t="n">
        <x:v>0.6</x:v>
      </x:c>
      <x:c r="K86" s="63" t="n">
        <x:v>0</x:v>
      </x:c>
      <x:c r="L86" s="63" t="str">
        <x:v>bec:E07:struct:responsibility-model, bec:E07:struct:responsibility:fx_exposure, bec:E07:struct:responsibility:refinancing_cliff, bec:E07:struct:responsibility:working_capital_pressure</x:v>
      </x:c>
      <x:c r="M86" s="63" t="str">
        <x:v>client-confirmed decision authority and mandate limits</x:v>
      </x:c>
      <x:c r="N86" s="63" t="str">
        <x:v>{"problems":[],"solutions":[],"timing":["decision-authority availability"]}</x:v>
      </x:c>
    </x:row>
    <x:row r="87">
      <x:c r="A87" s="63" t="str">
        <x:v>E07</x:v>
      </x:c>
      <x:c r="B87" s="63" t="str">
        <x:v>OUTsurance Group</x:v>
      </x:c>
      <x:c r="C87" s="63" t="str">
        <x:v>insurance</x:v>
      </x:c>
      <x:c r="D87" s="63" t="str">
        <x:v>twin:E07:2026-06-30:3.1.0</x:v>
      </x:c>
      <x:c r="E87" s="63" t="str">
        <x:v>BUSINESS_AND_FINANCIAL_RISKS</x:v>
      </x:c>
      <x:c r="F87" s="63" t="str">
        <x:v>Business and financial risks</x:v>
      </x:c>
      <x:c r="G87" s="63" t="str">
        <x:v>SUPPORTED</x:v>
      </x:c>
      <x:c r="H87" s="63" t="str">
        <x:v>IDENTIFIED_BOUND</x:v>
      </x:c>
      <x:c r="I87" s="63" t="str">
        <x:v>E0</x:v>
      </x:c>
      <x:c r="J87" s="80" t="n">
        <x:v>0.65</x:v>
      </x:c>
      <x:c r="K87" s="63" t="n">
        <x:v>0</x:v>
      </x:c>
      <x:c r="L87" s="63" t="str">
        <x:v>bec:E07:struct:risk:0, bec:E07:struct:risk:1, bec:E07:struct:risk:2</x:v>
      </x:c>
      <x:c r="M87" s="63" t="str">
        <x:v>client risk-report extraction</x:v>
      </x:c>
      <x:c r="N87" s="63" t="str">
        <x:v>{"problems":["OPERATIONAL_RESILIENCE","COMMODITY_EXPOSURE"],"solutions":["COMMODITY_RISK_MANAGEMENT","GUARANTEES_AND_LC"],"timing":["risk-review cycle"]}</x:v>
      </x:c>
    </x:row>
    <x:row r="88">
      <x:c r="A88" s="63" t="str">
        <x:v>E07</x:v>
      </x:c>
      <x:c r="B88" s="63" t="str">
        <x:v>OUTsurance Group</x:v>
      </x:c>
      <x:c r="C88" s="63" t="str">
        <x:v>insurance</x:v>
      </x:c>
      <x:c r="D88" s="63" t="str">
        <x:v>twin:E07:2026-06-30:3.1.0</x:v>
      </x:c>
      <x:c r="E88" s="63" t="str">
        <x:v>STRATEGY_ACTIONS_AND_ESG</x:v>
      </x:c>
      <x:c r="F88" s="63" t="str">
        <x:v>Strategy, corporate actions and ESG activity</x:v>
      </x:c>
      <x:c r="G88" s="63" t="str">
        <x:v>SUPPORTED</x:v>
      </x:c>
      <x:c r="H88" s="63" t="str">
        <x:v>OBSERVED</x:v>
      </x:c>
      <x:c r="I88" s="63" t="str">
        <x:v>E0</x:v>
      </x:c>
      <x:c r="J88" s="80" t="n">
        <x:v>0.55</x:v>
      </x:c>
      <x:c r="K88" s="63" t="n">
        <x:v>0</x:v>
      </x:c>
      <x:c r="L88" s="63" t="str">
        <x:v>bec:E07:obs:latent:event_intensity</x:v>
      </x:c>
      <x:c r="M88" s="63" t="str">
        <x:v>announced corporate actions; evidence-based ESG activity and transition targets</x:v>
      </x:c>
      <x:c r="N88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89">
      <x:c r="A89" s="63" t="str">
        <x:v>E08</x:v>
      </x:c>
      <x:c r="B89" s="63" t="str">
        <x:v>Sanlam</x:v>
      </x:c>
      <x:c r="C89" s="63" t="str">
        <x:v>insurance</x:v>
      </x:c>
      <x:c r="D89" s="63" t="str">
        <x:v>twin:E08:2026-06-30:3.1.0</x:v>
      </x:c>
      <x:c r="E89" s="63" t="str">
        <x:v>REVENUE_ENGINE</x:v>
      </x:c>
      <x:c r="F89" s="63" t="str">
        <x:v>Revenue engine</x:v>
      </x:c>
      <x:c r="G89" s="63" t="str">
        <x:v>SUPPORTED</x:v>
      </x:c>
      <x:c r="H89" s="63" t="str">
        <x:v>OBSERVED</x:v>
      </x:c>
      <x:c r="I89" s="63" t="str">
        <x:v>E0</x:v>
      </x:c>
      <x:c r="J89" s="80" t="n">
        <x:v>0.95</x:v>
      </x:c>
      <x:c r="K89" s="63" t="n">
        <x:v>0</x:v>
      </x:c>
      <x:c r="L89" s="63" t="str">
        <x:v>bec:E08:obs:flow:collections, bec:E08:obs:trend:collections, bec:SANLAM-2024-INSREV</x:v>
      </x:c>
      <x:c r="M89" s="63" t="str"/>
      <x:c r="N89" s="63" t="str">
        <x:v>{"problems":["COLLECTIONS_INEFFICIENCY","WORKING_CAPITAL_PRESSURE"],"solutions":["COLLECTIONS","SUPPLY_CHAIN_FINANCE"],"timing":["collection seasonality"]}</x:v>
      </x:c>
    </x:row>
    <x:row r="90">
      <x:c r="A90" s="63" t="str">
        <x:v>E08</x:v>
      </x:c>
      <x:c r="B90" s="63" t="str">
        <x:v>Sanlam</x:v>
      </x:c>
      <x:c r="C90" s="63" t="str">
        <x:v>insurance</x:v>
      </x:c>
      <x:c r="D90" s="63" t="str">
        <x:v>twin:E08:2026-06-30:3.1.0</x:v>
      </x:c>
      <x:c r="E90" s="63" t="str">
        <x:v>COST_ENGINE</x:v>
      </x:c>
      <x:c r="F90" s="63" t="str">
        <x:v>Cost engine</x:v>
      </x:c>
      <x:c r="G90" s="63" t="str">
        <x:v>SUPPORTED</x:v>
      </x:c>
      <x:c r="H90" s="63" t="str">
        <x:v>OBSERVED</x:v>
      </x:c>
      <x:c r="I90" s="63" t="str">
        <x:v>E0</x:v>
      </x:c>
      <x:c r="J90" s="80" t="n">
        <x:v>0.9</x:v>
      </x:c>
      <x:c r="K90" s="63" t="n">
        <x:v>0</x:v>
      </x:c>
      <x:c r="L90" s="63" t="str">
        <x:v>bec:E08:obs:flow:payments, bec:E08:obs:trend:payments</x:v>
      </x:c>
      <x:c r="M90" s="63" t="str">
        <x:v>No approved E1 evidence supports this domain. No audited cost base is available for this client.</x:v>
      </x:c>
      <x:c r="N90" s="63" t="str">
        <x:v>{"problems":["PAYMENTS_INEFFICIENCY","SUPPLY_CHAIN_RISK"],"solutions":["PAYMENTS","SUPPLY_CHAIN_FINANCE","TRADE_FINANCE"],"timing":["supplier payment runs"]}</x:v>
      </x:c>
    </x:row>
    <x:row r="91">
      <x:c r="A91" s="63" t="str">
        <x:v>E08</x:v>
      </x:c>
      <x:c r="B91" s="63" t="str">
        <x:v>Sanlam</x:v>
      </x:c>
      <x:c r="C91" s="63" t="str">
        <x:v>insurance</x:v>
      </x:c>
      <x:c r="D91" s="63" t="str">
        <x:v>twin:E08:2026-06-30:3.1.0</x:v>
      </x:c>
      <x:c r="E91" s="63" t="str">
        <x:v>WORKING_CAPITAL_CYCLE</x:v>
      </x:c>
      <x:c r="F91" s="63" t="str">
        <x:v>Working-capital cycle</x:v>
      </x:c>
      <x:c r="G91" s="63" t="str">
        <x:v>INFERRED</x:v>
      </x:c>
      <x:c r="H91" s="63" t="str">
        <x:v>OBSERVED</x:v>
      </x:c>
      <x:c r="I91" s="63" t="str">
        <x:v>E0</x:v>
      </x:c>
      <x:c r="J91" s="80" t="n">
        <x:v>0.95</x:v>
      </x:c>
      <x:c r="K91" s="63" t="n">
        <x:v>0</x:v>
      </x:c>
      <x:c r="L91" s="63" t="str">
        <x:v>bec:E08:obs:events:trade-90d, bec:E08:obs:events:trade-90d-value, bec:E08:obs:flow:collections, bec:E08:obs:flow:payments, bec:E08:obs:flow:trade-finance, bec:E08:obs:latent:working_capital_intensity, bec:E08:obs:trend:collections, bec:E08:obs:trend:payments, bec:E08:obs:trend:trade-finance</x:v>
      </x:c>
      <x:c r="M91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91" s="63" t="str">
        <x:v>{"problems":["WORKING_CAPITAL_PRESSURE","SUPPLY_CHAIN_RISK"],"solutions":["WORKING_CAPITAL_REVOLVING","SUPPLY_CHAIN_FINANCE","TRADE_FINANCE"],"timing":["cash-conversion pressure points"]}</x:v>
      </x:c>
    </x:row>
    <x:row r="92">
      <x:c r="A92" s="63" t="str">
        <x:v>E08</x:v>
      </x:c>
      <x:c r="B92" s="63" t="str">
        <x:v>Sanlam</x:v>
      </x:c>
      <x:c r="C92" s="63" t="str">
        <x:v>insurance</x:v>
      </x:c>
      <x:c r="D92" s="63" t="str">
        <x:v>twin:E08:2026-06-30:3.1.0</x:v>
      </x:c>
      <x:c r="E92" s="63" t="str">
        <x:v>FUNDING_STRUCTURE</x:v>
      </x:c>
      <x:c r="F92" s="63" t="str">
        <x:v>Funding structure</x:v>
      </x:c>
      <x:c r="G92" s="63" t="str">
        <x:v>INFERRED</x:v>
      </x:c>
      <x:c r="H92" s="63" t="str">
        <x:v>OBSERVED</x:v>
      </x:c>
      <x:c r="I92" s="63" t="str">
        <x:v>E0</x:v>
      </x:c>
      <x:c r="J92" s="80" t="n">
        <x:v>0.95</x:v>
      </x:c>
      <x:c r="K92" s="63" t="n">
        <x:v>0</x:v>
      </x:c>
      <x:c r="L92" s="63" t="str">
        <x:v>bec:E08:obs:latent:financing_need, bec:SANLAM-2024-TERM</x:v>
      </x:c>
      <x:c r="M92" s="63" t="str">
        <x:v>No approved E1 evidence supports this domain. No audited debt or facility disclosure is available for this client.; full debt maturity ladder by instrument and tenor</x:v>
      </x:c>
      <x:c r="N92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93">
      <x:c r="A93" s="63" t="str">
        <x:v>E08</x:v>
      </x:c>
      <x:c r="B93" s="63" t="str">
        <x:v>Sanlam</x:v>
      </x:c>
      <x:c r="C93" s="63" t="str">
        <x:v>insurance</x:v>
      </x:c>
      <x:c r="D93" s="63" t="str">
        <x:v>twin:E08:2026-06-30:3.1.0</x:v>
      </x:c>
      <x:c r="E93" s="63" t="str">
        <x:v>LIQUIDITY_AND_BUFFER</x:v>
      </x:c>
      <x:c r="F93" s="63" t="str">
        <x:v>Liquidity and cash buffer</x:v>
      </x:c>
      <x:c r="G93" s="63" t="str">
        <x:v>INFERRED</x:v>
      </x:c>
      <x:c r="H93" s="63" t="str">
        <x:v>OBSERVED</x:v>
      </x:c>
      <x:c r="I93" s="63" t="str">
        <x:v>E0</x:v>
      </x:c>
      <x:c r="J93" s="80" t="n">
        <x:v>0.9</x:v>
      </x:c>
      <x:c r="K93" s="63" t="n">
        <x:v>0</x:v>
      </x:c>
      <x:c r="L93" s="63" t="str">
        <x:v>bec:E08:obs:flow:liquidity, bec:E08:obs:latent:liquidity_volatility, bec:E08:obs:trend:liquidity, bec:SANLAM-2024-CASH</x:v>
      </x:c>
      <x:c r="M93" s="63" t="str">
        <x:v>undrawn committed facility headroom</x:v>
      </x:c>
      <x:c r="N93" s="63" t="str">
        <x:v>{"problems":["LIQUIDITY_FRAGMENTATION","REFINANCING_CLIFF"],"solutions":["LIQUIDITY_CASH_MANAGEMENT","WORKING_CAPITAL_REVOLVING"],"timing":["buffer depletion"]}</x:v>
      </x:c>
    </x:row>
    <x:row r="94">
      <x:c r="A94" s="63" t="str">
        <x:v>E08</x:v>
      </x:c>
      <x:c r="B94" s="63" t="str">
        <x:v>Sanlam</x:v>
      </x:c>
      <x:c r="C94" s="63" t="str">
        <x:v>insurance</x:v>
      </x:c>
      <x:c r="D94" s="63" t="str">
        <x:v>twin:E08:2026-06-30:3.1.0</x:v>
      </x:c>
      <x:c r="E94" s="63" t="str">
        <x:v>OPERATING_MODEL</x:v>
      </x:c>
      <x:c r="F94" s="63" t="str">
        <x:v>Operating model</x:v>
      </x:c>
      <x:c r="G94" s="63" t="str">
        <x:v>SUPPORTED</x:v>
      </x:c>
      <x:c r="H94" s="63" t="str">
        <x:v>OBSERVED</x:v>
      </x:c>
      <x:c r="I94" s="63" t="str">
        <x:v>E0</x:v>
      </x:c>
      <x:c r="J94" s="80" t="n">
        <x:v>0.7</x:v>
      </x:c>
      <x:c r="K94" s="63" t="n">
        <x:v>0</x:v>
      </x:c>
      <x:c r="L94" s="63" t="str">
        <x:v>bec:E08:obs:events:trade-90d, bec:E08:obs:flow:trade-finance, bec:E08:obs:latent:operating_scale, bec:E08:obs:latent:relationship_complexity, bec:E08:obs:relationship-breadth, bec:E08:obs:trend:trade-finance, bec:E08:struct:operating-model</x:v>
      </x:c>
      <x:c r="M94" s="63" t="str">
        <x:v>client-specific ERP, shared-service and treasury system detail</x:v>
      </x:c>
      <x:c r="N94" s="63" t="str">
        <x:v>{"problems":["TREASURY_CENTRALISATION","OPERATIONAL_RESILIENCE"],"solutions":["PAYMENTS","LIQUIDITY_CASH_MANAGEMENT","COLLECTIONS"],"timing":["ERP and treasury system change windows"]}</x:v>
      </x:c>
    </x:row>
    <x:row r="95">
      <x:c r="A95" s="63" t="str">
        <x:v>E08</x:v>
      </x:c>
      <x:c r="B95" s="63" t="str">
        <x:v>Sanlam</x:v>
      </x:c>
      <x:c r="C95" s="63" t="str">
        <x:v>insurance</x:v>
      </x:c>
      <x:c r="D95" s="63" t="str">
        <x:v>twin:E08:2026-06-30:3.1.0</x:v>
      </x:c>
      <x:c r="E95" s="63" t="str">
        <x:v>GEOGRAPHIC_EXPOSURE</x:v>
      </x:c>
      <x:c r="F95" s="63" t="str">
        <x:v>Geographic exposure</x:v>
      </x:c>
      <x:c r="G95" s="63" t="str">
        <x:v>SUPPORTED</x:v>
      </x:c>
      <x:c r="H95" s="63" t="str">
        <x:v>OBSERVED</x:v>
      </x:c>
      <x:c r="I95" s="63" t="str">
        <x:v>E0</x:v>
      </x:c>
      <x:c r="J95" s="80" t="n">
        <x:v>0.75</x:v>
      </x:c>
      <x:c r="K95" s="63" t="n">
        <x:v>0</x:v>
      </x:c>
      <x:c r="L95" s="63" t="str">
        <x:v>bec:E08:obs:corridor-name:0, bec:E08:obs:corridor-name:1, bec:E08:obs:corridor-name:2, bec:E08:obs:corridor:0, bec:E08:obs:corridor:1, bec:E08:obs:corridor:2, bec:E08:obs:country-count, bec:E08:obs:flow:cross-border-fx, bec:E08:obs:latent:international_exposure, bec:E08:obs:trend:cross-border-fx</x:v>
      </x:c>
      <x:c r="M95" s="63" t="str"/>
      <x:c r="N95" s="63" t="str">
        <x:v>{"problems":["FX_EXPOSURE","SUPPLY_CHAIN_RISK"],"solutions":["CROSS_BORDER_FX","TRADE_FINANCE"],"timing":["corridor seasonality"]}</x:v>
      </x:c>
    </x:row>
    <x:row r="96">
      <x:c r="A96" s="63" t="str">
        <x:v>E08</x:v>
      </x:c>
      <x:c r="B96" s="63" t="str">
        <x:v>Sanlam</x:v>
      </x:c>
      <x:c r="C96" s="63" t="str">
        <x:v>insurance</x:v>
      </x:c>
      <x:c r="D96" s="63" t="str">
        <x:v>twin:E08:2026-06-30:3.1.0</x:v>
      </x:c>
      <x:c r="E96" s="63" t="str">
        <x:v>CURRENCY_AND_COMMODITY_EXPOSURE</x:v>
      </x:c>
      <x:c r="F96" s="63" t="str">
        <x:v>Currency and commodity exposure</x:v>
      </x:c>
      <x:c r="G96" s="63" t="str">
        <x:v>INFERRED</x:v>
      </x:c>
      <x:c r="H96" s="63" t="str">
        <x:v>OBSERVED</x:v>
      </x:c>
      <x:c r="I96" s="63" t="str">
        <x:v>E0</x:v>
      </x:c>
      <x:c r="J96" s="80" t="n">
        <x:v>0.85</x:v>
      </x:c>
      <x:c r="K96" s="63" t="n">
        <x:v>0</x:v>
      </x:c>
      <x:c r="L96" s="63" t="str">
        <x:v>bec:E08:obs:currency-pair:0, bec:E08:obs:currency-pair:1, bec:E08:obs:currency-pair:2, bec:E08:obs:currency:0, bec:E08:obs:currency:1, bec:E08:obs:currency:2, bec:E08:obs:flow:cross-border-fx, bec:E08:obs:trend:cross-border-fx</x:v>
      </x:c>
      <x:c r="M96" s="63" t="str">
        <x:v>hedge ratio; signed currency inflow/outflow split</x:v>
      </x:c>
      <x:c r="N96" s="63" t="str">
        <x:v>{"problems":["FX_EXPOSURE","COMMODITY_EXPOSURE"],"solutions":["CROSS_BORDER_FX","COMMODITY_RISK_MANAGEMENT"],"timing":["hedge roll dates"]}</x:v>
      </x:c>
    </x:row>
    <x:row r="97">
      <x:c r="A97" s="63" t="str">
        <x:v>E08</x:v>
      </x:c>
      <x:c r="B97" s="63" t="str">
        <x:v>Sanlam</x:v>
      </x:c>
      <x:c r="C97" s="63" t="str">
        <x:v>insurance</x:v>
      </x:c>
      <x:c r="D97" s="63" t="str">
        <x:v>twin:E08:2026-06-30:3.1.0</x:v>
      </x:c>
      <x:c r="E97" s="63" t="str">
        <x:v>PROJECTS_SUBSIDIARIES_SPVS</x:v>
      </x:c>
      <x:c r="F97" s="63" t="str">
        <x:v>Projects, subsidiaries and SPVs</x:v>
      </x:c>
      <x:c r="G97" s="63" t="str">
        <x:v>UNKNOWN</x:v>
      </x:c>
      <x:c r="H97" s="63" t="str">
        <x:v>SCENARIO</x:v>
      </x:c>
      <x:c r="I97" s="63" t="str">
        <x:v>E0</x:v>
      </x:c>
      <x:c r="J97" s="80" t="n">
        <x:v>0.7</x:v>
      </x:c>
      <x:c r="K97" s="63"/>
      <x:c r="L97" s="63" t="str"/>
      <x:c r="M97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97" s="63" t="str">
        <x:v>{"problems":["PROJECT_MOBILISATION","GUARANTEE_OR_COLLATERAL_REQUIREMENT"],"solutions":["PROJECT_FINANCE","GUARANTEES_AND_LC","ESCROW_AND_AGENCY"],"timing":["project financial close"]}</x:v>
      </x:c>
    </x:row>
    <x:row r="98">
      <x:c r="A98" s="63" t="str">
        <x:v>E08</x:v>
      </x:c>
      <x:c r="B98" s="63" t="str">
        <x:v>Sanlam</x:v>
      </x:c>
      <x:c r="C98" s="63" t="str">
        <x:v>insurance</x:v>
      </x:c>
      <x:c r="D98" s="63" t="str">
        <x:v>twin:E08:2026-06-30:3.1.0</x:v>
      </x:c>
      <x:c r="E98" s="63" t="str">
        <x:v>STAKEHOLDER_RESPONSIBILITY</x:v>
      </x:c>
      <x:c r="F98" s="63" t="str">
        <x:v>Stakeholder responsibility model</x:v>
      </x:c>
      <x:c r="G98" s="63" t="str">
        <x:v>SUPPORTED</x:v>
      </x:c>
      <x:c r="H98" s="63" t="str">
        <x:v>IDENTIFIED_BOUND</x:v>
      </x:c>
      <x:c r="I98" s="63" t="str">
        <x:v>E0</x:v>
      </x:c>
      <x:c r="J98" s="80" t="n">
        <x:v>0.6</x:v>
      </x:c>
      <x:c r="K98" s="63" t="n">
        <x:v>0</x:v>
      </x:c>
      <x:c r="L98" s="63" t="str">
        <x:v>bec:E08:struct:responsibility-model, bec:E08:struct:responsibility:fx_exposure, bec:E08:struct:responsibility:refinancing_cliff, bec:E08:struct:responsibility:working_capital_pressure</x:v>
      </x:c>
      <x:c r="M98" s="63" t="str">
        <x:v>client-confirmed decision authority and mandate limits</x:v>
      </x:c>
      <x:c r="N98" s="63" t="str">
        <x:v>{"problems":[],"solutions":[],"timing":["decision-authority availability"]}</x:v>
      </x:c>
    </x:row>
    <x:row r="99">
      <x:c r="A99" s="63" t="str">
        <x:v>E08</x:v>
      </x:c>
      <x:c r="B99" s="63" t="str">
        <x:v>Sanlam</x:v>
      </x:c>
      <x:c r="C99" s="63" t="str">
        <x:v>insurance</x:v>
      </x:c>
      <x:c r="D99" s="63" t="str">
        <x:v>twin:E08:2026-06-30:3.1.0</x:v>
      </x:c>
      <x:c r="E99" s="63" t="str">
        <x:v>BUSINESS_AND_FINANCIAL_RISKS</x:v>
      </x:c>
      <x:c r="F99" s="63" t="str">
        <x:v>Business and financial risks</x:v>
      </x:c>
      <x:c r="G99" s="63" t="str">
        <x:v>SUPPORTED</x:v>
      </x:c>
      <x:c r="H99" s="63" t="str">
        <x:v>IDENTIFIED_BOUND</x:v>
      </x:c>
      <x:c r="I99" s="63" t="str">
        <x:v>E0</x:v>
      </x:c>
      <x:c r="J99" s="80" t="n">
        <x:v>0.65</x:v>
      </x:c>
      <x:c r="K99" s="63" t="n">
        <x:v>0</x:v>
      </x:c>
      <x:c r="L99" s="63" t="str">
        <x:v>bec:E08:struct:risk:0, bec:E08:struct:risk:1, bec:E08:struct:risk:2</x:v>
      </x:c>
      <x:c r="M99" s="63" t="str">
        <x:v>client risk-report extraction</x:v>
      </x:c>
      <x:c r="N99" s="63" t="str">
        <x:v>{"problems":["OPERATIONAL_RESILIENCE","COMMODITY_EXPOSURE"],"solutions":["COMMODITY_RISK_MANAGEMENT","GUARANTEES_AND_LC"],"timing":["risk-review cycle"]}</x:v>
      </x:c>
    </x:row>
    <x:row r="100">
      <x:c r="A100" s="63" t="str">
        <x:v>E08</x:v>
      </x:c>
      <x:c r="B100" s="63" t="str">
        <x:v>Sanlam</x:v>
      </x:c>
      <x:c r="C100" s="63" t="str">
        <x:v>insurance</x:v>
      </x:c>
      <x:c r="D100" s="63" t="str">
        <x:v>twin:E08:2026-06-30:3.1.0</x:v>
      </x:c>
      <x:c r="E100" s="63" t="str">
        <x:v>STRATEGY_ACTIONS_AND_ESG</x:v>
      </x:c>
      <x:c r="F100" s="63" t="str">
        <x:v>Strategy, corporate actions and ESG activity</x:v>
      </x:c>
      <x:c r="G100" s="63" t="str">
        <x:v>SUPPORTED</x:v>
      </x:c>
      <x:c r="H100" s="63" t="str">
        <x:v>OBSERVED</x:v>
      </x:c>
      <x:c r="I100" s="63" t="str">
        <x:v>E0</x:v>
      </x:c>
      <x:c r="J100" s="80" t="n">
        <x:v>0.55</x:v>
      </x:c>
      <x:c r="K100" s="63" t="n">
        <x:v>0</x:v>
      </x:c>
      <x:c r="L100" s="63" t="str">
        <x:v>bec:E08:obs:latent:event_intensity</x:v>
      </x:c>
      <x:c r="M100" s="63" t="str">
        <x:v>announced corporate actions; evidence-based ESG activity and transition targets</x:v>
      </x:c>
      <x:c r="N100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01">
      <x:c r="A101" s="63" t="str">
        <x:v>E09</x:v>
      </x:c>
      <x:c r="B101" s="63" t="str">
        <x:v>Shoprite Holdings</x:v>
      </x:c>
      <x:c r="C101" s="63" t="str">
        <x:v>consumer</x:v>
      </x:c>
      <x:c r="D101" s="63" t="str">
        <x:v>twin:E09:2026-06-30:3.1.0</x:v>
      </x:c>
      <x:c r="E101" s="63" t="str">
        <x:v>REVENUE_ENGINE</x:v>
      </x:c>
      <x:c r="F101" s="63" t="str">
        <x:v>Revenue engine</x:v>
      </x:c>
      <x:c r="G101" s="63" t="str">
        <x:v>SUPPORTED</x:v>
      </x:c>
      <x:c r="H101" s="63" t="str">
        <x:v>OBSERVED</x:v>
      </x:c>
      <x:c r="I101" s="63" t="str">
        <x:v>E0</x:v>
      </x:c>
      <x:c r="J101" s="80" t="n">
        <x:v>0.95</x:v>
      </x:c>
      <x:c r="K101" s="63" t="n">
        <x:v>0</x:v>
      </x:c>
      <x:c r="L101" s="63" t="str">
        <x:v>bec:E09:obs:flow:collections, bec:E09:obs:trend:collections, bec:SHP-2025-AR-CLOSE, bec:SHP-2025-AR-OPEN, bec:SHP-2025-REV</x:v>
      </x:c>
      <x:c r="M101" s="63" t="str"/>
      <x:c r="N101" s="63" t="str">
        <x:v>{"problems":["COLLECTIONS_INEFFICIENCY","WORKING_CAPITAL_PRESSURE"],"solutions":["COLLECTIONS","SUPPLY_CHAIN_FINANCE"],"timing":["collection seasonality"]}</x:v>
      </x:c>
    </x:row>
    <x:row r="102">
      <x:c r="A102" s="63" t="str">
        <x:v>E09</x:v>
      </x:c>
      <x:c r="B102" s="63" t="str">
        <x:v>Shoprite Holdings</x:v>
      </x:c>
      <x:c r="C102" s="63" t="str">
        <x:v>consumer</x:v>
      </x:c>
      <x:c r="D102" s="63" t="str">
        <x:v>twin:E09:2026-06-30:3.1.0</x:v>
      </x:c>
      <x:c r="E102" s="63" t="str">
        <x:v>COST_ENGINE</x:v>
      </x:c>
      <x:c r="F102" s="63" t="str">
        <x:v>Cost engine</x:v>
      </x:c>
      <x:c r="G102" s="63" t="str">
        <x:v>SUPPORTED</x:v>
      </x:c>
      <x:c r="H102" s="63" t="str">
        <x:v>OBSERVED</x:v>
      </x:c>
      <x:c r="I102" s="63" t="str">
        <x:v>E0</x:v>
      </x:c>
      <x:c r="J102" s="80" t="n">
        <x:v>0.9</x:v>
      </x:c>
      <x:c r="K102" s="63" t="n">
        <x:v>0</x:v>
      </x:c>
      <x:c r="L102" s="63" t="str">
        <x:v>bec:E09:obs:flow:payments, bec:E09:obs:trend:payments, bec:SHP-2025-AP-CLOSE, bec:SHP-2025-AP-OPEN, bec:SHP-2025-COST</x:v>
      </x:c>
      <x:c r="M102" s="63" t="str"/>
      <x:c r="N102" s="63" t="str">
        <x:v>{"problems":["PAYMENTS_INEFFICIENCY","SUPPLY_CHAIN_RISK"],"solutions":["PAYMENTS","SUPPLY_CHAIN_FINANCE","TRADE_FINANCE"],"timing":["supplier payment runs"]}</x:v>
      </x:c>
    </x:row>
    <x:row r="103">
      <x:c r="A103" s="63" t="str">
        <x:v>E09</x:v>
      </x:c>
      <x:c r="B103" s="63" t="str">
        <x:v>Shoprite Holdings</x:v>
      </x:c>
      <x:c r="C103" s="63" t="str">
        <x:v>consumer</x:v>
      </x:c>
      <x:c r="D103" s="63" t="str">
        <x:v>twin:E09:2026-06-30:3.1.0</x:v>
      </x:c>
      <x:c r="E103" s="63" t="str">
        <x:v>WORKING_CAPITAL_CYCLE</x:v>
      </x:c>
      <x:c r="F103" s="63" t="str">
        <x:v>Working-capital cycle</x:v>
      </x:c>
      <x:c r="G103" s="63" t="str">
        <x:v>SUPPORTED</x:v>
      </x:c>
      <x:c r="H103" s="63" t="str">
        <x:v>OBSERVED</x:v>
      </x:c>
      <x:c r="I103" s="63" t="str">
        <x:v>E0</x:v>
      </x:c>
      <x:c r="J103" s="80" t="n">
        <x:v>0.95</x:v>
      </x:c>
      <x:c r="K103" s="63" t="n">
        <x:v>0</x:v>
      </x:c>
      <x:c r="L103" s="63" t="str">
        <x:v>bec:E09:obs:events:trade-90d, bec:E09:obs:events:trade-90d-value, bec:E09:obs:flow:collections, bec:E09:obs:flow:payments, bec:E09:obs:flow:trade-finance, bec:E09:obs:latent:working_capital_intensity, bec:E09:obs:trend:collections, bec:E09:obs:trend:payments, bec:E09:obs:trend:trade-finance, bec:SHP-2025-AP-CLOSE, bec:SHP-2025-AP-OPEN, bec:SHP-2025-AR-CLOSE, bec:SHP-2025-AR-OPEN, bec:SHP-2025-INV-CLOSE, bec:SHP-2025-INV-OPEN</x:v>
      </x:c>
      <x:c r="M103" s="63" t="str"/>
      <x:c r="N103" s="63" t="str">
        <x:v>{"problems":["WORKING_CAPITAL_PRESSURE","SUPPLY_CHAIN_RISK"],"solutions":["WORKING_CAPITAL_REVOLVING","SUPPLY_CHAIN_FINANCE","TRADE_FINANCE"],"timing":["cash-conversion pressure points"]}</x:v>
      </x:c>
    </x:row>
    <x:row r="104">
      <x:c r="A104" s="63" t="str">
        <x:v>E09</x:v>
      </x:c>
      <x:c r="B104" s="63" t="str">
        <x:v>Shoprite Holdings</x:v>
      </x:c>
      <x:c r="C104" s="63" t="str">
        <x:v>consumer</x:v>
      </x:c>
      <x:c r="D104" s="63" t="str">
        <x:v>twin:E09:2026-06-30:3.1.0</x:v>
      </x:c>
      <x:c r="E104" s="63" t="str">
        <x:v>FUNDING_STRUCTURE</x:v>
      </x:c>
      <x:c r="F104" s="63" t="str">
        <x:v>Funding structure</x:v>
      </x:c>
      <x:c r="G104" s="63" t="str">
        <x:v>SUPPORTED</x:v>
      </x:c>
      <x:c r="H104" s="63" t="str">
        <x:v>OBSERVED</x:v>
      </x:c>
      <x:c r="I104" s="63" t="str">
        <x:v>E0</x:v>
      </x:c>
      <x:c r="J104" s="80" t="n">
        <x:v>0.95</x:v>
      </x:c>
      <x:c r="K104" s="63" t="n">
        <x:v>0</x:v>
      </x:c>
      <x:c r="L104" s="63" t="str">
        <x:v>bec:E09:maturity:current-debt, bec:E09:obs:latent:financing_need, bec:SHP-2025-DEBT, bec:SHP-2025-STF</x:v>
      </x:c>
      <x:c r="M104" s="63" t="str">
        <x:v>REFINANCING_EXPOSURE_12M: available_liquidity; full debt maturity ladder by instrument and tenor</x:v>
      </x:c>
      <x:c r="N104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05">
      <x:c r="A105" s="63" t="str">
        <x:v>E09</x:v>
      </x:c>
      <x:c r="B105" s="63" t="str">
        <x:v>Shoprite Holdings</x:v>
      </x:c>
      <x:c r="C105" s="63" t="str">
        <x:v>consumer</x:v>
      </x:c>
      <x:c r="D105" s="63" t="str">
        <x:v>twin:E09:2026-06-30:3.1.0</x:v>
      </x:c>
      <x:c r="E105" s="63" t="str">
        <x:v>LIQUIDITY_AND_BUFFER</x:v>
      </x:c>
      <x:c r="F105" s="63" t="str">
        <x:v>Liquidity and cash buffer</x:v>
      </x:c>
      <x:c r="G105" s="63" t="str">
        <x:v>INFERRED</x:v>
      </x:c>
      <x:c r="H105" s="63" t="str">
        <x:v>OBSERVED</x:v>
      </x:c>
      <x:c r="I105" s="63" t="str">
        <x:v>E0</x:v>
      </x:c>
      <x:c r="J105" s="80" t="n">
        <x:v>0.9</x:v>
      </x:c>
      <x:c r="K105" s="63" t="n">
        <x:v>0</x:v>
      </x:c>
      <x:c r="L105" s="63" t="str">
        <x:v>bec:E09:maturity:current-debt, bec:E09:obs:flow:liquidity, bec:E09:obs:latent:liquidity_volatility, bec:E09:obs:trend:liquidity, bec:SHP-2025-STF</x:v>
      </x:c>
      <x:c r="M105" s="63" t="str">
        <x:v>CASH_COVER: cash; LIQUIDITY_BUFFER: cash; undrawn committed facility headroom</x:v>
      </x:c>
      <x:c r="N105" s="63" t="str">
        <x:v>{"problems":["LIQUIDITY_FRAGMENTATION","REFINANCING_CLIFF"],"solutions":["LIQUIDITY_CASH_MANAGEMENT","WORKING_CAPITAL_REVOLVING"],"timing":["buffer depletion"]}</x:v>
      </x:c>
    </x:row>
    <x:row r="106">
      <x:c r="A106" s="63" t="str">
        <x:v>E09</x:v>
      </x:c>
      <x:c r="B106" s="63" t="str">
        <x:v>Shoprite Holdings</x:v>
      </x:c>
      <x:c r="C106" s="63" t="str">
        <x:v>consumer</x:v>
      </x:c>
      <x:c r="D106" s="63" t="str">
        <x:v>twin:E09:2026-06-30:3.1.0</x:v>
      </x:c>
      <x:c r="E106" s="63" t="str">
        <x:v>OPERATING_MODEL</x:v>
      </x:c>
      <x:c r="F106" s="63" t="str">
        <x:v>Operating model</x:v>
      </x:c>
      <x:c r="G106" s="63" t="str">
        <x:v>SUPPORTED</x:v>
      </x:c>
      <x:c r="H106" s="63" t="str">
        <x:v>OBSERVED</x:v>
      </x:c>
      <x:c r="I106" s="63" t="str">
        <x:v>E0</x:v>
      </x:c>
      <x:c r="J106" s="80" t="n">
        <x:v>0.7</x:v>
      </x:c>
      <x:c r="K106" s="63" t="n">
        <x:v>0</x:v>
      </x:c>
      <x:c r="L106" s="63" t="str">
        <x:v>bec:E09:obs:events:trade-90d, bec:E09:obs:flow:trade-finance, bec:E09:obs:latent:operating_scale, bec:E09:obs:latent:relationship_complexity, bec:E09:obs:relationship-breadth, bec:E09:obs:trend:trade-finance, bec:E09:struct:operating-model</x:v>
      </x:c>
      <x:c r="M106" s="63" t="str">
        <x:v>client-specific ERP, shared-service and treasury system detail</x:v>
      </x:c>
      <x:c r="N106" s="63" t="str">
        <x:v>{"problems":["TREASURY_CENTRALISATION","OPERATIONAL_RESILIENCE"],"solutions":["PAYMENTS","LIQUIDITY_CASH_MANAGEMENT","COLLECTIONS"],"timing":["ERP and treasury system change windows"]}</x:v>
      </x:c>
    </x:row>
    <x:row r="107">
      <x:c r="A107" s="63" t="str">
        <x:v>E09</x:v>
      </x:c>
      <x:c r="B107" s="63" t="str">
        <x:v>Shoprite Holdings</x:v>
      </x:c>
      <x:c r="C107" s="63" t="str">
        <x:v>consumer</x:v>
      </x:c>
      <x:c r="D107" s="63" t="str">
        <x:v>twin:E09:2026-06-30:3.1.0</x:v>
      </x:c>
      <x:c r="E107" s="63" t="str">
        <x:v>GEOGRAPHIC_EXPOSURE</x:v>
      </x:c>
      <x:c r="F107" s="63" t="str">
        <x:v>Geographic exposure</x:v>
      </x:c>
      <x:c r="G107" s="63" t="str">
        <x:v>SUPPORTED</x:v>
      </x:c>
      <x:c r="H107" s="63" t="str">
        <x:v>OBSERVED</x:v>
      </x:c>
      <x:c r="I107" s="63" t="str">
        <x:v>E0</x:v>
      </x:c>
      <x:c r="J107" s="80" t="n">
        <x:v>0.75</x:v>
      </x:c>
      <x:c r="K107" s="63" t="n">
        <x:v>0</x:v>
      </x:c>
      <x:c r="L107" s="63" t="str">
        <x:v>bec:E09:obs:corridor-name:0, bec:E09:obs:corridor-name:1, bec:E09:obs:corridor-name:2, bec:E09:obs:corridor:0, bec:E09:obs:corridor:1, bec:E09:obs:corridor:2, bec:E09:obs:country-count, bec:E09:obs:flow:cross-border-fx, bec:E09:obs:latent:international_exposure, bec:E09:obs:trend:cross-border-fx</x:v>
      </x:c>
      <x:c r="M107" s="63" t="str"/>
      <x:c r="N107" s="63" t="str">
        <x:v>{"problems":["FX_EXPOSURE","SUPPLY_CHAIN_RISK"],"solutions":["CROSS_BORDER_FX","TRADE_FINANCE"],"timing":["corridor seasonality"]}</x:v>
      </x:c>
    </x:row>
    <x:row r="108">
      <x:c r="A108" s="63" t="str">
        <x:v>E09</x:v>
      </x:c>
      <x:c r="B108" s="63" t="str">
        <x:v>Shoprite Holdings</x:v>
      </x:c>
      <x:c r="C108" s="63" t="str">
        <x:v>consumer</x:v>
      </x:c>
      <x:c r="D108" s="63" t="str">
        <x:v>twin:E09:2026-06-30:3.1.0</x:v>
      </x:c>
      <x:c r="E108" s="63" t="str">
        <x:v>CURRENCY_AND_COMMODITY_EXPOSURE</x:v>
      </x:c>
      <x:c r="F108" s="63" t="str">
        <x:v>Currency and commodity exposure</x:v>
      </x:c>
      <x:c r="G108" s="63" t="str">
        <x:v>INFERRED</x:v>
      </x:c>
      <x:c r="H108" s="63" t="str">
        <x:v>OBSERVED</x:v>
      </x:c>
      <x:c r="I108" s="63" t="str">
        <x:v>E0</x:v>
      </x:c>
      <x:c r="J108" s="80" t="n">
        <x:v>0.85</x:v>
      </x:c>
      <x:c r="K108" s="63" t="n">
        <x:v>0</x:v>
      </x:c>
      <x:c r="L108" s="63" t="str">
        <x:v>bec:E09:obs:currency-pair:0, bec:E09:obs:currency-pair:1, bec:E09:obs:currency-pair:2, bec:E09:obs:currency:0, bec:E09:obs:currency:1, bec:E09:obs:currency:2, bec:E09:obs:flow:cross-border-fx, bec:E09:obs:trend:cross-border-fx, bec:SHP-2025-FX</x:v>
      </x:c>
      <x:c r="M108" s="63" t="str">
        <x:v>hedge ratio; signed currency inflow/outflow split</x:v>
      </x:c>
      <x:c r="N108" s="63" t="str">
        <x:v>{"problems":["FX_EXPOSURE","COMMODITY_EXPOSURE"],"solutions":["CROSS_BORDER_FX","COMMODITY_RISK_MANAGEMENT"],"timing":["hedge roll dates"]}</x:v>
      </x:c>
    </x:row>
    <x:row r="109">
      <x:c r="A109" s="63" t="str">
        <x:v>E09</x:v>
      </x:c>
      <x:c r="B109" s="63" t="str">
        <x:v>Shoprite Holdings</x:v>
      </x:c>
      <x:c r="C109" s="63" t="str">
        <x:v>consumer</x:v>
      </x:c>
      <x:c r="D109" s="63" t="str">
        <x:v>twin:E09:2026-06-30:3.1.0</x:v>
      </x:c>
      <x:c r="E109" s="63" t="str">
        <x:v>PROJECTS_SUBSIDIARIES_SPVS</x:v>
      </x:c>
      <x:c r="F109" s="63" t="str">
        <x:v>Projects, subsidiaries and SPVs</x:v>
      </x:c>
      <x:c r="G109" s="63" t="str">
        <x:v>UNKNOWN</x:v>
      </x:c>
      <x:c r="H109" s="63" t="str">
        <x:v>SCENARIO</x:v>
      </x:c>
      <x:c r="I109" s="63" t="str">
        <x:v>E0</x:v>
      </x:c>
      <x:c r="J109" s="80" t="n">
        <x:v>0.7</x:v>
      </x:c>
      <x:c r="K109" s="63"/>
      <x:c r="L109" s="63" t="str"/>
      <x:c r="M109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09" s="63" t="str">
        <x:v>{"problems":["PROJECT_MOBILISATION","GUARANTEE_OR_COLLATERAL_REQUIREMENT"],"solutions":["PROJECT_FINANCE","GUARANTEES_AND_LC","ESCROW_AND_AGENCY"],"timing":["project financial close"]}</x:v>
      </x:c>
    </x:row>
    <x:row r="110">
      <x:c r="A110" s="63" t="str">
        <x:v>E09</x:v>
      </x:c>
      <x:c r="B110" s="63" t="str">
        <x:v>Shoprite Holdings</x:v>
      </x:c>
      <x:c r="C110" s="63" t="str">
        <x:v>consumer</x:v>
      </x:c>
      <x:c r="D110" s="63" t="str">
        <x:v>twin:E09:2026-06-30:3.1.0</x:v>
      </x:c>
      <x:c r="E110" s="63" t="str">
        <x:v>STAKEHOLDER_RESPONSIBILITY</x:v>
      </x:c>
      <x:c r="F110" s="63" t="str">
        <x:v>Stakeholder responsibility model</x:v>
      </x:c>
      <x:c r="G110" s="63" t="str">
        <x:v>SUPPORTED</x:v>
      </x:c>
      <x:c r="H110" s="63" t="str">
        <x:v>IDENTIFIED_BOUND</x:v>
      </x:c>
      <x:c r="I110" s="63" t="str">
        <x:v>E0</x:v>
      </x:c>
      <x:c r="J110" s="80" t="n">
        <x:v>0.6</x:v>
      </x:c>
      <x:c r="K110" s="63" t="n">
        <x:v>0</x:v>
      </x:c>
      <x:c r="L110" s="63" t="str">
        <x:v>bec:E09:struct:responsibility-model, bec:E09:struct:responsibility:fx_exposure, bec:E09:struct:responsibility:refinancing_cliff, bec:E09:struct:responsibility:working_capital_pressure</x:v>
      </x:c>
      <x:c r="M110" s="63" t="str">
        <x:v>client-confirmed decision authority and mandate limits</x:v>
      </x:c>
      <x:c r="N110" s="63" t="str">
        <x:v>{"problems":[],"solutions":[],"timing":["decision-authority availability"]}</x:v>
      </x:c>
    </x:row>
    <x:row r="111">
      <x:c r="A111" s="63" t="str">
        <x:v>E09</x:v>
      </x:c>
      <x:c r="B111" s="63" t="str">
        <x:v>Shoprite Holdings</x:v>
      </x:c>
      <x:c r="C111" s="63" t="str">
        <x:v>consumer</x:v>
      </x:c>
      <x:c r="D111" s="63" t="str">
        <x:v>twin:E09:2026-06-30:3.1.0</x:v>
      </x:c>
      <x:c r="E111" s="63" t="str">
        <x:v>BUSINESS_AND_FINANCIAL_RISKS</x:v>
      </x:c>
      <x:c r="F111" s="63" t="str">
        <x:v>Business and financial risks</x:v>
      </x:c>
      <x:c r="G111" s="63" t="str">
        <x:v>SUPPORTED</x:v>
      </x:c>
      <x:c r="H111" s="63" t="str">
        <x:v>IDENTIFIED_BOUND</x:v>
      </x:c>
      <x:c r="I111" s="63" t="str">
        <x:v>E0</x:v>
      </x:c>
      <x:c r="J111" s="80" t="n">
        <x:v>0.65</x:v>
      </x:c>
      <x:c r="K111" s="63" t="n">
        <x:v>0</x:v>
      </x:c>
      <x:c r="L111" s="63" t="str">
        <x:v>bec:E09:struct:risk:0, bec:E09:struct:risk:1, bec:E09:struct:risk:2</x:v>
      </x:c>
      <x:c r="M111" s="63" t="str">
        <x:v>client risk-report extraction</x:v>
      </x:c>
      <x:c r="N111" s="63" t="str">
        <x:v>{"problems":["OPERATIONAL_RESILIENCE","COMMODITY_EXPOSURE"],"solutions":["COMMODITY_RISK_MANAGEMENT","GUARANTEES_AND_LC"],"timing":["risk-review cycle"]}</x:v>
      </x:c>
    </x:row>
    <x:row r="112">
      <x:c r="A112" s="63" t="str">
        <x:v>E09</x:v>
      </x:c>
      <x:c r="B112" s="63" t="str">
        <x:v>Shoprite Holdings</x:v>
      </x:c>
      <x:c r="C112" s="63" t="str">
        <x:v>consumer</x:v>
      </x:c>
      <x:c r="D112" s="63" t="str">
        <x:v>twin:E09:2026-06-30:3.1.0</x:v>
      </x:c>
      <x:c r="E112" s="63" t="str">
        <x:v>STRATEGY_ACTIONS_AND_ESG</x:v>
      </x:c>
      <x:c r="F112" s="63" t="str">
        <x:v>Strategy, corporate actions and ESG activity</x:v>
      </x:c>
      <x:c r="G112" s="63" t="str">
        <x:v>SUPPORTED</x:v>
      </x:c>
      <x:c r="H112" s="63" t="str">
        <x:v>OBSERVED</x:v>
      </x:c>
      <x:c r="I112" s="63" t="str">
        <x:v>E0</x:v>
      </x:c>
      <x:c r="J112" s="80" t="n">
        <x:v>0.55</x:v>
      </x:c>
      <x:c r="K112" s="63" t="n">
        <x:v>0</x:v>
      </x:c>
      <x:c r="L112" s="63" t="str">
        <x:v>bec:E09:obs:latent:event_intensity</x:v>
      </x:c>
      <x:c r="M112" s="63" t="str">
        <x:v>announced corporate actions; evidence-based ESG activity and transition targets</x:v>
      </x:c>
      <x:c r="N112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13">
      <x:c r="A113" s="63" t="str">
        <x:v>E10</x:v>
      </x:c>
      <x:c r="B113" s="63" t="str">
        <x:v>Bid Corporation</x:v>
      </x:c>
      <x:c r="C113" s="63" t="str">
        <x:v>consumer</x:v>
      </x:c>
      <x:c r="D113" s="63" t="str">
        <x:v>twin:E10:2026-06-30:3.1.0</x:v>
      </x:c>
      <x:c r="E113" s="63" t="str">
        <x:v>REVENUE_ENGINE</x:v>
      </x:c>
      <x:c r="F113" s="63" t="str">
        <x:v>Revenue engine</x:v>
      </x:c>
      <x:c r="G113" s="63" t="str">
        <x:v>SUPPORTED</x:v>
      </x:c>
      <x:c r="H113" s="63" t="str">
        <x:v>OBSERVED</x:v>
      </x:c>
      <x:c r="I113" s="63" t="str">
        <x:v>E0</x:v>
      </x:c>
      <x:c r="J113" s="80" t="n">
        <x:v>0.95</x:v>
      </x:c>
      <x:c r="K113" s="63" t="n">
        <x:v>0</x:v>
      </x:c>
      <x:c r="L113" s="63" t="str">
        <x:v>bec:BIDCORP-2025-REV, bec:E10:obs:flow:collections, bec:E10:obs:trend:collections</x:v>
      </x:c>
      <x:c r="M113" s="63" t="str"/>
      <x:c r="N113" s="63" t="str">
        <x:v>{"problems":["COLLECTIONS_INEFFICIENCY","WORKING_CAPITAL_PRESSURE"],"solutions":["COLLECTIONS","SUPPLY_CHAIN_FINANCE"],"timing":["collection seasonality"]}</x:v>
      </x:c>
    </x:row>
    <x:row r="114">
      <x:c r="A114" s="63" t="str">
        <x:v>E10</x:v>
      </x:c>
      <x:c r="B114" s="63" t="str">
        <x:v>Bid Corporation</x:v>
      </x:c>
      <x:c r="C114" s="63" t="str">
        <x:v>consumer</x:v>
      </x:c>
      <x:c r="D114" s="63" t="str">
        <x:v>twin:E10:2026-06-30:3.1.0</x:v>
      </x:c>
      <x:c r="E114" s="63" t="str">
        <x:v>COST_ENGINE</x:v>
      </x:c>
      <x:c r="F114" s="63" t="str">
        <x:v>Cost engine</x:v>
      </x:c>
      <x:c r="G114" s="63" t="str">
        <x:v>SUPPORTED</x:v>
      </x:c>
      <x:c r="H114" s="63" t="str">
        <x:v>OBSERVED</x:v>
      </x:c>
      <x:c r="I114" s="63" t="str">
        <x:v>E0</x:v>
      </x:c>
      <x:c r="J114" s="80" t="n">
        <x:v>0.9</x:v>
      </x:c>
      <x:c r="K114" s="63" t="n">
        <x:v>0</x:v>
      </x:c>
      <x:c r="L114" s="63" t="str">
        <x:v>bec:E10:obs:flow:payments, bec:E10:obs:trend:payments</x:v>
      </x:c>
      <x:c r="M114" s="63" t="str">
        <x:v>No approved E1 evidence supports this domain. No audited cost base is available for this client.</x:v>
      </x:c>
      <x:c r="N114" s="63" t="str">
        <x:v>{"problems":["PAYMENTS_INEFFICIENCY","SUPPLY_CHAIN_RISK"],"solutions":["PAYMENTS","SUPPLY_CHAIN_FINANCE","TRADE_FINANCE"],"timing":["supplier payment runs"]}</x:v>
      </x:c>
    </x:row>
    <x:row r="115">
      <x:c r="A115" s="63" t="str">
        <x:v>E10</x:v>
      </x:c>
      <x:c r="B115" s="63" t="str">
        <x:v>Bid Corporation</x:v>
      </x:c>
      <x:c r="C115" s="63" t="str">
        <x:v>consumer</x:v>
      </x:c>
      <x:c r="D115" s="63" t="str">
        <x:v>twin:E10:2026-06-30:3.1.0</x:v>
      </x:c>
      <x:c r="E115" s="63" t="str">
        <x:v>WORKING_CAPITAL_CYCLE</x:v>
      </x:c>
      <x:c r="F115" s="63" t="str">
        <x:v>Working-capital cycle</x:v>
      </x:c>
      <x:c r="G115" s="63" t="str">
        <x:v>INFERRED</x:v>
      </x:c>
      <x:c r="H115" s="63" t="str">
        <x:v>OBSERVED</x:v>
      </x:c>
      <x:c r="I115" s="63" t="str">
        <x:v>E0</x:v>
      </x:c>
      <x:c r="J115" s="80" t="n">
        <x:v>0.95</x:v>
      </x:c>
      <x:c r="K115" s="63" t="n">
        <x:v>0</x:v>
      </x:c>
      <x:c r="L115" s="63" t="str">
        <x:v>bec:E10:obs:events:trade-90d, bec:E10:obs:events:trade-90d-value, bec:E10:obs:flow:collections, bec:E10:obs:flow:payments, bec:E10:obs:flow:trade-finance, bec:E10:obs:latent:working_capital_intensity, bec:E10:obs:trend:collections, bec:E10:obs:trend:payments, bec:E10:obs:trend:trade-finance</x:v>
      </x:c>
      <x:c r="M115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15" s="63" t="str">
        <x:v>{"problems":["WORKING_CAPITAL_PRESSURE","SUPPLY_CHAIN_RISK"],"solutions":["WORKING_CAPITAL_REVOLVING","SUPPLY_CHAIN_FINANCE","TRADE_FINANCE"],"timing":["cash-conversion pressure points"]}</x:v>
      </x:c>
    </x:row>
    <x:row r="116">
      <x:c r="A116" s="63" t="str">
        <x:v>E10</x:v>
      </x:c>
      <x:c r="B116" s="63" t="str">
        <x:v>Bid Corporation</x:v>
      </x:c>
      <x:c r="C116" s="63" t="str">
        <x:v>consumer</x:v>
      </x:c>
      <x:c r="D116" s="63" t="str">
        <x:v>twin:E10:2026-06-30:3.1.0</x:v>
      </x:c>
      <x:c r="E116" s="63" t="str">
        <x:v>FUNDING_STRUCTURE</x:v>
      </x:c>
      <x:c r="F116" s="63" t="str">
        <x:v>Funding structure</x:v>
      </x:c>
      <x:c r="G116" s="63" t="str">
        <x:v>INFERRED</x:v>
      </x:c>
      <x:c r="H116" s="63" t="str">
        <x:v>OBSERVED</x:v>
      </x:c>
      <x:c r="I116" s="63" t="str">
        <x:v>E0</x:v>
      </x:c>
      <x:c r="J116" s="80" t="n">
        <x:v>0.95</x:v>
      </x:c>
      <x:c r="K116" s="63" t="n">
        <x:v>0</x:v>
      </x:c>
      <x:c r="L116" s="63" t="str">
        <x:v>bec:BIDCORP-2025-CL, bec:E10:obs:latent:financing_need</x:v>
      </x:c>
      <x:c r="M116" s="63" t="str">
        <x:v>No approved E1 evidence supports this domain. No audited debt or facility disclosure is available for this client.; full debt maturity ladder by instrument and tenor</x:v>
      </x:c>
      <x:c r="N116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17">
      <x:c r="A117" s="63" t="str">
        <x:v>E10</x:v>
      </x:c>
      <x:c r="B117" s="63" t="str">
        <x:v>Bid Corporation</x:v>
      </x:c>
      <x:c r="C117" s="63" t="str">
        <x:v>consumer</x:v>
      </x:c>
      <x:c r="D117" s="63" t="str">
        <x:v>twin:E10:2026-06-30:3.1.0</x:v>
      </x:c>
      <x:c r="E117" s="63" t="str">
        <x:v>LIQUIDITY_AND_BUFFER</x:v>
      </x:c>
      <x:c r="F117" s="63" t="str">
        <x:v>Liquidity and cash buffer</x:v>
      </x:c>
      <x:c r="G117" s="63" t="str">
        <x:v>INFERRED</x:v>
      </x:c>
      <x:c r="H117" s="63" t="str">
        <x:v>OBSERVED</x:v>
      </x:c>
      <x:c r="I117" s="63" t="str">
        <x:v>E0</x:v>
      </x:c>
      <x:c r="J117" s="80" t="n">
        <x:v>0.9</x:v>
      </x:c>
      <x:c r="K117" s="63" t="n">
        <x:v>0</x:v>
      </x:c>
      <x:c r="L117" s="63" t="str">
        <x:v>bec:BIDCORP-2025-CASH, bec:E10:obs:flow:liquidity, bec:E10:obs:latent:liquidity_volatility, bec:E10:obs:trend:liquidity</x:v>
      </x:c>
      <x:c r="M117" s="63" t="str">
        <x:v>undrawn committed facility headroom</x:v>
      </x:c>
      <x:c r="N117" s="63" t="str">
        <x:v>{"problems":["LIQUIDITY_FRAGMENTATION","REFINANCING_CLIFF"],"solutions":["LIQUIDITY_CASH_MANAGEMENT","WORKING_CAPITAL_REVOLVING"],"timing":["buffer depletion"]}</x:v>
      </x:c>
    </x:row>
    <x:row r="118">
      <x:c r="A118" s="63" t="str">
        <x:v>E10</x:v>
      </x:c>
      <x:c r="B118" s="63" t="str">
        <x:v>Bid Corporation</x:v>
      </x:c>
      <x:c r="C118" s="63" t="str">
        <x:v>consumer</x:v>
      </x:c>
      <x:c r="D118" s="63" t="str">
        <x:v>twin:E10:2026-06-30:3.1.0</x:v>
      </x:c>
      <x:c r="E118" s="63" t="str">
        <x:v>OPERATING_MODEL</x:v>
      </x:c>
      <x:c r="F118" s="63" t="str">
        <x:v>Operating model</x:v>
      </x:c>
      <x:c r="G118" s="63" t="str">
        <x:v>SUPPORTED</x:v>
      </x:c>
      <x:c r="H118" s="63" t="str">
        <x:v>OBSERVED</x:v>
      </x:c>
      <x:c r="I118" s="63" t="str">
        <x:v>E0</x:v>
      </x:c>
      <x:c r="J118" s="80" t="n">
        <x:v>0.7</x:v>
      </x:c>
      <x:c r="K118" s="63" t="n">
        <x:v>0</x:v>
      </x:c>
      <x:c r="L118" s="63" t="str">
        <x:v>bec:E10:obs:events:trade-90d, bec:E10:obs:flow:trade-finance, bec:E10:obs:latent:operating_scale, bec:E10:obs:latent:relationship_complexity, bec:E10:obs:relationship-breadth, bec:E10:obs:trend:trade-finance, bec:E10:struct:operating-model</x:v>
      </x:c>
      <x:c r="M118" s="63" t="str">
        <x:v>client-specific ERP, shared-service and treasury system detail</x:v>
      </x:c>
      <x:c r="N118" s="63" t="str">
        <x:v>{"problems":["TREASURY_CENTRALISATION","OPERATIONAL_RESILIENCE"],"solutions":["PAYMENTS","LIQUIDITY_CASH_MANAGEMENT","COLLECTIONS"],"timing":["ERP and treasury system change windows"]}</x:v>
      </x:c>
    </x:row>
    <x:row r="119">
      <x:c r="A119" s="63" t="str">
        <x:v>E10</x:v>
      </x:c>
      <x:c r="B119" s="63" t="str">
        <x:v>Bid Corporation</x:v>
      </x:c>
      <x:c r="C119" s="63" t="str">
        <x:v>consumer</x:v>
      </x:c>
      <x:c r="D119" s="63" t="str">
        <x:v>twin:E10:2026-06-30:3.1.0</x:v>
      </x:c>
      <x:c r="E119" s="63" t="str">
        <x:v>GEOGRAPHIC_EXPOSURE</x:v>
      </x:c>
      <x:c r="F119" s="63" t="str">
        <x:v>Geographic exposure</x:v>
      </x:c>
      <x:c r="G119" s="63" t="str">
        <x:v>SUPPORTED</x:v>
      </x:c>
      <x:c r="H119" s="63" t="str">
        <x:v>OBSERVED</x:v>
      </x:c>
      <x:c r="I119" s="63" t="str">
        <x:v>E0</x:v>
      </x:c>
      <x:c r="J119" s="80" t="n">
        <x:v>0.75</x:v>
      </x:c>
      <x:c r="K119" s="63" t="n">
        <x:v>0</x:v>
      </x:c>
      <x:c r="L119" s="63" t="str">
        <x:v>bec:E10:obs:corridor-name:0, bec:E10:obs:corridor-name:1, bec:E10:obs:corridor-name:2, bec:E10:obs:corridor:0, bec:E10:obs:corridor:1, bec:E10:obs:corridor:2, bec:E10:obs:country-count, bec:E10:obs:flow:cross-border-fx, bec:E10:obs:latent:international_exposure, bec:E10:obs:trend:cross-border-fx</x:v>
      </x:c>
      <x:c r="M119" s="63" t="str"/>
      <x:c r="N119" s="63" t="str">
        <x:v>{"problems":["FX_EXPOSURE","SUPPLY_CHAIN_RISK"],"solutions":["CROSS_BORDER_FX","TRADE_FINANCE"],"timing":["corridor seasonality"]}</x:v>
      </x:c>
    </x:row>
    <x:row r="120">
      <x:c r="A120" s="63" t="str">
        <x:v>E10</x:v>
      </x:c>
      <x:c r="B120" s="63" t="str">
        <x:v>Bid Corporation</x:v>
      </x:c>
      <x:c r="C120" s="63" t="str">
        <x:v>consumer</x:v>
      </x:c>
      <x:c r="D120" s="63" t="str">
        <x:v>twin:E10:2026-06-30:3.1.0</x:v>
      </x:c>
      <x:c r="E120" s="63" t="str">
        <x:v>CURRENCY_AND_COMMODITY_EXPOSURE</x:v>
      </x:c>
      <x:c r="F120" s="63" t="str">
        <x:v>Currency and commodity exposure</x:v>
      </x:c>
      <x:c r="G120" s="63" t="str">
        <x:v>INFERRED</x:v>
      </x:c>
      <x:c r="H120" s="63" t="str">
        <x:v>OBSERVED</x:v>
      </x:c>
      <x:c r="I120" s="63" t="str">
        <x:v>E0</x:v>
      </x:c>
      <x:c r="J120" s="80" t="n">
        <x:v>0.85</x:v>
      </x:c>
      <x:c r="K120" s="63" t="n">
        <x:v>0</x:v>
      </x:c>
      <x:c r="L120" s="63" t="str">
        <x:v>bec:E10:obs:currency-pair:0, bec:E10:obs:currency-pair:1, bec:E10:obs:currency-pair:2, bec:E10:obs:currency:0, bec:E10:obs:currency:1, bec:E10:obs:currency:2, bec:E10:obs:flow:cross-border-fx, bec:E10:obs:trend:cross-border-fx</x:v>
      </x:c>
      <x:c r="M120" s="63" t="str">
        <x:v>hedge ratio; signed currency inflow/outflow split</x:v>
      </x:c>
      <x:c r="N120" s="63" t="str">
        <x:v>{"problems":["FX_EXPOSURE","COMMODITY_EXPOSURE"],"solutions":["CROSS_BORDER_FX","COMMODITY_RISK_MANAGEMENT"],"timing":["hedge roll dates"]}</x:v>
      </x:c>
    </x:row>
    <x:row r="121">
      <x:c r="A121" s="63" t="str">
        <x:v>E10</x:v>
      </x:c>
      <x:c r="B121" s="63" t="str">
        <x:v>Bid Corporation</x:v>
      </x:c>
      <x:c r="C121" s="63" t="str">
        <x:v>consumer</x:v>
      </x:c>
      <x:c r="D121" s="63" t="str">
        <x:v>twin:E10:2026-06-30:3.1.0</x:v>
      </x:c>
      <x:c r="E121" s="63" t="str">
        <x:v>PROJECTS_SUBSIDIARIES_SPVS</x:v>
      </x:c>
      <x:c r="F121" s="63" t="str">
        <x:v>Projects, subsidiaries and SPVs</x:v>
      </x:c>
      <x:c r="G121" s="63" t="str">
        <x:v>UNKNOWN</x:v>
      </x:c>
      <x:c r="H121" s="63" t="str">
        <x:v>SCENARIO</x:v>
      </x:c>
      <x:c r="I121" s="63" t="str">
        <x:v>E0</x:v>
      </x:c>
      <x:c r="J121" s="80" t="n">
        <x:v>0.7</x:v>
      </x:c>
      <x:c r="K121" s="63"/>
      <x:c r="L121" s="63" t="str"/>
      <x:c r="M121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21" s="63" t="str">
        <x:v>{"problems":["PROJECT_MOBILISATION","GUARANTEE_OR_COLLATERAL_REQUIREMENT"],"solutions":["PROJECT_FINANCE","GUARANTEES_AND_LC","ESCROW_AND_AGENCY"],"timing":["project financial close"]}</x:v>
      </x:c>
    </x:row>
    <x:row r="122">
      <x:c r="A122" s="63" t="str">
        <x:v>E10</x:v>
      </x:c>
      <x:c r="B122" s="63" t="str">
        <x:v>Bid Corporation</x:v>
      </x:c>
      <x:c r="C122" s="63" t="str">
        <x:v>consumer</x:v>
      </x:c>
      <x:c r="D122" s="63" t="str">
        <x:v>twin:E10:2026-06-30:3.1.0</x:v>
      </x:c>
      <x:c r="E122" s="63" t="str">
        <x:v>STAKEHOLDER_RESPONSIBILITY</x:v>
      </x:c>
      <x:c r="F122" s="63" t="str">
        <x:v>Stakeholder responsibility model</x:v>
      </x:c>
      <x:c r="G122" s="63" t="str">
        <x:v>SUPPORTED</x:v>
      </x:c>
      <x:c r="H122" s="63" t="str">
        <x:v>IDENTIFIED_BOUND</x:v>
      </x:c>
      <x:c r="I122" s="63" t="str">
        <x:v>E0</x:v>
      </x:c>
      <x:c r="J122" s="80" t="n">
        <x:v>0.6</x:v>
      </x:c>
      <x:c r="K122" s="63" t="n">
        <x:v>0</x:v>
      </x:c>
      <x:c r="L122" s="63" t="str">
        <x:v>bec:E10:struct:responsibility-model, bec:E10:struct:responsibility:fx_exposure, bec:E10:struct:responsibility:refinancing_cliff, bec:E10:struct:responsibility:working_capital_pressure</x:v>
      </x:c>
      <x:c r="M122" s="63" t="str">
        <x:v>client-confirmed decision authority and mandate limits</x:v>
      </x:c>
      <x:c r="N122" s="63" t="str">
        <x:v>{"problems":[],"solutions":[],"timing":["decision-authority availability"]}</x:v>
      </x:c>
    </x:row>
    <x:row r="123">
      <x:c r="A123" s="63" t="str">
        <x:v>E10</x:v>
      </x:c>
      <x:c r="B123" s="63" t="str">
        <x:v>Bid Corporation</x:v>
      </x:c>
      <x:c r="C123" s="63" t="str">
        <x:v>consumer</x:v>
      </x:c>
      <x:c r="D123" s="63" t="str">
        <x:v>twin:E10:2026-06-30:3.1.0</x:v>
      </x:c>
      <x:c r="E123" s="63" t="str">
        <x:v>BUSINESS_AND_FINANCIAL_RISKS</x:v>
      </x:c>
      <x:c r="F123" s="63" t="str">
        <x:v>Business and financial risks</x:v>
      </x:c>
      <x:c r="G123" s="63" t="str">
        <x:v>SUPPORTED</x:v>
      </x:c>
      <x:c r="H123" s="63" t="str">
        <x:v>IDENTIFIED_BOUND</x:v>
      </x:c>
      <x:c r="I123" s="63" t="str">
        <x:v>E0</x:v>
      </x:c>
      <x:c r="J123" s="80" t="n">
        <x:v>0.65</x:v>
      </x:c>
      <x:c r="K123" s="63" t="n">
        <x:v>0</x:v>
      </x:c>
      <x:c r="L123" s="63" t="str">
        <x:v>bec:E10:struct:risk:0, bec:E10:struct:risk:1, bec:E10:struct:risk:2</x:v>
      </x:c>
      <x:c r="M123" s="63" t="str">
        <x:v>client risk-report extraction</x:v>
      </x:c>
      <x:c r="N123" s="63" t="str">
        <x:v>{"problems":["OPERATIONAL_RESILIENCE","COMMODITY_EXPOSURE"],"solutions":["COMMODITY_RISK_MANAGEMENT","GUARANTEES_AND_LC"],"timing":["risk-review cycle"]}</x:v>
      </x:c>
    </x:row>
    <x:row r="124">
      <x:c r="A124" s="63" t="str">
        <x:v>E10</x:v>
      </x:c>
      <x:c r="B124" s="63" t="str">
        <x:v>Bid Corporation</x:v>
      </x:c>
      <x:c r="C124" s="63" t="str">
        <x:v>consumer</x:v>
      </x:c>
      <x:c r="D124" s="63" t="str">
        <x:v>twin:E10:2026-06-30:3.1.0</x:v>
      </x:c>
      <x:c r="E124" s="63" t="str">
        <x:v>STRATEGY_ACTIONS_AND_ESG</x:v>
      </x:c>
      <x:c r="F124" s="63" t="str">
        <x:v>Strategy, corporate actions and ESG activity</x:v>
      </x:c>
      <x:c r="G124" s="63" t="str">
        <x:v>SUPPORTED</x:v>
      </x:c>
      <x:c r="H124" s="63" t="str">
        <x:v>OBSERVED</x:v>
      </x:c>
      <x:c r="I124" s="63" t="str">
        <x:v>E0</x:v>
      </x:c>
      <x:c r="J124" s="80" t="n">
        <x:v>0.55</x:v>
      </x:c>
      <x:c r="K124" s="63" t="n">
        <x:v>0</x:v>
      </x:c>
      <x:c r="L124" s="63" t="str">
        <x:v>bec:E10:obs:latent:event_intensity</x:v>
      </x:c>
      <x:c r="M124" s="63" t="str">
        <x:v>announced corporate actions; evidence-based ESG activity and transition targets</x:v>
      </x:c>
      <x:c r="N124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25">
      <x:c r="A125" s="63" t="str">
        <x:v>E11</x:v>
      </x:c>
      <x:c r="B125" s="63" t="str">
        <x:v>Pepkor Holdings</x:v>
      </x:c>
      <x:c r="C125" s="63" t="str">
        <x:v>consumer</x:v>
      </x:c>
      <x:c r="D125" s="63" t="str">
        <x:v>twin:E11:2026-06-30:3.1.0</x:v>
      </x:c>
      <x:c r="E125" s="63" t="str">
        <x:v>REVENUE_ENGINE</x:v>
      </x:c>
      <x:c r="F125" s="63" t="str">
        <x:v>Revenue engine</x:v>
      </x:c>
      <x:c r="G125" s="63" t="str">
        <x:v>SUPPORTED</x:v>
      </x:c>
      <x:c r="H125" s="63" t="str">
        <x:v>OBSERVED</x:v>
      </x:c>
      <x:c r="I125" s="63" t="str">
        <x:v>E0</x:v>
      </x:c>
      <x:c r="J125" s="80" t="n">
        <x:v>0.95</x:v>
      </x:c>
      <x:c r="K125" s="63" t="n">
        <x:v>0</x:v>
      </x:c>
      <x:c r="L125" s="63" t="str">
        <x:v>bec:E11:obs:flow:collections, bec:E11:obs:trend:collections, bec:PEPKOR-2025-REV</x:v>
      </x:c>
      <x:c r="M125" s="63" t="str"/>
      <x:c r="N125" s="63" t="str">
        <x:v>{"problems":["COLLECTIONS_INEFFICIENCY","WORKING_CAPITAL_PRESSURE"],"solutions":["COLLECTIONS","SUPPLY_CHAIN_FINANCE"],"timing":["collection seasonality"]}</x:v>
      </x:c>
    </x:row>
    <x:row r="126">
      <x:c r="A126" s="63" t="str">
        <x:v>E11</x:v>
      </x:c>
      <x:c r="B126" s="63" t="str">
        <x:v>Pepkor Holdings</x:v>
      </x:c>
      <x:c r="C126" s="63" t="str">
        <x:v>consumer</x:v>
      </x:c>
      <x:c r="D126" s="63" t="str">
        <x:v>twin:E11:2026-06-30:3.1.0</x:v>
      </x:c>
      <x:c r="E126" s="63" t="str">
        <x:v>COST_ENGINE</x:v>
      </x:c>
      <x:c r="F126" s="63" t="str">
        <x:v>Cost engine</x:v>
      </x:c>
      <x:c r="G126" s="63" t="str">
        <x:v>SUPPORTED</x:v>
      </x:c>
      <x:c r="H126" s="63" t="str">
        <x:v>OBSERVED</x:v>
      </x:c>
      <x:c r="I126" s="63" t="str">
        <x:v>E0</x:v>
      </x:c>
      <x:c r="J126" s="80" t="n">
        <x:v>0.9</x:v>
      </x:c>
      <x:c r="K126" s="63" t="n">
        <x:v>0</x:v>
      </x:c>
      <x:c r="L126" s="63" t="str">
        <x:v>bec:E11:obs:flow:payments, bec:E11:obs:trend:payments</x:v>
      </x:c>
      <x:c r="M126" s="63" t="str">
        <x:v>No approved E1 evidence supports this domain. No audited cost base is available for this client.</x:v>
      </x:c>
      <x:c r="N126" s="63" t="str">
        <x:v>{"problems":["PAYMENTS_INEFFICIENCY","SUPPLY_CHAIN_RISK"],"solutions":["PAYMENTS","SUPPLY_CHAIN_FINANCE","TRADE_FINANCE"],"timing":["supplier payment runs"]}</x:v>
      </x:c>
    </x:row>
    <x:row r="127">
      <x:c r="A127" s="63" t="str">
        <x:v>E11</x:v>
      </x:c>
      <x:c r="B127" s="63" t="str">
        <x:v>Pepkor Holdings</x:v>
      </x:c>
      <x:c r="C127" s="63" t="str">
        <x:v>consumer</x:v>
      </x:c>
      <x:c r="D127" s="63" t="str">
        <x:v>twin:E11:2026-06-30:3.1.0</x:v>
      </x:c>
      <x:c r="E127" s="63" t="str">
        <x:v>WORKING_CAPITAL_CYCLE</x:v>
      </x:c>
      <x:c r="F127" s="63" t="str">
        <x:v>Working-capital cycle</x:v>
      </x:c>
      <x:c r="G127" s="63" t="str">
        <x:v>INFERRED</x:v>
      </x:c>
      <x:c r="H127" s="63" t="str">
        <x:v>OBSERVED</x:v>
      </x:c>
      <x:c r="I127" s="63" t="str">
        <x:v>E0</x:v>
      </x:c>
      <x:c r="J127" s="80" t="n">
        <x:v>0.95</x:v>
      </x:c>
      <x:c r="K127" s="63" t="n">
        <x:v>0</x:v>
      </x:c>
      <x:c r="L127" s="63" t="str">
        <x:v>bec:E11:obs:events:trade-90d, bec:E11:obs:events:trade-90d-value, bec:E11:obs:flow:collections, bec:E11:obs:flow:payments, bec:E11:obs:flow:trade-finance, bec:E11:obs:latent:working_capital_intensity, bec:E11:obs:trend:collections, bec:E11:obs:trend:payments, bec:E11:obs:trend:trade-finance</x:v>
      </x:c>
      <x:c r="M127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27" s="63" t="str">
        <x:v>{"problems":["WORKING_CAPITAL_PRESSURE","SUPPLY_CHAIN_RISK"],"solutions":["WORKING_CAPITAL_REVOLVING","SUPPLY_CHAIN_FINANCE","TRADE_FINANCE"],"timing":["cash-conversion pressure points"]}</x:v>
      </x:c>
    </x:row>
    <x:row r="128">
      <x:c r="A128" s="63" t="str">
        <x:v>E11</x:v>
      </x:c>
      <x:c r="B128" s="63" t="str">
        <x:v>Pepkor Holdings</x:v>
      </x:c>
      <x:c r="C128" s="63" t="str">
        <x:v>consumer</x:v>
      </x:c>
      <x:c r="D128" s="63" t="str">
        <x:v>twin:E11:2026-06-30:3.1.0</x:v>
      </x:c>
      <x:c r="E128" s="63" t="str">
        <x:v>FUNDING_STRUCTURE</x:v>
      </x:c>
      <x:c r="F128" s="63" t="str">
        <x:v>Funding structure</x:v>
      </x:c>
      <x:c r="G128" s="63" t="str">
        <x:v>INFERRED</x:v>
      </x:c>
      <x:c r="H128" s="63" t="str">
        <x:v>OBSERVED</x:v>
      </x:c>
      <x:c r="I128" s="63" t="str">
        <x:v>E0</x:v>
      </x:c>
      <x:c r="J128" s="80" t="n">
        <x:v>0.95</x:v>
      </x:c>
      <x:c r="K128" s="63" t="n">
        <x:v>0</x:v>
      </x:c>
      <x:c r="L128" s="63" t="str">
        <x:v>bec:E11:obs:latent:financing_need, bec:PEPKOR-2025-DEBT</x:v>
      </x:c>
      <x:c r="M128" s="63" t="str">
        <x:v>No approved E1 evidence supports this domain. No audited debt or facility disclosure is available for this client.; full debt maturity ladder by instrument and tenor</x:v>
      </x:c>
      <x:c r="N128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29">
      <x:c r="A129" s="63" t="str">
        <x:v>E11</x:v>
      </x:c>
      <x:c r="B129" s="63" t="str">
        <x:v>Pepkor Holdings</x:v>
      </x:c>
      <x:c r="C129" s="63" t="str">
        <x:v>consumer</x:v>
      </x:c>
      <x:c r="D129" s="63" t="str">
        <x:v>twin:E11:2026-06-30:3.1.0</x:v>
      </x:c>
      <x:c r="E129" s="63" t="str">
        <x:v>LIQUIDITY_AND_BUFFER</x:v>
      </x:c>
      <x:c r="F129" s="63" t="str">
        <x:v>Liquidity and cash buffer</x:v>
      </x:c>
      <x:c r="G129" s="63" t="str">
        <x:v>INFERRED</x:v>
      </x:c>
      <x:c r="H129" s="63" t="str">
        <x:v>OBSERVED</x:v>
      </x:c>
      <x:c r="I129" s="63" t="str">
        <x:v>E0</x:v>
      </x:c>
      <x:c r="J129" s="80" t="n">
        <x:v>0.9</x:v>
      </x:c>
      <x:c r="K129" s="63" t="n">
        <x:v>0</x:v>
      </x:c>
      <x:c r="L129" s="63" t="str">
        <x:v>bec:E11:obs:flow:liquidity, bec:E11:obs:latent:liquidity_volatility, bec:E11:obs:trend:liquidity, bec:PEPKOR-2025-CASH</x:v>
      </x:c>
      <x:c r="M129" s="63" t="str">
        <x:v>undrawn committed facility headroom</x:v>
      </x:c>
      <x:c r="N129" s="63" t="str">
        <x:v>{"problems":["LIQUIDITY_FRAGMENTATION","REFINANCING_CLIFF"],"solutions":["LIQUIDITY_CASH_MANAGEMENT","WORKING_CAPITAL_REVOLVING"],"timing":["buffer depletion"]}</x:v>
      </x:c>
    </x:row>
    <x:row r="130">
      <x:c r="A130" s="63" t="str">
        <x:v>E11</x:v>
      </x:c>
      <x:c r="B130" s="63" t="str">
        <x:v>Pepkor Holdings</x:v>
      </x:c>
      <x:c r="C130" s="63" t="str">
        <x:v>consumer</x:v>
      </x:c>
      <x:c r="D130" s="63" t="str">
        <x:v>twin:E11:2026-06-30:3.1.0</x:v>
      </x:c>
      <x:c r="E130" s="63" t="str">
        <x:v>OPERATING_MODEL</x:v>
      </x:c>
      <x:c r="F130" s="63" t="str">
        <x:v>Operating model</x:v>
      </x:c>
      <x:c r="G130" s="63" t="str">
        <x:v>SUPPORTED</x:v>
      </x:c>
      <x:c r="H130" s="63" t="str">
        <x:v>OBSERVED</x:v>
      </x:c>
      <x:c r="I130" s="63" t="str">
        <x:v>E0</x:v>
      </x:c>
      <x:c r="J130" s="80" t="n">
        <x:v>0.7</x:v>
      </x:c>
      <x:c r="K130" s="63" t="n">
        <x:v>0</x:v>
      </x:c>
      <x:c r="L130" s="63" t="str">
        <x:v>bec:E11:obs:events:trade-90d, bec:E11:obs:flow:trade-finance, bec:E11:obs:latent:operating_scale, bec:E11:obs:latent:relationship_complexity, bec:E11:obs:relationship-breadth, bec:E11:obs:trend:trade-finance, bec:E11:struct:operating-model</x:v>
      </x:c>
      <x:c r="M130" s="63" t="str">
        <x:v>client-specific ERP, shared-service and treasury system detail</x:v>
      </x:c>
      <x:c r="N130" s="63" t="str">
        <x:v>{"problems":["TREASURY_CENTRALISATION","OPERATIONAL_RESILIENCE"],"solutions":["PAYMENTS","LIQUIDITY_CASH_MANAGEMENT","COLLECTIONS"],"timing":["ERP and treasury system change windows"]}</x:v>
      </x:c>
    </x:row>
    <x:row r="131">
      <x:c r="A131" s="63" t="str">
        <x:v>E11</x:v>
      </x:c>
      <x:c r="B131" s="63" t="str">
        <x:v>Pepkor Holdings</x:v>
      </x:c>
      <x:c r="C131" s="63" t="str">
        <x:v>consumer</x:v>
      </x:c>
      <x:c r="D131" s="63" t="str">
        <x:v>twin:E11:2026-06-30:3.1.0</x:v>
      </x:c>
      <x:c r="E131" s="63" t="str">
        <x:v>GEOGRAPHIC_EXPOSURE</x:v>
      </x:c>
      <x:c r="F131" s="63" t="str">
        <x:v>Geographic exposure</x:v>
      </x:c>
      <x:c r="G131" s="63" t="str">
        <x:v>SUPPORTED</x:v>
      </x:c>
      <x:c r="H131" s="63" t="str">
        <x:v>OBSERVED</x:v>
      </x:c>
      <x:c r="I131" s="63" t="str">
        <x:v>E0</x:v>
      </x:c>
      <x:c r="J131" s="80" t="n">
        <x:v>0.75</x:v>
      </x:c>
      <x:c r="K131" s="63" t="n">
        <x:v>0</x:v>
      </x:c>
      <x:c r="L131" s="63" t="str">
        <x:v>bec:E11:obs:corridor-name:0, bec:E11:obs:corridor-name:1, bec:E11:obs:corridor-name:2, bec:E11:obs:corridor:0, bec:E11:obs:corridor:1, bec:E11:obs:corridor:2, bec:E11:obs:country-count, bec:E11:obs:flow:cross-border-fx, bec:E11:obs:latent:international_exposure, bec:E11:obs:trend:cross-border-fx</x:v>
      </x:c>
      <x:c r="M131" s="63" t="str"/>
      <x:c r="N131" s="63" t="str">
        <x:v>{"problems":["FX_EXPOSURE","SUPPLY_CHAIN_RISK"],"solutions":["CROSS_BORDER_FX","TRADE_FINANCE"],"timing":["corridor seasonality"]}</x:v>
      </x:c>
    </x:row>
    <x:row r="132">
      <x:c r="A132" s="63" t="str">
        <x:v>E11</x:v>
      </x:c>
      <x:c r="B132" s="63" t="str">
        <x:v>Pepkor Holdings</x:v>
      </x:c>
      <x:c r="C132" s="63" t="str">
        <x:v>consumer</x:v>
      </x:c>
      <x:c r="D132" s="63" t="str">
        <x:v>twin:E11:2026-06-30:3.1.0</x:v>
      </x:c>
      <x:c r="E132" s="63" t="str">
        <x:v>CURRENCY_AND_COMMODITY_EXPOSURE</x:v>
      </x:c>
      <x:c r="F132" s="63" t="str">
        <x:v>Currency and commodity exposure</x:v>
      </x:c>
      <x:c r="G132" s="63" t="str">
        <x:v>INFERRED</x:v>
      </x:c>
      <x:c r="H132" s="63" t="str">
        <x:v>OBSERVED</x:v>
      </x:c>
      <x:c r="I132" s="63" t="str">
        <x:v>E0</x:v>
      </x:c>
      <x:c r="J132" s="80" t="n">
        <x:v>0.85</x:v>
      </x:c>
      <x:c r="K132" s="63" t="n">
        <x:v>0</x:v>
      </x:c>
      <x:c r="L132" s="63" t="str">
        <x:v>bec:E11:obs:currency-pair:0, bec:E11:obs:currency-pair:1, bec:E11:obs:currency-pair:2, bec:E11:obs:currency:0, bec:E11:obs:currency:1, bec:E11:obs:currency:2, bec:E11:obs:flow:cross-border-fx, bec:E11:obs:trend:cross-border-fx</x:v>
      </x:c>
      <x:c r="M132" s="63" t="str">
        <x:v>hedge ratio; signed currency inflow/outflow split</x:v>
      </x:c>
      <x:c r="N132" s="63" t="str">
        <x:v>{"problems":["FX_EXPOSURE","COMMODITY_EXPOSURE"],"solutions":["CROSS_BORDER_FX","COMMODITY_RISK_MANAGEMENT"],"timing":["hedge roll dates"]}</x:v>
      </x:c>
    </x:row>
    <x:row r="133">
      <x:c r="A133" s="63" t="str">
        <x:v>E11</x:v>
      </x:c>
      <x:c r="B133" s="63" t="str">
        <x:v>Pepkor Holdings</x:v>
      </x:c>
      <x:c r="C133" s="63" t="str">
        <x:v>consumer</x:v>
      </x:c>
      <x:c r="D133" s="63" t="str">
        <x:v>twin:E11:2026-06-30:3.1.0</x:v>
      </x:c>
      <x:c r="E133" s="63" t="str">
        <x:v>PROJECTS_SUBSIDIARIES_SPVS</x:v>
      </x:c>
      <x:c r="F133" s="63" t="str">
        <x:v>Projects, subsidiaries and SPVs</x:v>
      </x:c>
      <x:c r="G133" s="63" t="str">
        <x:v>UNKNOWN</x:v>
      </x:c>
      <x:c r="H133" s="63" t="str">
        <x:v>SCENARIO</x:v>
      </x:c>
      <x:c r="I133" s="63" t="str">
        <x:v>E0</x:v>
      </x:c>
      <x:c r="J133" s="80" t="n">
        <x:v>0.7</x:v>
      </x:c>
      <x:c r="K133" s="63"/>
      <x:c r="L133" s="63" t="str"/>
      <x:c r="M133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33" s="63" t="str">
        <x:v>{"problems":["PROJECT_MOBILISATION","GUARANTEE_OR_COLLATERAL_REQUIREMENT"],"solutions":["PROJECT_FINANCE","GUARANTEES_AND_LC","ESCROW_AND_AGENCY"],"timing":["project financial close"]}</x:v>
      </x:c>
    </x:row>
    <x:row r="134">
      <x:c r="A134" s="63" t="str">
        <x:v>E11</x:v>
      </x:c>
      <x:c r="B134" s="63" t="str">
        <x:v>Pepkor Holdings</x:v>
      </x:c>
      <x:c r="C134" s="63" t="str">
        <x:v>consumer</x:v>
      </x:c>
      <x:c r="D134" s="63" t="str">
        <x:v>twin:E11:2026-06-30:3.1.0</x:v>
      </x:c>
      <x:c r="E134" s="63" t="str">
        <x:v>STAKEHOLDER_RESPONSIBILITY</x:v>
      </x:c>
      <x:c r="F134" s="63" t="str">
        <x:v>Stakeholder responsibility model</x:v>
      </x:c>
      <x:c r="G134" s="63" t="str">
        <x:v>SUPPORTED</x:v>
      </x:c>
      <x:c r="H134" s="63" t="str">
        <x:v>IDENTIFIED_BOUND</x:v>
      </x:c>
      <x:c r="I134" s="63" t="str">
        <x:v>E0</x:v>
      </x:c>
      <x:c r="J134" s="80" t="n">
        <x:v>0.6</x:v>
      </x:c>
      <x:c r="K134" s="63" t="n">
        <x:v>0</x:v>
      </x:c>
      <x:c r="L134" s="63" t="str">
        <x:v>bec:E11:struct:responsibility-model, bec:E11:struct:responsibility:fx_exposure, bec:E11:struct:responsibility:refinancing_cliff, bec:E11:struct:responsibility:working_capital_pressure</x:v>
      </x:c>
      <x:c r="M134" s="63" t="str">
        <x:v>client-confirmed decision authority and mandate limits</x:v>
      </x:c>
      <x:c r="N134" s="63" t="str">
        <x:v>{"problems":[],"solutions":[],"timing":["decision-authority availability"]}</x:v>
      </x:c>
    </x:row>
    <x:row r="135">
      <x:c r="A135" s="63" t="str">
        <x:v>E11</x:v>
      </x:c>
      <x:c r="B135" s="63" t="str">
        <x:v>Pepkor Holdings</x:v>
      </x:c>
      <x:c r="C135" s="63" t="str">
        <x:v>consumer</x:v>
      </x:c>
      <x:c r="D135" s="63" t="str">
        <x:v>twin:E11:2026-06-30:3.1.0</x:v>
      </x:c>
      <x:c r="E135" s="63" t="str">
        <x:v>BUSINESS_AND_FINANCIAL_RISKS</x:v>
      </x:c>
      <x:c r="F135" s="63" t="str">
        <x:v>Business and financial risks</x:v>
      </x:c>
      <x:c r="G135" s="63" t="str">
        <x:v>SUPPORTED</x:v>
      </x:c>
      <x:c r="H135" s="63" t="str">
        <x:v>IDENTIFIED_BOUND</x:v>
      </x:c>
      <x:c r="I135" s="63" t="str">
        <x:v>E0</x:v>
      </x:c>
      <x:c r="J135" s="80" t="n">
        <x:v>0.65</x:v>
      </x:c>
      <x:c r="K135" s="63" t="n">
        <x:v>0</x:v>
      </x:c>
      <x:c r="L135" s="63" t="str">
        <x:v>bec:E11:struct:risk:0, bec:E11:struct:risk:1, bec:E11:struct:risk:2</x:v>
      </x:c>
      <x:c r="M135" s="63" t="str">
        <x:v>client risk-report extraction</x:v>
      </x:c>
      <x:c r="N135" s="63" t="str">
        <x:v>{"problems":["OPERATIONAL_RESILIENCE","COMMODITY_EXPOSURE"],"solutions":["COMMODITY_RISK_MANAGEMENT","GUARANTEES_AND_LC"],"timing":["risk-review cycle"]}</x:v>
      </x:c>
    </x:row>
    <x:row r="136">
      <x:c r="A136" s="63" t="str">
        <x:v>E11</x:v>
      </x:c>
      <x:c r="B136" s="63" t="str">
        <x:v>Pepkor Holdings</x:v>
      </x:c>
      <x:c r="C136" s="63" t="str">
        <x:v>consumer</x:v>
      </x:c>
      <x:c r="D136" s="63" t="str">
        <x:v>twin:E11:2026-06-30:3.1.0</x:v>
      </x:c>
      <x:c r="E136" s="63" t="str">
        <x:v>STRATEGY_ACTIONS_AND_ESG</x:v>
      </x:c>
      <x:c r="F136" s="63" t="str">
        <x:v>Strategy, corporate actions and ESG activity</x:v>
      </x:c>
      <x:c r="G136" s="63" t="str">
        <x:v>SUPPORTED</x:v>
      </x:c>
      <x:c r="H136" s="63" t="str">
        <x:v>OBSERVED</x:v>
      </x:c>
      <x:c r="I136" s="63" t="str">
        <x:v>E0</x:v>
      </x:c>
      <x:c r="J136" s="80" t="n">
        <x:v>0.55</x:v>
      </x:c>
      <x:c r="K136" s="63" t="n">
        <x:v>0</x:v>
      </x:c>
      <x:c r="L136" s="63" t="str">
        <x:v>bec:E11:obs:latent:event_intensity</x:v>
      </x:c>
      <x:c r="M136" s="63" t="str">
        <x:v>announced corporate actions; evidence-based ESG activity and transition targets</x:v>
      </x:c>
      <x:c r="N136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37">
      <x:c r="A137" s="63" t="str">
        <x:v>E12</x:v>
      </x:c>
      <x:c r="B137" s="63" t="str">
        <x:v>Clicks Group</x:v>
      </x:c>
      <x:c r="C137" s="63" t="str">
        <x:v>consumer</x:v>
      </x:c>
      <x:c r="D137" s="63" t="str">
        <x:v>twin:E12:2026-06-30:3.1.0</x:v>
      </x:c>
      <x:c r="E137" s="63" t="str">
        <x:v>REVENUE_ENGINE</x:v>
      </x:c>
      <x:c r="F137" s="63" t="str">
        <x:v>Revenue engine</x:v>
      </x:c>
      <x:c r="G137" s="63" t="str">
        <x:v>SUPPORTED</x:v>
      </x:c>
      <x:c r="H137" s="63" t="str">
        <x:v>OBSERVED</x:v>
      </x:c>
      <x:c r="I137" s="63" t="str">
        <x:v>E0</x:v>
      </x:c>
      <x:c r="J137" s="80" t="n">
        <x:v>0.95</x:v>
      </x:c>
      <x:c r="K137" s="63" t="n">
        <x:v>0</x:v>
      </x:c>
      <x:c r="L137" s="63" t="str">
        <x:v>bec:CLICKS-2025-REV, bec:E12:obs:flow:collections, bec:E12:obs:trend:collections</x:v>
      </x:c>
      <x:c r="M137" s="63" t="str"/>
      <x:c r="N137" s="63" t="str">
        <x:v>{"problems":["COLLECTIONS_INEFFICIENCY","WORKING_CAPITAL_PRESSURE"],"solutions":["COLLECTIONS","SUPPLY_CHAIN_FINANCE"],"timing":["collection seasonality"]}</x:v>
      </x:c>
    </x:row>
    <x:row r="138">
      <x:c r="A138" s="63" t="str">
        <x:v>E12</x:v>
      </x:c>
      <x:c r="B138" s="63" t="str">
        <x:v>Clicks Group</x:v>
      </x:c>
      <x:c r="C138" s="63" t="str">
        <x:v>consumer</x:v>
      </x:c>
      <x:c r="D138" s="63" t="str">
        <x:v>twin:E12:2026-06-30:3.1.0</x:v>
      </x:c>
      <x:c r="E138" s="63" t="str">
        <x:v>COST_ENGINE</x:v>
      </x:c>
      <x:c r="F138" s="63" t="str">
        <x:v>Cost engine</x:v>
      </x:c>
      <x:c r="G138" s="63" t="str">
        <x:v>SUPPORTED</x:v>
      </x:c>
      <x:c r="H138" s="63" t="str">
        <x:v>OBSERVED</x:v>
      </x:c>
      <x:c r="I138" s="63" t="str">
        <x:v>E0</x:v>
      </x:c>
      <x:c r="J138" s="80" t="n">
        <x:v>0.9</x:v>
      </x:c>
      <x:c r="K138" s="63" t="n">
        <x:v>0</x:v>
      </x:c>
      <x:c r="L138" s="63" t="str">
        <x:v>bec:CLICKS-2025-PAY, bec:E12:obs:flow:payments, bec:E12:obs:trend:payments</x:v>
      </x:c>
      <x:c r="M138" s="63" t="str">
        <x:v>No approved E1 evidence supports this domain. No audited cost base is available for this client.</x:v>
      </x:c>
      <x:c r="N138" s="63" t="str">
        <x:v>{"problems":["PAYMENTS_INEFFICIENCY","SUPPLY_CHAIN_RISK"],"solutions":["PAYMENTS","SUPPLY_CHAIN_FINANCE","TRADE_FINANCE"],"timing":["supplier payment runs"]}</x:v>
      </x:c>
    </x:row>
    <x:row r="139">
      <x:c r="A139" s="63" t="str">
        <x:v>E12</x:v>
      </x:c>
      <x:c r="B139" s="63" t="str">
        <x:v>Clicks Group</x:v>
      </x:c>
      <x:c r="C139" s="63" t="str">
        <x:v>consumer</x:v>
      </x:c>
      <x:c r="D139" s="63" t="str">
        <x:v>twin:E12:2026-06-30:3.1.0</x:v>
      </x:c>
      <x:c r="E139" s="63" t="str">
        <x:v>WORKING_CAPITAL_CYCLE</x:v>
      </x:c>
      <x:c r="F139" s="63" t="str">
        <x:v>Working-capital cycle</x:v>
      </x:c>
      <x:c r="G139" s="63" t="str">
        <x:v>INFERRED</x:v>
      </x:c>
      <x:c r="H139" s="63" t="str">
        <x:v>OBSERVED</x:v>
      </x:c>
      <x:c r="I139" s="63" t="str">
        <x:v>E0</x:v>
      </x:c>
      <x:c r="J139" s="80" t="n">
        <x:v>0.95</x:v>
      </x:c>
      <x:c r="K139" s="63" t="n">
        <x:v>0</x:v>
      </x:c>
      <x:c r="L139" s="63" t="str">
        <x:v>bec:CLICKS-2025-PAY, bec:E12:obs:events:trade-90d, bec:E12:obs:events:trade-90d-value, bec:E12:obs:flow:collections, bec:E12:obs:flow:payments, bec:E12:obs:flow:trade-finance, bec:E12:obs:latent:working_capital_intensity, bec:E12:obs:trend:collections, bec:E12:obs:trend:payments, bec:E12:obs:trend:trade-finance</x:v>
      </x:c>
      <x:c r="M139" s="63" t="str">
        <x:v>CCC: inventories_close; CCC: inventories_open;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39" s="63" t="str">
        <x:v>{"problems":["WORKING_CAPITAL_PRESSURE","SUPPLY_CHAIN_RISK"],"solutions":["WORKING_CAPITAL_REVOLVING","SUPPLY_CHAIN_FINANCE","TRADE_FINANCE"],"timing":["cash-conversion pressure points"]}</x:v>
      </x:c>
    </x:row>
    <x:row r="140">
      <x:c r="A140" s="63" t="str">
        <x:v>E12</x:v>
      </x:c>
      <x:c r="B140" s="63" t="str">
        <x:v>Clicks Group</x:v>
      </x:c>
      <x:c r="C140" s="63" t="str">
        <x:v>consumer</x:v>
      </x:c>
      <x:c r="D140" s="63" t="str">
        <x:v>twin:E12:2026-06-30:3.1.0</x:v>
      </x:c>
      <x:c r="E140" s="63" t="str">
        <x:v>FUNDING_STRUCTURE</x:v>
      </x:c>
      <x:c r="F140" s="63" t="str">
        <x:v>Funding structure</x:v>
      </x:c>
      <x:c r="G140" s="63" t="str">
        <x:v>INFERRED</x:v>
      </x:c>
      <x:c r="H140" s="63" t="str">
        <x:v>OBSERVED</x:v>
      </x:c>
      <x:c r="I140" s="63" t="str">
        <x:v>E0</x:v>
      </x:c>
      <x:c r="J140" s="80" t="n">
        <x:v>0.95</x:v>
      </x:c>
      <x:c r="K140" s="63" t="n">
        <x:v>0</x:v>
      </x:c>
      <x:c r="L140" s="63" t="str">
        <x:v>bec:E12:obs:latent:financing_need</x:v>
      </x:c>
      <x:c r="M140" s="63" t="str">
        <x:v>LEVERAGE_PROXY: debt; No approved E1 evidence supports this domain. No audited debt or facility disclosure is available for this client.; REFINANCING_EXPOSURE_12M: debt_maturing_in_horizon; full debt maturity ladder by instrument and tenor</x:v>
      </x:c>
      <x:c r="N140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41">
      <x:c r="A141" s="63" t="str">
        <x:v>E12</x:v>
      </x:c>
      <x:c r="B141" s="63" t="str">
        <x:v>Clicks Group</x:v>
      </x:c>
      <x:c r="C141" s="63" t="str">
        <x:v>consumer</x:v>
      </x:c>
      <x:c r="D141" s="63" t="str">
        <x:v>twin:E12:2026-06-30:3.1.0</x:v>
      </x:c>
      <x:c r="E141" s="63" t="str">
        <x:v>LIQUIDITY_AND_BUFFER</x:v>
      </x:c>
      <x:c r="F141" s="63" t="str">
        <x:v>Liquidity and cash buffer</x:v>
      </x:c>
      <x:c r="G141" s="63" t="str">
        <x:v>INFERRED</x:v>
      </x:c>
      <x:c r="H141" s="63" t="str">
        <x:v>OBSERVED</x:v>
      </x:c>
      <x:c r="I141" s="63" t="str">
        <x:v>E0</x:v>
      </x:c>
      <x:c r="J141" s="80" t="n">
        <x:v>0.9</x:v>
      </x:c>
      <x:c r="K141" s="63" t="n">
        <x:v>0</x:v>
      </x:c>
      <x:c r="L141" s="63" t="str">
        <x:v>bec:CLICKS-2025-CASH, bec:E12:obs:flow:liquidity, bec:E12:obs:latent:liquidity_volatility, bec:E12:obs:trend:liquidity</x:v>
      </x:c>
      <x:c r="M141" s="63" t="str">
        <x:v>CASH_COVER: near_term_obligations; LIQUIDITY_BUFFER: near_term_obligations; undrawn committed facility headroom</x:v>
      </x:c>
      <x:c r="N141" s="63" t="str">
        <x:v>{"problems":["LIQUIDITY_FRAGMENTATION","REFINANCING_CLIFF"],"solutions":["LIQUIDITY_CASH_MANAGEMENT","WORKING_CAPITAL_REVOLVING"],"timing":["buffer depletion"]}</x:v>
      </x:c>
    </x:row>
    <x:row r="142">
      <x:c r="A142" s="63" t="str">
        <x:v>E12</x:v>
      </x:c>
      <x:c r="B142" s="63" t="str">
        <x:v>Clicks Group</x:v>
      </x:c>
      <x:c r="C142" s="63" t="str">
        <x:v>consumer</x:v>
      </x:c>
      <x:c r="D142" s="63" t="str">
        <x:v>twin:E12:2026-06-30:3.1.0</x:v>
      </x:c>
      <x:c r="E142" s="63" t="str">
        <x:v>OPERATING_MODEL</x:v>
      </x:c>
      <x:c r="F142" s="63" t="str">
        <x:v>Operating model</x:v>
      </x:c>
      <x:c r="G142" s="63" t="str">
        <x:v>SUPPORTED</x:v>
      </x:c>
      <x:c r="H142" s="63" t="str">
        <x:v>OBSERVED</x:v>
      </x:c>
      <x:c r="I142" s="63" t="str">
        <x:v>E0</x:v>
      </x:c>
      <x:c r="J142" s="80" t="n">
        <x:v>0.7</x:v>
      </x:c>
      <x:c r="K142" s="63" t="n">
        <x:v>0</x:v>
      </x:c>
      <x:c r="L142" s="63" t="str">
        <x:v>bec:E12:obs:events:trade-90d, bec:E12:obs:flow:trade-finance, bec:E12:obs:latent:operating_scale, bec:E12:obs:latent:relationship_complexity, bec:E12:obs:relationship-breadth, bec:E12:obs:trend:trade-finance, bec:E12:struct:operating-model</x:v>
      </x:c>
      <x:c r="M142" s="63" t="str">
        <x:v>client-specific ERP, shared-service and treasury system detail</x:v>
      </x:c>
      <x:c r="N142" s="63" t="str">
        <x:v>{"problems":["TREASURY_CENTRALISATION","OPERATIONAL_RESILIENCE"],"solutions":["PAYMENTS","LIQUIDITY_CASH_MANAGEMENT","COLLECTIONS"],"timing":["ERP and treasury system change windows"]}</x:v>
      </x:c>
    </x:row>
    <x:row r="143">
      <x:c r="A143" s="63" t="str">
        <x:v>E12</x:v>
      </x:c>
      <x:c r="B143" s="63" t="str">
        <x:v>Clicks Group</x:v>
      </x:c>
      <x:c r="C143" s="63" t="str">
        <x:v>consumer</x:v>
      </x:c>
      <x:c r="D143" s="63" t="str">
        <x:v>twin:E12:2026-06-30:3.1.0</x:v>
      </x:c>
      <x:c r="E143" s="63" t="str">
        <x:v>GEOGRAPHIC_EXPOSURE</x:v>
      </x:c>
      <x:c r="F143" s="63" t="str">
        <x:v>Geographic exposure</x:v>
      </x:c>
      <x:c r="G143" s="63" t="str">
        <x:v>SUPPORTED</x:v>
      </x:c>
      <x:c r="H143" s="63" t="str">
        <x:v>OBSERVED</x:v>
      </x:c>
      <x:c r="I143" s="63" t="str">
        <x:v>E0</x:v>
      </x:c>
      <x:c r="J143" s="80" t="n">
        <x:v>0.75</x:v>
      </x:c>
      <x:c r="K143" s="63" t="n">
        <x:v>0</x:v>
      </x:c>
      <x:c r="L143" s="63" t="str">
        <x:v>bec:E12:obs:corridor-name:0, bec:E12:obs:corridor-name:1, bec:E12:obs:corridor-name:2, bec:E12:obs:corridor:0, bec:E12:obs:corridor:1, bec:E12:obs:corridor:2, bec:E12:obs:country-count, bec:E12:obs:flow:cross-border-fx, bec:E12:obs:latent:international_exposure, bec:E12:obs:trend:cross-border-fx</x:v>
      </x:c>
      <x:c r="M143" s="63" t="str"/>
      <x:c r="N143" s="63" t="str">
        <x:v>{"problems":["FX_EXPOSURE","SUPPLY_CHAIN_RISK"],"solutions":["CROSS_BORDER_FX","TRADE_FINANCE"],"timing":["corridor seasonality"]}</x:v>
      </x:c>
    </x:row>
    <x:row r="144">
      <x:c r="A144" s="63" t="str">
        <x:v>E12</x:v>
      </x:c>
      <x:c r="B144" s="63" t="str">
        <x:v>Clicks Group</x:v>
      </x:c>
      <x:c r="C144" s="63" t="str">
        <x:v>consumer</x:v>
      </x:c>
      <x:c r="D144" s="63" t="str">
        <x:v>twin:E12:2026-06-30:3.1.0</x:v>
      </x:c>
      <x:c r="E144" s="63" t="str">
        <x:v>CURRENCY_AND_COMMODITY_EXPOSURE</x:v>
      </x:c>
      <x:c r="F144" s="63" t="str">
        <x:v>Currency and commodity exposure</x:v>
      </x:c>
      <x:c r="G144" s="63" t="str">
        <x:v>INFERRED</x:v>
      </x:c>
      <x:c r="H144" s="63" t="str">
        <x:v>OBSERVED</x:v>
      </x:c>
      <x:c r="I144" s="63" t="str">
        <x:v>E0</x:v>
      </x:c>
      <x:c r="J144" s="80" t="n">
        <x:v>0.85</x:v>
      </x:c>
      <x:c r="K144" s="63" t="n">
        <x:v>0</x:v>
      </x:c>
      <x:c r="L144" s="63" t="str">
        <x:v>bec:E12:obs:currency-pair:0, bec:E12:obs:currency-pair:1, bec:E12:obs:currency-pair:2, bec:E12:obs:currency:0, bec:E12:obs:currency:1, bec:E12:obs:currency:2, bec:E12:obs:flow:cross-border-fx, bec:E12:obs:trend:cross-border-fx</x:v>
      </x:c>
      <x:c r="M144" s="63" t="str">
        <x:v>hedge ratio; signed currency inflow/outflow split</x:v>
      </x:c>
      <x:c r="N144" s="63" t="str">
        <x:v>{"problems":["FX_EXPOSURE","COMMODITY_EXPOSURE"],"solutions":["CROSS_BORDER_FX","COMMODITY_RISK_MANAGEMENT"],"timing":["hedge roll dates"]}</x:v>
      </x:c>
    </x:row>
    <x:row r="145">
      <x:c r="A145" s="63" t="str">
        <x:v>E12</x:v>
      </x:c>
      <x:c r="B145" s="63" t="str">
        <x:v>Clicks Group</x:v>
      </x:c>
      <x:c r="C145" s="63" t="str">
        <x:v>consumer</x:v>
      </x:c>
      <x:c r="D145" s="63" t="str">
        <x:v>twin:E12:2026-06-30:3.1.0</x:v>
      </x:c>
      <x:c r="E145" s="63" t="str">
        <x:v>PROJECTS_SUBSIDIARIES_SPVS</x:v>
      </x:c>
      <x:c r="F145" s="63" t="str">
        <x:v>Projects, subsidiaries and SPVs</x:v>
      </x:c>
      <x:c r="G145" s="63" t="str">
        <x:v>UNKNOWN</x:v>
      </x:c>
      <x:c r="H145" s="63" t="str">
        <x:v>SCENARIO</x:v>
      </x:c>
      <x:c r="I145" s="63" t="str">
        <x:v>E0</x:v>
      </x:c>
      <x:c r="J145" s="80" t="n">
        <x:v>0.7</x:v>
      </x:c>
      <x:c r="K145" s="63"/>
      <x:c r="L145" s="63" t="str"/>
      <x:c r="M145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45" s="63" t="str">
        <x:v>{"problems":["PROJECT_MOBILISATION","GUARANTEE_OR_COLLATERAL_REQUIREMENT"],"solutions":["PROJECT_FINANCE","GUARANTEES_AND_LC","ESCROW_AND_AGENCY"],"timing":["project financial close"]}</x:v>
      </x:c>
    </x:row>
    <x:row r="146">
      <x:c r="A146" s="63" t="str">
        <x:v>E12</x:v>
      </x:c>
      <x:c r="B146" s="63" t="str">
        <x:v>Clicks Group</x:v>
      </x:c>
      <x:c r="C146" s="63" t="str">
        <x:v>consumer</x:v>
      </x:c>
      <x:c r="D146" s="63" t="str">
        <x:v>twin:E12:2026-06-30:3.1.0</x:v>
      </x:c>
      <x:c r="E146" s="63" t="str">
        <x:v>STAKEHOLDER_RESPONSIBILITY</x:v>
      </x:c>
      <x:c r="F146" s="63" t="str">
        <x:v>Stakeholder responsibility model</x:v>
      </x:c>
      <x:c r="G146" s="63" t="str">
        <x:v>SUPPORTED</x:v>
      </x:c>
      <x:c r="H146" s="63" t="str">
        <x:v>IDENTIFIED_BOUND</x:v>
      </x:c>
      <x:c r="I146" s="63" t="str">
        <x:v>E0</x:v>
      </x:c>
      <x:c r="J146" s="80" t="n">
        <x:v>0.6</x:v>
      </x:c>
      <x:c r="K146" s="63" t="n">
        <x:v>0</x:v>
      </x:c>
      <x:c r="L146" s="63" t="str">
        <x:v>bec:E12:struct:responsibility-model, bec:E12:struct:responsibility:fx_exposure, bec:E12:struct:responsibility:refinancing_cliff, bec:E12:struct:responsibility:working_capital_pressure</x:v>
      </x:c>
      <x:c r="M146" s="63" t="str">
        <x:v>client-confirmed decision authority and mandate limits</x:v>
      </x:c>
      <x:c r="N146" s="63" t="str">
        <x:v>{"problems":[],"solutions":[],"timing":["decision-authority availability"]}</x:v>
      </x:c>
    </x:row>
    <x:row r="147">
      <x:c r="A147" s="63" t="str">
        <x:v>E12</x:v>
      </x:c>
      <x:c r="B147" s="63" t="str">
        <x:v>Clicks Group</x:v>
      </x:c>
      <x:c r="C147" s="63" t="str">
        <x:v>consumer</x:v>
      </x:c>
      <x:c r="D147" s="63" t="str">
        <x:v>twin:E12:2026-06-30:3.1.0</x:v>
      </x:c>
      <x:c r="E147" s="63" t="str">
        <x:v>BUSINESS_AND_FINANCIAL_RISKS</x:v>
      </x:c>
      <x:c r="F147" s="63" t="str">
        <x:v>Business and financial risks</x:v>
      </x:c>
      <x:c r="G147" s="63" t="str">
        <x:v>SUPPORTED</x:v>
      </x:c>
      <x:c r="H147" s="63" t="str">
        <x:v>IDENTIFIED_BOUND</x:v>
      </x:c>
      <x:c r="I147" s="63" t="str">
        <x:v>E0</x:v>
      </x:c>
      <x:c r="J147" s="80" t="n">
        <x:v>0.65</x:v>
      </x:c>
      <x:c r="K147" s="63" t="n">
        <x:v>0</x:v>
      </x:c>
      <x:c r="L147" s="63" t="str">
        <x:v>bec:E12:struct:risk:0, bec:E12:struct:risk:1, bec:E12:struct:risk:2</x:v>
      </x:c>
      <x:c r="M147" s="63" t="str">
        <x:v>client risk-report extraction</x:v>
      </x:c>
      <x:c r="N147" s="63" t="str">
        <x:v>{"problems":["OPERATIONAL_RESILIENCE","COMMODITY_EXPOSURE"],"solutions":["COMMODITY_RISK_MANAGEMENT","GUARANTEES_AND_LC"],"timing":["risk-review cycle"]}</x:v>
      </x:c>
    </x:row>
    <x:row r="148">
      <x:c r="A148" s="63" t="str">
        <x:v>E12</x:v>
      </x:c>
      <x:c r="B148" s="63" t="str">
        <x:v>Clicks Group</x:v>
      </x:c>
      <x:c r="C148" s="63" t="str">
        <x:v>consumer</x:v>
      </x:c>
      <x:c r="D148" s="63" t="str">
        <x:v>twin:E12:2026-06-30:3.1.0</x:v>
      </x:c>
      <x:c r="E148" s="63" t="str">
        <x:v>STRATEGY_ACTIONS_AND_ESG</x:v>
      </x:c>
      <x:c r="F148" s="63" t="str">
        <x:v>Strategy, corporate actions and ESG activity</x:v>
      </x:c>
      <x:c r="G148" s="63" t="str">
        <x:v>SUPPORTED</x:v>
      </x:c>
      <x:c r="H148" s="63" t="str">
        <x:v>OBSERVED</x:v>
      </x:c>
      <x:c r="I148" s="63" t="str">
        <x:v>E0</x:v>
      </x:c>
      <x:c r="J148" s="80" t="n">
        <x:v>0.55</x:v>
      </x:c>
      <x:c r="K148" s="63" t="n">
        <x:v>0</x:v>
      </x:c>
      <x:c r="L148" s="63" t="str">
        <x:v>bec:E12:obs:latent:event_intensity</x:v>
      </x:c>
      <x:c r="M148" s="63" t="str">
        <x:v>announced corporate actions; evidence-based ESG activity and transition targets</x:v>
      </x:c>
      <x:c r="N148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49">
      <x:c r="A149" s="63" t="str">
        <x:v>E13</x:v>
      </x:c>
      <x:c r="B149" s="63" t="str">
        <x:v>NEPI Rockcastle</x:v>
      </x:c>
      <x:c r="C149" s="63" t="str">
        <x:v>real_estate</x:v>
      </x:c>
      <x:c r="D149" s="63" t="str">
        <x:v>twin:E13:2026-06-30:3.1.0</x:v>
      </x:c>
      <x:c r="E149" s="63" t="str">
        <x:v>REVENUE_ENGINE</x:v>
      </x:c>
      <x:c r="F149" s="63" t="str">
        <x:v>Revenue engine</x:v>
      </x:c>
      <x:c r="G149" s="63" t="str">
        <x:v>SUPPORTED</x:v>
      </x:c>
      <x:c r="H149" s="63" t="str">
        <x:v>OBSERVED</x:v>
      </x:c>
      <x:c r="I149" s="63" t="str">
        <x:v>E0</x:v>
      </x:c>
      <x:c r="J149" s="80" t="n">
        <x:v>0.95</x:v>
      </x:c>
      <x:c r="K149" s="63" t="n">
        <x:v>0</x:v>
      </x:c>
      <x:c r="L149" s="63" t="str">
        <x:v>bec:E13:obs:flow:collections, bec:E13:obs:trend:collections, bec:NEPI-2025-REV</x:v>
      </x:c>
      <x:c r="M149" s="63" t="str"/>
      <x:c r="N149" s="63" t="str">
        <x:v>{"problems":["COLLECTIONS_INEFFICIENCY","WORKING_CAPITAL_PRESSURE"],"solutions":["COLLECTIONS","SUPPLY_CHAIN_FINANCE"],"timing":["collection seasonality"]}</x:v>
      </x:c>
    </x:row>
    <x:row r="150">
      <x:c r="A150" s="63" t="str">
        <x:v>E13</x:v>
      </x:c>
      <x:c r="B150" s="63" t="str">
        <x:v>NEPI Rockcastle</x:v>
      </x:c>
      <x:c r="C150" s="63" t="str">
        <x:v>real_estate</x:v>
      </x:c>
      <x:c r="D150" s="63" t="str">
        <x:v>twin:E13:2026-06-30:3.1.0</x:v>
      </x:c>
      <x:c r="E150" s="63" t="str">
        <x:v>COST_ENGINE</x:v>
      </x:c>
      <x:c r="F150" s="63" t="str">
        <x:v>Cost engine</x:v>
      </x:c>
      <x:c r="G150" s="63" t="str">
        <x:v>SUPPORTED</x:v>
      </x:c>
      <x:c r="H150" s="63" t="str">
        <x:v>OBSERVED</x:v>
      </x:c>
      <x:c r="I150" s="63" t="str">
        <x:v>E0</x:v>
      </x:c>
      <x:c r="J150" s="80" t="n">
        <x:v>0.9</x:v>
      </x:c>
      <x:c r="K150" s="63" t="n">
        <x:v>0</x:v>
      </x:c>
      <x:c r="L150" s="63" t="str">
        <x:v>bec:E13:obs:flow:payments, bec:E13:obs:trend:payments</x:v>
      </x:c>
      <x:c r="M150" s="63" t="str">
        <x:v>No approved E1 evidence supports this domain. No audited cost base is available for this client.</x:v>
      </x:c>
      <x:c r="N150" s="63" t="str">
        <x:v>{"problems":["PAYMENTS_INEFFICIENCY","SUPPLY_CHAIN_RISK"],"solutions":["PAYMENTS","SUPPLY_CHAIN_FINANCE","TRADE_FINANCE"],"timing":["supplier payment runs"]}</x:v>
      </x:c>
    </x:row>
    <x:row r="151">
      <x:c r="A151" s="63" t="str">
        <x:v>E13</x:v>
      </x:c>
      <x:c r="B151" s="63" t="str">
        <x:v>NEPI Rockcastle</x:v>
      </x:c>
      <x:c r="C151" s="63" t="str">
        <x:v>real_estate</x:v>
      </x:c>
      <x:c r="D151" s="63" t="str">
        <x:v>twin:E13:2026-06-30:3.1.0</x:v>
      </x:c>
      <x:c r="E151" s="63" t="str">
        <x:v>WORKING_CAPITAL_CYCLE</x:v>
      </x:c>
      <x:c r="F151" s="63" t="str">
        <x:v>Working-capital cycle</x:v>
      </x:c>
      <x:c r="G151" s="63" t="str">
        <x:v>INFERRED</x:v>
      </x:c>
      <x:c r="H151" s="63" t="str">
        <x:v>OBSERVED</x:v>
      </x:c>
      <x:c r="I151" s="63" t="str">
        <x:v>E0</x:v>
      </x:c>
      <x:c r="J151" s="80" t="n">
        <x:v>0.95</x:v>
      </x:c>
      <x:c r="K151" s="63" t="n">
        <x:v>0</x:v>
      </x:c>
      <x:c r="L151" s="63" t="str">
        <x:v>bec:E13:obs:events:trade-90d, bec:E13:obs:events:trade-90d-value, bec:E13:obs:flow:collections, bec:E13:obs:flow:payments, bec:E13:obs:flow:trade-finance, bec:E13:obs:latent:working_capital_intensity, bec:E13:obs:trend:collections, bec:E13:obs:trend:payments, bec:E13:obs:trend:trade-finance</x:v>
      </x:c>
      <x:c r="M151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51" s="63" t="str">
        <x:v>{"problems":["WORKING_CAPITAL_PRESSURE","SUPPLY_CHAIN_RISK"],"solutions":["WORKING_CAPITAL_REVOLVING","SUPPLY_CHAIN_FINANCE","TRADE_FINANCE"],"timing":["cash-conversion pressure points"]}</x:v>
      </x:c>
    </x:row>
    <x:row r="152">
      <x:c r="A152" s="63" t="str">
        <x:v>E13</x:v>
      </x:c>
      <x:c r="B152" s="63" t="str">
        <x:v>NEPI Rockcastle</x:v>
      </x:c>
      <x:c r="C152" s="63" t="str">
        <x:v>real_estate</x:v>
      </x:c>
      <x:c r="D152" s="63" t="str">
        <x:v>twin:E13:2026-06-30:3.1.0</x:v>
      </x:c>
      <x:c r="E152" s="63" t="str">
        <x:v>FUNDING_STRUCTURE</x:v>
      </x:c>
      <x:c r="F152" s="63" t="str">
        <x:v>Funding structure</x:v>
      </x:c>
      <x:c r="G152" s="63" t="str">
        <x:v>INFERRED</x:v>
      </x:c>
      <x:c r="H152" s="63" t="str">
        <x:v>OBSERVED</x:v>
      </x:c>
      <x:c r="I152" s="63" t="str">
        <x:v>E0</x:v>
      </x:c>
      <x:c r="J152" s="80" t="n">
        <x:v>0.95</x:v>
      </x:c>
      <x:c r="K152" s="63" t="n">
        <x:v>0</x:v>
      </x:c>
      <x:c r="L152" s="63" t="str">
        <x:v>bec:E13:obs:latent:financing_need, bec:NEPI-2025-DEBT</x:v>
      </x:c>
      <x:c r="M152" s="63" t="str">
        <x:v>No approved E1 evidence supports this domain. No audited debt or facility disclosure is available for this client.; full debt maturity ladder by instrument and tenor</x:v>
      </x:c>
      <x:c r="N152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53">
      <x:c r="A153" s="63" t="str">
        <x:v>E13</x:v>
      </x:c>
      <x:c r="B153" s="63" t="str">
        <x:v>NEPI Rockcastle</x:v>
      </x:c>
      <x:c r="C153" s="63" t="str">
        <x:v>real_estate</x:v>
      </x:c>
      <x:c r="D153" s="63" t="str">
        <x:v>twin:E13:2026-06-30:3.1.0</x:v>
      </x:c>
      <x:c r="E153" s="63" t="str">
        <x:v>LIQUIDITY_AND_BUFFER</x:v>
      </x:c>
      <x:c r="F153" s="63" t="str">
        <x:v>Liquidity and cash buffer</x:v>
      </x:c>
      <x:c r="G153" s="63" t="str">
        <x:v>INFERRED</x:v>
      </x:c>
      <x:c r="H153" s="63" t="str">
        <x:v>OBSERVED</x:v>
      </x:c>
      <x:c r="I153" s="63" t="str">
        <x:v>E0</x:v>
      </x:c>
      <x:c r="J153" s="80" t="n">
        <x:v>0.9</x:v>
      </x:c>
      <x:c r="K153" s="63" t="n">
        <x:v>0</x:v>
      </x:c>
      <x:c r="L153" s="63" t="str">
        <x:v>bec:E13:obs:flow:liquidity, bec:E13:obs:latent:liquidity_volatility, bec:E13:obs:trend:liquidity, bec:NEPI-2025-CASH</x:v>
      </x:c>
      <x:c r="M153" s="63" t="str">
        <x:v>undrawn committed facility headroom</x:v>
      </x:c>
      <x:c r="N153" s="63" t="str">
        <x:v>{"problems":["LIQUIDITY_FRAGMENTATION","REFINANCING_CLIFF"],"solutions":["LIQUIDITY_CASH_MANAGEMENT","WORKING_CAPITAL_REVOLVING"],"timing":["buffer depletion"]}</x:v>
      </x:c>
    </x:row>
    <x:row r="154">
      <x:c r="A154" s="63" t="str">
        <x:v>E13</x:v>
      </x:c>
      <x:c r="B154" s="63" t="str">
        <x:v>NEPI Rockcastle</x:v>
      </x:c>
      <x:c r="C154" s="63" t="str">
        <x:v>real_estate</x:v>
      </x:c>
      <x:c r="D154" s="63" t="str">
        <x:v>twin:E13:2026-06-30:3.1.0</x:v>
      </x:c>
      <x:c r="E154" s="63" t="str">
        <x:v>OPERATING_MODEL</x:v>
      </x:c>
      <x:c r="F154" s="63" t="str">
        <x:v>Operating model</x:v>
      </x:c>
      <x:c r="G154" s="63" t="str">
        <x:v>SUPPORTED</x:v>
      </x:c>
      <x:c r="H154" s="63" t="str">
        <x:v>OBSERVED</x:v>
      </x:c>
      <x:c r="I154" s="63" t="str">
        <x:v>E0</x:v>
      </x:c>
      <x:c r="J154" s="80" t="n">
        <x:v>0.7</x:v>
      </x:c>
      <x:c r="K154" s="63" t="n">
        <x:v>0</x:v>
      </x:c>
      <x:c r="L154" s="63" t="str">
        <x:v>bec:E13:obs:events:trade-90d, bec:E13:obs:flow:trade-finance, bec:E13:obs:latent:operating_scale, bec:E13:obs:latent:relationship_complexity, bec:E13:obs:relationship-breadth, bec:E13:obs:trend:trade-finance, bec:E13:struct:operating-model</x:v>
      </x:c>
      <x:c r="M154" s="63" t="str">
        <x:v>client-specific ERP, shared-service and treasury system detail</x:v>
      </x:c>
      <x:c r="N154" s="63" t="str">
        <x:v>{"problems":["TREASURY_CENTRALISATION","OPERATIONAL_RESILIENCE"],"solutions":["PAYMENTS","LIQUIDITY_CASH_MANAGEMENT","COLLECTIONS"],"timing":["ERP and treasury system change windows"]}</x:v>
      </x:c>
    </x:row>
    <x:row r="155">
      <x:c r="A155" s="63" t="str">
        <x:v>E13</x:v>
      </x:c>
      <x:c r="B155" s="63" t="str">
        <x:v>NEPI Rockcastle</x:v>
      </x:c>
      <x:c r="C155" s="63" t="str">
        <x:v>real_estate</x:v>
      </x:c>
      <x:c r="D155" s="63" t="str">
        <x:v>twin:E13:2026-06-30:3.1.0</x:v>
      </x:c>
      <x:c r="E155" s="63" t="str">
        <x:v>GEOGRAPHIC_EXPOSURE</x:v>
      </x:c>
      <x:c r="F155" s="63" t="str">
        <x:v>Geographic exposure</x:v>
      </x:c>
      <x:c r="G155" s="63" t="str">
        <x:v>SUPPORTED</x:v>
      </x:c>
      <x:c r="H155" s="63" t="str">
        <x:v>OBSERVED</x:v>
      </x:c>
      <x:c r="I155" s="63" t="str">
        <x:v>E0</x:v>
      </x:c>
      <x:c r="J155" s="80" t="n">
        <x:v>0.75</x:v>
      </x:c>
      <x:c r="K155" s="63" t="n">
        <x:v>0</x:v>
      </x:c>
      <x:c r="L155" s="63" t="str">
        <x:v>bec:E13:obs:corridor-name:0, bec:E13:obs:corridor-name:1, bec:E13:obs:corridor-name:2, bec:E13:obs:corridor:0, bec:E13:obs:corridor:1, bec:E13:obs:corridor:2, bec:E13:obs:country-count, bec:E13:obs:flow:cross-border-fx, bec:E13:obs:latent:international_exposure, bec:E13:obs:trend:cross-border-fx</x:v>
      </x:c>
      <x:c r="M155" s="63" t="str"/>
      <x:c r="N155" s="63" t="str">
        <x:v>{"problems":["FX_EXPOSURE","SUPPLY_CHAIN_RISK"],"solutions":["CROSS_BORDER_FX","TRADE_FINANCE"],"timing":["corridor seasonality"]}</x:v>
      </x:c>
    </x:row>
    <x:row r="156">
      <x:c r="A156" s="63" t="str">
        <x:v>E13</x:v>
      </x:c>
      <x:c r="B156" s="63" t="str">
        <x:v>NEPI Rockcastle</x:v>
      </x:c>
      <x:c r="C156" s="63" t="str">
        <x:v>real_estate</x:v>
      </x:c>
      <x:c r="D156" s="63" t="str">
        <x:v>twin:E13:2026-06-30:3.1.0</x:v>
      </x:c>
      <x:c r="E156" s="63" t="str">
        <x:v>CURRENCY_AND_COMMODITY_EXPOSURE</x:v>
      </x:c>
      <x:c r="F156" s="63" t="str">
        <x:v>Currency and commodity exposure</x:v>
      </x:c>
      <x:c r="G156" s="63" t="str">
        <x:v>INFERRED</x:v>
      </x:c>
      <x:c r="H156" s="63" t="str">
        <x:v>OBSERVED</x:v>
      </x:c>
      <x:c r="I156" s="63" t="str">
        <x:v>E0</x:v>
      </x:c>
      <x:c r="J156" s="80" t="n">
        <x:v>0.85</x:v>
      </x:c>
      <x:c r="K156" s="63" t="n">
        <x:v>0</x:v>
      </x:c>
      <x:c r="L156" s="63" t="str">
        <x:v>bec:E13:obs:currency-pair:0, bec:E13:obs:currency-pair:1, bec:E13:obs:currency-pair:2, bec:E13:obs:currency:0, bec:E13:obs:currency:1, bec:E13:obs:currency:2, bec:E13:obs:flow:cross-border-fx, bec:E13:obs:trend:cross-border-fx</x:v>
      </x:c>
      <x:c r="M156" s="63" t="str">
        <x:v>hedge ratio; signed currency inflow/outflow split</x:v>
      </x:c>
      <x:c r="N156" s="63" t="str">
        <x:v>{"problems":["FX_EXPOSURE","COMMODITY_EXPOSURE"],"solutions":["CROSS_BORDER_FX","COMMODITY_RISK_MANAGEMENT"],"timing":["hedge roll dates"]}</x:v>
      </x:c>
    </x:row>
    <x:row r="157">
      <x:c r="A157" s="63" t="str">
        <x:v>E13</x:v>
      </x:c>
      <x:c r="B157" s="63" t="str">
        <x:v>NEPI Rockcastle</x:v>
      </x:c>
      <x:c r="C157" s="63" t="str">
        <x:v>real_estate</x:v>
      </x:c>
      <x:c r="D157" s="63" t="str">
        <x:v>twin:E13:2026-06-30:3.1.0</x:v>
      </x:c>
      <x:c r="E157" s="63" t="str">
        <x:v>PROJECTS_SUBSIDIARIES_SPVS</x:v>
      </x:c>
      <x:c r="F157" s="63" t="str">
        <x:v>Projects, subsidiaries and SPVs</x:v>
      </x:c>
      <x:c r="G157" s="63" t="str">
        <x:v>UNKNOWN</x:v>
      </x:c>
      <x:c r="H157" s="63" t="str">
        <x:v>SCENARIO</x:v>
      </x:c>
      <x:c r="I157" s="63" t="str">
        <x:v>E0</x:v>
      </x:c>
      <x:c r="J157" s="80" t="n">
        <x:v>0.7</x:v>
      </x:c>
      <x:c r="K157" s="63"/>
      <x:c r="L157" s="63" t="str"/>
      <x:c r="M157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57" s="63" t="str">
        <x:v>{"problems":["PROJECT_MOBILISATION","GUARANTEE_OR_COLLATERAL_REQUIREMENT"],"solutions":["PROJECT_FINANCE","GUARANTEES_AND_LC","ESCROW_AND_AGENCY"],"timing":["project financial close"]}</x:v>
      </x:c>
    </x:row>
    <x:row r="158">
      <x:c r="A158" s="63" t="str">
        <x:v>E13</x:v>
      </x:c>
      <x:c r="B158" s="63" t="str">
        <x:v>NEPI Rockcastle</x:v>
      </x:c>
      <x:c r="C158" s="63" t="str">
        <x:v>real_estate</x:v>
      </x:c>
      <x:c r="D158" s="63" t="str">
        <x:v>twin:E13:2026-06-30:3.1.0</x:v>
      </x:c>
      <x:c r="E158" s="63" t="str">
        <x:v>STAKEHOLDER_RESPONSIBILITY</x:v>
      </x:c>
      <x:c r="F158" s="63" t="str">
        <x:v>Stakeholder responsibility model</x:v>
      </x:c>
      <x:c r="G158" s="63" t="str">
        <x:v>SUPPORTED</x:v>
      </x:c>
      <x:c r="H158" s="63" t="str">
        <x:v>IDENTIFIED_BOUND</x:v>
      </x:c>
      <x:c r="I158" s="63" t="str">
        <x:v>E0</x:v>
      </x:c>
      <x:c r="J158" s="80" t="n">
        <x:v>0.6</x:v>
      </x:c>
      <x:c r="K158" s="63" t="n">
        <x:v>0</x:v>
      </x:c>
      <x:c r="L158" s="63" t="str">
        <x:v>bec:E13:struct:responsibility-model, bec:E13:struct:responsibility:fx_exposure, bec:E13:struct:responsibility:refinancing_cliff, bec:E13:struct:responsibility:working_capital_pressure</x:v>
      </x:c>
      <x:c r="M158" s="63" t="str">
        <x:v>client-confirmed decision authority and mandate limits</x:v>
      </x:c>
      <x:c r="N158" s="63" t="str">
        <x:v>{"problems":[],"solutions":[],"timing":["decision-authority availability"]}</x:v>
      </x:c>
    </x:row>
    <x:row r="159">
      <x:c r="A159" s="63" t="str">
        <x:v>E13</x:v>
      </x:c>
      <x:c r="B159" s="63" t="str">
        <x:v>NEPI Rockcastle</x:v>
      </x:c>
      <x:c r="C159" s="63" t="str">
        <x:v>real_estate</x:v>
      </x:c>
      <x:c r="D159" s="63" t="str">
        <x:v>twin:E13:2026-06-30:3.1.0</x:v>
      </x:c>
      <x:c r="E159" s="63" t="str">
        <x:v>BUSINESS_AND_FINANCIAL_RISKS</x:v>
      </x:c>
      <x:c r="F159" s="63" t="str">
        <x:v>Business and financial risks</x:v>
      </x:c>
      <x:c r="G159" s="63" t="str">
        <x:v>SUPPORTED</x:v>
      </x:c>
      <x:c r="H159" s="63" t="str">
        <x:v>IDENTIFIED_BOUND</x:v>
      </x:c>
      <x:c r="I159" s="63" t="str">
        <x:v>E0</x:v>
      </x:c>
      <x:c r="J159" s="80" t="n">
        <x:v>0.65</x:v>
      </x:c>
      <x:c r="K159" s="63" t="n">
        <x:v>0</x:v>
      </x:c>
      <x:c r="L159" s="63" t="str">
        <x:v>bec:E13:struct:risk:0, bec:E13:struct:risk:1, bec:E13:struct:risk:2</x:v>
      </x:c>
      <x:c r="M159" s="63" t="str">
        <x:v>client risk-report extraction</x:v>
      </x:c>
      <x:c r="N159" s="63" t="str">
        <x:v>{"problems":["OPERATIONAL_RESILIENCE","COMMODITY_EXPOSURE"],"solutions":["COMMODITY_RISK_MANAGEMENT","GUARANTEES_AND_LC"],"timing":["risk-review cycle"]}</x:v>
      </x:c>
    </x:row>
    <x:row r="160">
      <x:c r="A160" s="63" t="str">
        <x:v>E13</x:v>
      </x:c>
      <x:c r="B160" s="63" t="str">
        <x:v>NEPI Rockcastle</x:v>
      </x:c>
      <x:c r="C160" s="63" t="str">
        <x:v>real_estate</x:v>
      </x:c>
      <x:c r="D160" s="63" t="str">
        <x:v>twin:E13:2026-06-30:3.1.0</x:v>
      </x:c>
      <x:c r="E160" s="63" t="str">
        <x:v>STRATEGY_ACTIONS_AND_ESG</x:v>
      </x:c>
      <x:c r="F160" s="63" t="str">
        <x:v>Strategy, corporate actions and ESG activity</x:v>
      </x:c>
      <x:c r="G160" s="63" t="str">
        <x:v>SUPPORTED</x:v>
      </x:c>
      <x:c r="H160" s="63" t="str">
        <x:v>OBSERVED</x:v>
      </x:c>
      <x:c r="I160" s="63" t="str">
        <x:v>E0</x:v>
      </x:c>
      <x:c r="J160" s="80" t="n">
        <x:v>0.55</x:v>
      </x:c>
      <x:c r="K160" s="63" t="n">
        <x:v>0</x:v>
      </x:c>
      <x:c r="L160" s="63" t="str">
        <x:v>bec:E13:obs:latent:event_intensity</x:v>
      </x:c>
      <x:c r="M160" s="63" t="str">
        <x:v>announced corporate actions; evidence-based ESG activity and transition targets</x:v>
      </x:c>
      <x:c r="N160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61">
      <x:c r="A161" s="63" t="str">
        <x:v>E14</x:v>
      </x:c>
      <x:c r="B161" s="63" t="str">
        <x:v>Prosus</x:v>
      </x:c>
      <x:c r="C161" s="63" t="str">
        <x:v>tech</x:v>
      </x:c>
      <x:c r="D161" s="63" t="str">
        <x:v>twin:E14:2026-06-30:3.1.0</x:v>
      </x:c>
      <x:c r="E161" s="63" t="str">
        <x:v>REVENUE_ENGINE</x:v>
      </x:c>
      <x:c r="F161" s="63" t="str">
        <x:v>Revenue engine</x:v>
      </x:c>
      <x:c r="G161" s="63" t="str">
        <x:v>SUPPORTED</x:v>
      </x:c>
      <x:c r="H161" s="63" t="str">
        <x:v>OBSERVED</x:v>
      </x:c>
      <x:c r="I161" s="63" t="str">
        <x:v>E0</x:v>
      </x:c>
      <x:c r="J161" s="80" t="n">
        <x:v>0.95</x:v>
      </x:c>
      <x:c r="K161" s="63" t="n">
        <x:v>0</x:v>
      </x:c>
      <x:c r="L161" s="63" t="str">
        <x:v>bec:E14:obs:flow:collections, bec:E14:obs:trend:collections, bec:PROSUS-2026-REV</x:v>
      </x:c>
      <x:c r="M161" s="63" t="str"/>
      <x:c r="N161" s="63" t="str">
        <x:v>{"problems":["COLLECTIONS_INEFFICIENCY","WORKING_CAPITAL_PRESSURE"],"solutions":["COLLECTIONS","SUPPLY_CHAIN_FINANCE"],"timing":["collection seasonality"]}</x:v>
      </x:c>
    </x:row>
    <x:row r="162">
      <x:c r="A162" s="63" t="str">
        <x:v>E14</x:v>
      </x:c>
      <x:c r="B162" s="63" t="str">
        <x:v>Prosus</x:v>
      </x:c>
      <x:c r="C162" s="63" t="str">
        <x:v>tech</x:v>
      </x:c>
      <x:c r="D162" s="63" t="str">
        <x:v>twin:E14:2026-06-30:3.1.0</x:v>
      </x:c>
      <x:c r="E162" s="63" t="str">
        <x:v>COST_ENGINE</x:v>
      </x:c>
      <x:c r="F162" s="63" t="str">
        <x:v>Cost engine</x:v>
      </x:c>
      <x:c r="G162" s="63" t="str">
        <x:v>SUPPORTED</x:v>
      </x:c>
      <x:c r="H162" s="63" t="str">
        <x:v>OBSERVED</x:v>
      </x:c>
      <x:c r="I162" s="63" t="str">
        <x:v>E0</x:v>
      </x:c>
      <x:c r="J162" s="80" t="n">
        <x:v>0.9</x:v>
      </x:c>
      <x:c r="K162" s="63" t="n">
        <x:v>0</x:v>
      </x:c>
      <x:c r="L162" s="63" t="str">
        <x:v>bec:E14:obs:flow:payments, bec:E14:obs:trend:payments</x:v>
      </x:c>
      <x:c r="M162" s="63" t="str">
        <x:v>No approved E1 evidence supports this domain. No audited cost base is available for this client.</x:v>
      </x:c>
      <x:c r="N162" s="63" t="str">
        <x:v>{"problems":["PAYMENTS_INEFFICIENCY","SUPPLY_CHAIN_RISK"],"solutions":["PAYMENTS","SUPPLY_CHAIN_FINANCE","TRADE_FINANCE"],"timing":["supplier payment runs"]}</x:v>
      </x:c>
    </x:row>
    <x:row r="163">
      <x:c r="A163" s="63" t="str">
        <x:v>E14</x:v>
      </x:c>
      <x:c r="B163" s="63" t="str">
        <x:v>Prosus</x:v>
      </x:c>
      <x:c r="C163" s="63" t="str">
        <x:v>tech</x:v>
      </x:c>
      <x:c r="D163" s="63" t="str">
        <x:v>twin:E14:2026-06-30:3.1.0</x:v>
      </x:c>
      <x:c r="E163" s="63" t="str">
        <x:v>WORKING_CAPITAL_CYCLE</x:v>
      </x:c>
      <x:c r="F163" s="63" t="str">
        <x:v>Working-capital cycle</x:v>
      </x:c>
      <x:c r="G163" s="63" t="str">
        <x:v>INFERRED</x:v>
      </x:c>
      <x:c r="H163" s="63" t="str">
        <x:v>OBSERVED</x:v>
      </x:c>
      <x:c r="I163" s="63" t="str">
        <x:v>E0</x:v>
      </x:c>
      <x:c r="J163" s="80" t="n">
        <x:v>0.95</x:v>
      </x:c>
      <x:c r="K163" s="63" t="n">
        <x:v>0</x:v>
      </x:c>
      <x:c r="L163" s="63" t="str">
        <x:v>bec:E14:obs:events:trade-90d, bec:E14:obs:events:trade-90d-value, bec:E14:obs:flow:collections, bec:E14:obs:flow:payments, bec:E14:obs:flow:trade-finance, bec:E14:obs:latent:working_capital_intensity, bec:E14:obs:trend:collections, bec:E14:obs:trend:payments, bec:E14:obs:trend:trade-finance</x:v>
      </x:c>
      <x:c r="M163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63" s="63" t="str">
        <x:v>{"problems":["WORKING_CAPITAL_PRESSURE","SUPPLY_CHAIN_RISK"],"solutions":["WORKING_CAPITAL_REVOLVING","SUPPLY_CHAIN_FINANCE","TRADE_FINANCE"],"timing":["cash-conversion pressure points"]}</x:v>
      </x:c>
    </x:row>
    <x:row r="164">
      <x:c r="A164" s="63" t="str">
        <x:v>E14</x:v>
      </x:c>
      <x:c r="B164" s="63" t="str">
        <x:v>Prosus</x:v>
      </x:c>
      <x:c r="C164" s="63" t="str">
        <x:v>tech</x:v>
      </x:c>
      <x:c r="D164" s="63" t="str">
        <x:v>twin:E14:2026-06-30:3.1.0</x:v>
      </x:c>
      <x:c r="E164" s="63" t="str">
        <x:v>FUNDING_STRUCTURE</x:v>
      </x:c>
      <x:c r="F164" s="63" t="str">
        <x:v>Funding structure</x:v>
      </x:c>
      <x:c r="G164" s="63" t="str">
        <x:v>INFERRED</x:v>
      </x:c>
      <x:c r="H164" s="63" t="str">
        <x:v>OBSERVED</x:v>
      </x:c>
      <x:c r="I164" s="63" t="str">
        <x:v>E0</x:v>
      </x:c>
      <x:c r="J164" s="80" t="n">
        <x:v>0.95</x:v>
      </x:c>
      <x:c r="K164" s="63" t="n">
        <x:v>0</x:v>
      </x:c>
      <x:c r="L164" s="63" t="str">
        <x:v>bec:E14:obs:latent:financing_need, bec:PROSUS-2026-DEBT</x:v>
      </x:c>
      <x:c r="M164" s="63" t="str">
        <x:v>No approved E1 evidence supports this domain. No audited debt or facility disclosure is available for this client.; full debt maturity ladder by instrument and tenor</x:v>
      </x:c>
      <x:c r="N164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65">
      <x:c r="A165" s="63" t="str">
        <x:v>E14</x:v>
      </x:c>
      <x:c r="B165" s="63" t="str">
        <x:v>Prosus</x:v>
      </x:c>
      <x:c r="C165" s="63" t="str">
        <x:v>tech</x:v>
      </x:c>
      <x:c r="D165" s="63" t="str">
        <x:v>twin:E14:2026-06-30:3.1.0</x:v>
      </x:c>
      <x:c r="E165" s="63" t="str">
        <x:v>LIQUIDITY_AND_BUFFER</x:v>
      </x:c>
      <x:c r="F165" s="63" t="str">
        <x:v>Liquidity and cash buffer</x:v>
      </x:c>
      <x:c r="G165" s="63" t="str">
        <x:v>INFERRED</x:v>
      </x:c>
      <x:c r="H165" s="63" t="str">
        <x:v>OBSERVED</x:v>
      </x:c>
      <x:c r="I165" s="63" t="str">
        <x:v>E0</x:v>
      </x:c>
      <x:c r="J165" s="80" t="n">
        <x:v>0.9</x:v>
      </x:c>
      <x:c r="K165" s="63" t="n">
        <x:v>0</x:v>
      </x:c>
      <x:c r="L165" s="63" t="str">
        <x:v>bec:E14:obs:flow:liquidity, bec:E14:obs:latent:liquidity_volatility, bec:E14:obs:trend:liquidity, bec:PROSUS-2026-CASH</x:v>
      </x:c>
      <x:c r="M165" s="63" t="str">
        <x:v>undrawn committed facility headroom</x:v>
      </x:c>
      <x:c r="N165" s="63" t="str">
        <x:v>{"problems":["LIQUIDITY_FRAGMENTATION","REFINANCING_CLIFF"],"solutions":["LIQUIDITY_CASH_MANAGEMENT","WORKING_CAPITAL_REVOLVING"],"timing":["buffer depletion"]}</x:v>
      </x:c>
    </x:row>
    <x:row r="166">
      <x:c r="A166" s="63" t="str">
        <x:v>E14</x:v>
      </x:c>
      <x:c r="B166" s="63" t="str">
        <x:v>Prosus</x:v>
      </x:c>
      <x:c r="C166" s="63" t="str">
        <x:v>tech</x:v>
      </x:c>
      <x:c r="D166" s="63" t="str">
        <x:v>twin:E14:2026-06-30:3.1.0</x:v>
      </x:c>
      <x:c r="E166" s="63" t="str">
        <x:v>OPERATING_MODEL</x:v>
      </x:c>
      <x:c r="F166" s="63" t="str">
        <x:v>Operating model</x:v>
      </x:c>
      <x:c r="G166" s="63" t="str">
        <x:v>SUPPORTED</x:v>
      </x:c>
      <x:c r="H166" s="63" t="str">
        <x:v>OBSERVED</x:v>
      </x:c>
      <x:c r="I166" s="63" t="str">
        <x:v>E0</x:v>
      </x:c>
      <x:c r="J166" s="80" t="n">
        <x:v>0.7</x:v>
      </x:c>
      <x:c r="K166" s="63" t="n">
        <x:v>0</x:v>
      </x:c>
      <x:c r="L166" s="63" t="str">
        <x:v>bec:E14:obs:events:trade-90d, bec:E14:obs:flow:trade-finance, bec:E14:obs:latent:operating_scale, bec:E14:obs:latent:relationship_complexity, bec:E14:obs:relationship-breadth, bec:E14:obs:trend:trade-finance, bec:E14:struct:operating-model</x:v>
      </x:c>
      <x:c r="M166" s="63" t="str">
        <x:v>client-specific ERP, shared-service and treasury system detail</x:v>
      </x:c>
      <x:c r="N166" s="63" t="str">
        <x:v>{"problems":["TREASURY_CENTRALISATION","OPERATIONAL_RESILIENCE"],"solutions":["PAYMENTS","LIQUIDITY_CASH_MANAGEMENT","COLLECTIONS"],"timing":["ERP and treasury system change windows"]}</x:v>
      </x:c>
    </x:row>
    <x:row r="167">
      <x:c r="A167" s="63" t="str">
        <x:v>E14</x:v>
      </x:c>
      <x:c r="B167" s="63" t="str">
        <x:v>Prosus</x:v>
      </x:c>
      <x:c r="C167" s="63" t="str">
        <x:v>tech</x:v>
      </x:c>
      <x:c r="D167" s="63" t="str">
        <x:v>twin:E14:2026-06-30:3.1.0</x:v>
      </x:c>
      <x:c r="E167" s="63" t="str">
        <x:v>GEOGRAPHIC_EXPOSURE</x:v>
      </x:c>
      <x:c r="F167" s="63" t="str">
        <x:v>Geographic exposure</x:v>
      </x:c>
      <x:c r="G167" s="63" t="str">
        <x:v>SUPPORTED</x:v>
      </x:c>
      <x:c r="H167" s="63" t="str">
        <x:v>OBSERVED</x:v>
      </x:c>
      <x:c r="I167" s="63" t="str">
        <x:v>E0</x:v>
      </x:c>
      <x:c r="J167" s="80" t="n">
        <x:v>0.75</x:v>
      </x:c>
      <x:c r="K167" s="63" t="n">
        <x:v>0</x:v>
      </x:c>
      <x:c r="L167" s="63" t="str">
        <x:v>bec:E14:obs:corridor-name:0, bec:E14:obs:corridor-name:1, bec:E14:obs:corridor-name:2, bec:E14:obs:corridor:0, bec:E14:obs:corridor:1, bec:E14:obs:corridor:2, bec:E14:obs:country-count, bec:E14:obs:flow:cross-border-fx, bec:E14:obs:latent:international_exposure, bec:E14:obs:trend:cross-border-fx</x:v>
      </x:c>
      <x:c r="M167" s="63" t="str"/>
      <x:c r="N167" s="63" t="str">
        <x:v>{"problems":["FX_EXPOSURE","SUPPLY_CHAIN_RISK"],"solutions":["CROSS_BORDER_FX","TRADE_FINANCE"],"timing":["corridor seasonality"]}</x:v>
      </x:c>
    </x:row>
    <x:row r="168">
      <x:c r="A168" s="63" t="str">
        <x:v>E14</x:v>
      </x:c>
      <x:c r="B168" s="63" t="str">
        <x:v>Prosus</x:v>
      </x:c>
      <x:c r="C168" s="63" t="str">
        <x:v>tech</x:v>
      </x:c>
      <x:c r="D168" s="63" t="str">
        <x:v>twin:E14:2026-06-30:3.1.0</x:v>
      </x:c>
      <x:c r="E168" s="63" t="str">
        <x:v>CURRENCY_AND_COMMODITY_EXPOSURE</x:v>
      </x:c>
      <x:c r="F168" s="63" t="str">
        <x:v>Currency and commodity exposure</x:v>
      </x:c>
      <x:c r="G168" s="63" t="str">
        <x:v>INFERRED</x:v>
      </x:c>
      <x:c r="H168" s="63" t="str">
        <x:v>OBSERVED</x:v>
      </x:c>
      <x:c r="I168" s="63" t="str">
        <x:v>E0</x:v>
      </x:c>
      <x:c r="J168" s="80" t="n">
        <x:v>0.85</x:v>
      </x:c>
      <x:c r="K168" s="63" t="n">
        <x:v>0</x:v>
      </x:c>
      <x:c r="L168" s="63" t="str">
        <x:v>bec:E14:obs:currency-pair:0, bec:E14:obs:currency-pair:1, bec:E14:obs:currency-pair:2, bec:E14:obs:currency:0, bec:E14:obs:currency:1, bec:E14:obs:currency:2, bec:E14:obs:flow:cross-border-fx, bec:E14:obs:trend:cross-border-fx</x:v>
      </x:c>
      <x:c r="M168" s="63" t="str">
        <x:v>hedge ratio; signed currency inflow/outflow split</x:v>
      </x:c>
      <x:c r="N168" s="63" t="str">
        <x:v>{"problems":["FX_EXPOSURE","COMMODITY_EXPOSURE"],"solutions":["CROSS_BORDER_FX","COMMODITY_RISK_MANAGEMENT"],"timing":["hedge roll dates"]}</x:v>
      </x:c>
    </x:row>
    <x:row r="169">
      <x:c r="A169" s="63" t="str">
        <x:v>E14</x:v>
      </x:c>
      <x:c r="B169" s="63" t="str">
        <x:v>Prosus</x:v>
      </x:c>
      <x:c r="C169" s="63" t="str">
        <x:v>tech</x:v>
      </x:c>
      <x:c r="D169" s="63" t="str">
        <x:v>twin:E14:2026-06-30:3.1.0</x:v>
      </x:c>
      <x:c r="E169" s="63" t="str">
        <x:v>PROJECTS_SUBSIDIARIES_SPVS</x:v>
      </x:c>
      <x:c r="F169" s="63" t="str">
        <x:v>Projects, subsidiaries and SPVs</x:v>
      </x:c>
      <x:c r="G169" s="63" t="str">
        <x:v>UNKNOWN</x:v>
      </x:c>
      <x:c r="H169" s="63" t="str">
        <x:v>SCENARIO</x:v>
      </x:c>
      <x:c r="I169" s="63" t="str">
        <x:v>E0</x:v>
      </x:c>
      <x:c r="J169" s="80" t="n">
        <x:v>0.7</x:v>
      </x:c>
      <x:c r="K169" s="63"/>
      <x:c r="L169" s="63" t="str"/>
      <x:c r="M169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69" s="63" t="str">
        <x:v>{"problems":["PROJECT_MOBILISATION","GUARANTEE_OR_COLLATERAL_REQUIREMENT"],"solutions":["PROJECT_FINANCE","GUARANTEES_AND_LC","ESCROW_AND_AGENCY"],"timing":["project financial close"]}</x:v>
      </x:c>
    </x:row>
    <x:row r="170">
      <x:c r="A170" s="63" t="str">
        <x:v>E14</x:v>
      </x:c>
      <x:c r="B170" s="63" t="str">
        <x:v>Prosus</x:v>
      </x:c>
      <x:c r="C170" s="63" t="str">
        <x:v>tech</x:v>
      </x:c>
      <x:c r="D170" s="63" t="str">
        <x:v>twin:E14:2026-06-30:3.1.0</x:v>
      </x:c>
      <x:c r="E170" s="63" t="str">
        <x:v>STAKEHOLDER_RESPONSIBILITY</x:v>
      </x:c>
      <x:c r="F170" s="63" t="str">
        <x:v>Stakeholder responsibility model</x:v>
      </x:c>
      <x:c r="G170" s="63" t="str">
        <x:v>SUPPORTED</x:v>
      </x:c>
      <x:c r="H170" s="63" t="str">
        <x:v>IDENTIFIED_BOUND</x:v>
      </x:c>
      <x:c r="I170" s="63" t="str">
        <x:v>E0</x:v>
      </x:c>
      <x:c r="J170" s="80" t="n">
        <x:v>0.6</x:v>
      </x:c>
      <x:c r="K170" s="63" t="n">
        <x:v>0</x:v>
      </x:c>
      <x:c r="L170" s="63" t="str">
        <x:v>bec:E14:struct:responsibility-model, bec:E14:struct:responsibility:fx_exposure, bec:E14:struct:responsibility:refinancing_cliff, bec:E14:struct:responsibility:working_capital_pressure</x:v>
      </x:c>
      <x:c r="M170" s="63" t="str">
        <x:v>client-confirmed decision authority and mandate limits</x:v>
      </x:c>
      <x:c r="N170" s="63" t="str">
        <x:v>{"problems":[],"solutions":[],"timing":["decision-authority availability"]}</x:v>
      </x:c>
    </x:row>
    <x:row r="171">
      <x:c r="A171" s="63" t="str">
        <x:v>E14</x:v>
      </x:c>
      <x:c r="B171" s="63" t="str">
        <x:v>Prosus</x:v>
      </x:c>
      <x:c r="C171" s="63" t="str">
        <x:v>tech</x:v>
      </x:c>
      <x:c r="D171" s="63" t="str">
        <x:v>twin:E14:2026-06-30:3.1.0</x:v>
      </x:c>
      <x:c r="E171" s="63" t="str">
        <x:v>BUSINESS_AND_FINANCIAL_RISKS</x:v>
      </x:c>
      <x:c r="F171" s="63" t="str">
        <x:v>Business and financial risks</x:v>
      </x:c>
      <x:c r="G171" s="63" t="str">
        <x:v>SUPPORTED</x:v>
      </x:c>
      <x:c r="H171" s="63" t="str">
        <x:v>IDENTIFIED_BOUND</x:v>
      </x:c>
      <x:c r="I171" s="63" t="str">
        <x:v>E0</x:v>
      </x:c>
      <x:c r="J171" s="80" t="n">
        <x:v>0.65</x:v>
      </x:c>
      <x:c r="K171" s="63" t="n">
        <x:v>0</x:v>
      </x:c>
      <x:c r="L171" s="63" t="str">
        <x:v>bec:E14:struct:risk:0, bec:E14:struct:risk:1, bec:E14:struct:risk:2</x:v>
      </x:c>
      <x:c r="M171" s="63" t="str">
        <x:v>client risk-report extraction</x:v>
      </x:c>
      <x:c r="N171" s="63" t="str">
        <x:v>{"problems":["OPERATIONAL_RESILIENCE","COMMODITY_EXPOSURE"],"solutions":["COMMODITY_RISK_MANAGEMENT","GUARANTEES_AND_LC"],"timing":["risk-review cycle"]}</x:v>
      </x:c>
    </x:row>
    <x:row r="172">
      <x:c r="A172" s="63" t="str">
        <x:v>E14</x:v>
      </x:c>
      <x:c r="B172" s="63" t="str">
        <x:v>Prosus</x:v>
      </x:c>
      <x:c r="C172" s="63" t="str">
        <x:v>tech</x:v>
      </x:c>
      <x:c r="D172" s="63" t="str">
        <x:v>twin:E14:2026-06-30:3.1.0</x:v>
      </x:c>
      <x:c r="E172" s="63" t="str">
        <x:v>STRATEGY_ACTIONS_AND_ESG</x:v>
      </x:c>
      <x:c r="F172" s="63" t="str">
        <x:v>Strategy, corporate actions and ESG activity</x:v>
      </x:c>
      <x:c r="G172" s="63" t="str">
        <x:v>SUPPORTED</x:v>
      </x:c>
      <x:c r="H172" s="63" t="str">
        <x:v>OBSERVED</x:v>
      </x:c>
      <x:c r="I172" s="63" t="str">
        <x:v>E0</x:v>
      </x:c>
      <x:c r="J172" s="80" t="n">
        <x:v>0.55</x:v>
      </x:c>
      <x:c r="K172" s="63" t="n">
        <x:v>0</x:v>
      </x:c>
      <x:c r="L172" s="63" t="str">
        <x:v>bec:E14:obs:latent:event_intensity</x:v>
      </x:c>
      <x:c r="M172" s="63" t="str">
        <x:v>announced corporate actions; evidence-based ESG activity and transition targets</x:v>
      </x:c>
      <x:c r="N172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73">
      <x:c r="A173" s="63" t="str">
        <x:v>E15</x:v>
      </x:c>
      <x:c r="B173" s="63" t="str">
        <x:v>Naspers</x:v>
      </x:c>
      <x:c r="C173" s="63" t="str">
        <x:v>tech</x:v>
      </x:c>
      <x:c r="D173" s="63" t="str">
        <x:v>twin:E15:2026-06-30:3.1.0</x:v>
      </x:c>
      <x:c r="E173" s="63" t="str">
        <x:v>REVENUE_ENGINE</x:v>
      </x:c>
      <x:c r="F173" s="63" t="str">
        <x:v>Revenue engine</x:v>
      </x:c>
      <x:c r="G173" s="63" t="str">
        <x:v>SUPPORTED</x:v>
      </x:c>
      <x:c r="H173" s="63" t="str">
        <x:v>OBSERVED</x:v>
      </x:c>
      <x:c r="I173" s="63" t="str">
        <x:v>E0</x:v>
      </x:c>
      <x:c r="J173" s="80" t="n">
        <x:v>0.95</x:v>
      </x:c>
      <x:c r="K173" s="63" t="n">
        <x:v>0</x:v>
      </x:c>
      <x:c r="L173" s="63" t="str">
        <x:v>bec:E15:obs:flow:collections, bec:E15:obs:trend:collections, bec:NASPERS-2026-REV</x:v>
      </x:c>
      <x:c r="M173" s="63" t="str"/>
      <x:c r="N173" s="63" t="str">
        <x:v>{"problems":["COLLECTIONS_INEFFICIENCY","WORKING_CAPITAL_PRESSURE"],"solutions":["COLLECTIONS","SUPPLY_CHAIN_FINANCE"],"timing":["collection seasonality"]}</x:v>
      </x:c>
    </x:row>
    <x:row r="174">
      <x:c r="A174" s="63" t="str">
        <x:v>E15</x:v>
      </x:c>
      <x:c r="B174" s="63" t="str">
        <x:v>Naspers</x:v>
      </x:c>
      <x:c r="C174" s="63" t="str">
        <x:v>tech</x:v>
      </x:c>
      <x:c r="D174" s="63" t="str">
        <x:v>twin:E15:2026-06-30:3.1.0</x:v>
      </x:c>
      <x:c r="E174" s="63" t="str">
        <x:v>COST_ENGINE</x:v>
      </x:c>
      <x:c r="F174" s="63" t="str">
        <x:v>Cost engine</x:v>
      </x:c>
      <x:c r="G174" s="63" t="str">
        <x:v>SUPPORTED</x:v>
      </x:c>
      <x:c r="H174" s="63" t="str">
        <x:v>OBSERVED</x:v>
      </x:c>
      <x:c r="I174" s="63" t="str">
        <x:v>E0</x:v>
      </x:c>
      <x:c r="J174" s="80" t="n">
        <x:v>0.9</x:v>
      </x:c>
      <x:c r="K174" s="63" t="n">
        <x:v>0</x:v>
      </x:c>
      <x:c r="L174" s="63" t="str">
        <x:v>bec:E15:obs:flow:payments, bec:E15:obs:trend:payments</x:v>
      </x:c>
      <x:c r="M174" s="63" t="str">
        <x:v>No approved E1 evidence supports this domain. No audited cost base is available for this client.</x:v>
      </x:c>
      <x:c r="N174" s="63" t="str">
        <x:v>{"problems":["PAYMENTS_INEFFICIENCY","SUPPLY_CHAIN_RISK"],"solutions":["PAYMENTS","SUPPLY_CHAIN_FINANCE","TRADE_FINANCE"],"timing":["supplier payment runs"]}</x:v>
      </x:c>
    </x:row>
    <x:row r="175">
      <x:c r="A175" s="63" t="str">
        <x:v>E15</x:v>
      </x:c>
      <x:c r="B175" s="63" t="str">
        <x:v>Naspers</x:v>
      </x:c>
      <x:c r="C175" s="63" t="str">
        <x:v>tech</x:v>
      </x:c>
      <x:c r="D175" s="63" t="str">
        <x:v>twin:E15:2026-06-30:3.1.0</x:v>
      </x:c>
      <x:c r="E175" s="63" t="str">
        <x:v>WORKING_CAPITAL_CYCLE</x:v>
      </x:c>
      <x:c r="F175" s="63" t="str">
        <x:v>Working-capital cycle</x:v>
      </x:c>
      <x:c r="G175" s="63" t="str">
        <x:v>INFERRED</x:v>
      </x:c>
      <x:c r="H175" s="63" t="str">
        <x:v>OBSERVED</x:v>
      </x:c>
      <x:c r="I175" s="63" t="str">
        <x:v>E0</x:v>
      </x:c>
      <x:c r="J175" s="80" t="n">
        <x:v>0.95</x:v>
      </x:c>
      <x:c r="K175" s="63" t="n">
        <x:v>0</x:v>
      </x:c>
      <x:c r="L175" s="63" t="str">
        <x:v>bec:E15:obs:events:trade-90d, bec:E15:obs:events:trade-90d-value, bec:E15:obs:flow:collections, bec:E15:obs:flow:payments, bec:E15:obs:flow:trade-finance, bec:E15:obs:latent:working_capital_intensity, bec:E15:obs:trend:collections, bec:E15:obs:trend:payments, bec:E15:obs:trend:trade-finance</x:v>
      </x:c>
      <x:c r="M175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75" s="63" t="str">
        <x:v>{"problems":["WORKING_CAPITAL_PRESSURE","SUPPLY_CHAIN_RISK"],"solutions":["WORKING_CAPITAL_REVOLVING","SUPPLY_CHAIN_FINANCE","TRADE_FINANCE"],"timing":["cash-conversion pressure points"]}</x:v>
      </x:c>
    </x:row>
    <x:row r="176">
      <x:c r="A176" s="63" t="str">
        <x:v>E15</x:v>
      </x:c>
      <x:c r="B176" s="63" t="str">
        <x:v>Naspers</x:v>
      </x:c>
      <x:c r="C176" s="63" t="str">
        <x:v>tech</x:v>
      </x:c>
      <x:c r="D176" s="63" t="str">
        <x:v>twin:E15:2026-06-30:3.1.0</x:v>
      </x:c>
      <x:c r="E176" s="63" t="str">
        <x:v>FUNDING_STRUCTURE</x:v>
      </x:c>
      <x:c r="F176" s="63" t="str">
        <x:v>Funding structure</x:v>
      </x:c>
      <x:c r="G176" s="63" t="str">
        <x:v>INFERRED</x:v>
      </x:c>
      <x:c r="H176" s="63" t="str">
        <x:v>OBSERVED</x:v>
      </x:c>
      <x:c r="I176" s="63" t="str">
        <x:v>E0</x:v>
      </x:c>
      <x:c r="J176" s="80" t="n">
        <x:v>0.95</x:v>
      </x:c>
      <x:c r="K176" s="63" t="n">
        <x:v>0</x:v>
      </x:c>
      <x:c r="L176" s="63" t="str">
        <x:v>bec:E15:obs:latent:financing_need, bec:NASPERS-2026-DEBT</x:v>
      </x:c>
      <x:c r="M176" s="63" t="str">
        <x:v>No approved E1 evidence supports this domain. No audited debt or facility disclosure is available for this client.; full debt maturity ladder by instrument and tenor</x:v>
      </x:c>
      <x:c r="N176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77">
      <x:c r="A177" s="63" t="str">
        <x:v>E15</x:v>
      </x:c>
      <x:c r="B177" s="63" t="str">
        <x:v>Naspers</x:v>
      </x:c>
      <x:c r="C177" s="63" t="str">
        <x:v>tech</x:v>
      </x:c>
      <x:c r="D177" s="63" t="str">
        <x:v>twin:E15:2026-06-30:3.1.0</x:v>
      </x:c>
      <x:c r="E177" s="63" t="str">
        <x:v>LIQUIDITY_AND_BUFFER</x:v>
      </x:c>
      <x:c r="F177" s="63" t="str">
        <x:v>Liquidity and cash buffer</x:v>
      </x:c>
      <x:c r="G177" s="63" t="str">
        <x:v>INFERRED</x:v>
      </x:c>
      <x:c r="H177" s="63" t="str">
        <x:v>OBSERVED</x:v>
      </x:c>
      <x:c r="I177" s="63" t="str">
        <x:v>E0</x:v>
      </x:c>
      <x:c r="J177" s="80" t="n">
        <x:v>0.9</x:v>
      </x:c>
      <x:c r="K177" s="63" t="n">
        <x:v>0</x:v>
      </x:c>
      <x:c r="L177" s="63" t="str">
        <x:v>bec:E15:obs:flow:liquidity, bec:E15:obs:latent:liquidity_volatility, bec:E15:obs:trend:liquidity, bec:NASPERS-2026-CASH</x:v>
      </x:c>
      <x:c r="M177" s="63" t="str">
        <x:v>undrawn committed facility headroom</x:v>
      </x:c>
      <x:c r="N177" s="63" t="str">
        <x:v>{"problems":["LIQUIDITY_FRAGMENTATION","REFINANCING_CLIFF"],"solutions":["LIQUIDITY_CASH_MANAGEMENT","WORKING_CAPITAL_REVOLVING"],"timing":["buffer depletion"]}</x:v>
      </x:c>
    </x:row>
    <x:row r="178">
      <x:c r="A178" s="63" t="str">
        <x:v>E15</x:v>
      </x:c>
      <x:c r="B178" s="63" t="str">
        <x:v>Naspers</x:v>
      </x:c>
      <x:c r="C178" s="63" t="str">
        <x:v>tech</x:v>
      </x:c>
      <x:c r="D178" s="63" t="str">
        <x:v>twin:E15:2026-06-30:3.1.0</x:v>
      </x:c>
      <x:c r="E178" s="63" t="str">
        <x:v>OPERATING_MODEL</x:v>
      </x:c>
      <x:c r="F178" s="63" t="str">
        <x:v>Operating model</x:v>
      </x:c>
      <x:c r="G178" s="63" t="str">
        <x:v>SUPPORTED</x:v>
      </x:c>
      <x:c r="H178" s="63" t="str">
        <x:v>OBSERVED</x:v>
      </x:c>
      <x:c r="I178" s="63" t="str">
        <x:v>E0</x:v>
      </x:c>
      <x:c r="J178" s="80" t="n">
        <x:v>0.7</x:v>
      </x:c>
      <x:c r="K178" s="63" t="n">
        <x:v>0</x:v>
      </x:c>
      <x:c r="L178" s="63" t="str">
        <x:v>bec:E15:obs:events:trade-90d, bec:E15:obs:flow:trade-finance, bec:E15:obs:latent:operating_scale, bec:E15:obs:latent:relationship_complexity, bec:E15:obs:relationship-breadth, bec:E15:obs:trend:trade-finance, bec:E15:struct:operating-model</x:v>
      </x:c>
      <x:c r="M178" s="63" t="str">
        <x:v>client-specific ERP, shared-service and treasury system detail</x:v>
      </x:c>
      <x:c r="N178" s="63" t="str">
        <x:v>{"problems":["TREASURY_CENTRALISATION","OPERATIONAL_RESILIENCE"],"solutions":["PAYMENTS","LIQUIDITY_CASH_MANAGEMENT","COLLECTIONS"],"timing":["ERP and treasury system change windows"]}</x:v>
      </x:c>
    </x:row>
    <x:row r="179">
      <x:c r="A179" s="63" t="str">
        <x:v>E15</x:v>
      </x:c>
      <x:c r="B179" s="63" t="str">
        <x:v>Naspers</x:v>
      </x:c>
      <x:c r="C179" s="63" t="str">
        <x:v>tech</x:v>
      </x:c>
      <x:c r="D179" s="63" t="str">
        <x:v>twin:E15:2026-06-30:3.1.0</x:v>
      </x:c>
      <x:c r="E179" s="63" t="str">
        <x:v>GEOGRAPHIC_EXPOSURE</x:v>
      </x:c>
      <x:c r="F179" s="63" t="str">
        <x:v>Geographic exposure</x:v>
      </x:c>
      <x:c r="G179" s="63" t="str">
        <x:v>SUPPORTED</x:v>
      </x:c>
      <x:c r="H179" s="63" t="str">
        <x:v>OBSERVED</x:v>
      </x:c>
      <x:c r="I179" s="63" t="str">
        <x:v>E0</x:v>
      </x:c>
      <x:c r="J179" s="80" t="n">
        <x:v>0.75</x:v>
      </x:c>
      <x:c r="K179" s="63" t="n">
        <x:v>0</x:v>
      </x:c>
      <x:c r="L179" s="63" t="str">
        <x:v>bec:E15:obs:corridor-name:0, bec:E15:obs:corridor-name:1, bec:E15:obs:corridor-name:2, bec:E15:obs:corridor:0, bec:E15:obs:corridor:1, bec:E15:obs:corridor:2, bec:E15:obs:country-count, bec:E15:obs:flow:cross-border-fx, bec:E15:obs:latent:international_exposure, bec:E15:obs:trend:cross-border-fx</x:v>
      </x:c>
      <x:c r="M179" s="63" t="str"/>
      <x:c r="N179" s="63" t="str">
        <x:v>{"problems":["FX_EXPOSURE","SUPPLY_CHAIN_RISK"],"solutions":["CROSS_BORDER_FX","TRADE_FINANCE"],"timing":["corridor seasonality"]}</x:v>
      </x:c>
    </x:row>
    <x:row r="180">
      <x:c r="A180" s="63" t="str">
        <x:v>E15</x:v>
      </x:c>
      <x:c r="B180" s="63" t="str">
        <x:v>Naspers</x:v>
      </x:c>
      <x:c r="C180" s="63" t="str">
        <x:v>tech</x:v>
      </x:c>
      <x:c r="D180" s="63" t="str">
        <x:v>twin:E15:2026-06-30:3.1.0</x:v>
      </x:c>
      <x:c r="E180" s="63" t="str">
        <x:v>CURRENCY_AND_COMMODITY_EXPOSURE</x:v>
      </x:c>
      <x:c r="F180" s="63" t="str">
        <x:v>Currency and commodity exposure</x:v>
      </x:c>
      <x:c r="G180" s="63" t="str">
        <x:v>INFERRED</x:v>
      </x:c>
      <x:c r="H180" s="63" t="str">
        <x:v>OBSERVED</x:v>
      </x:c>
      <x:c r="I180" s="63" t="str">
        <x:v>E0</x:v>
      </x:c>
      <x:c r="J180" s="80" t="n">
        <x:v>0.85</x:v>
      </x:c>
      <x:c r="K180" s="63" t="n">
        <x:v>0</x:v>
      </x:c>
      <x:c r="L180" s="63" t="str">
        <x:v>bec:E15:obs:currency-pair:0, bec:E15:obs:currency-pair:1, bec:E15:obs:currency-pair:2, bec:E15:obs:currency:0, bec:E15:obs:currency:1, bec:E15:obs:currency:2, bec:E15:obs:flow:cross-border-fx, bec:E15:obs:trend:cross-border-fx</x:v>
      </x:c>
      <x:c r="M180" s="63" t="str">
        <x:v>hedge ratio; signed currency inflow/outflow split</x:v>
      </x:c>
      <x:c r="N180" s="63" t="str">
        <x:v>{"problems":["FX_EXPOSURE","COMMODITY_EXPOSURE"],"solutions":["CROSS_BORDER_FX","COMMODITY_RISK_MANAGEMENT"],"timing":["hedge roll dates"]}</x:v>
      </x:c>
    </x:row>
    <x:row r="181">
      <x:c r="A181" s="63" t="str">
        <x:v>E15</x:v>
      </x:c>
      <x:c r="B181" s="63" t="str">
        <x:v>Naspers</x:v>
      </x:c>
      <x:c r="C181" s="63" t="str">
        <x:v>tech</x:v>
      </x:c>
      <x:c r="D181" s="63" t="str">
        <x:v>twin:E15:2026-06-30:3.1.0</x:v>
      </x:c>
      <x:c r="E181" s="63" t="str">
        <x:v>PROJECTS_SUBSIDIARIES_SPVS</x:v>
      </x:c>
      <x:c r="F181" s="63" t="str">
        <x:v>Projects, subsidiaries and SPVs</x:v>
      </x:c>
      <x:c r="G181" s="63" t="str">
        <x:v>UNKNOWN</x:v>
      </x:c>
      <x:c r="H181" s="63" t="str">
        <x:v>SCENARIO</x:v>
      </x:c>
      <x:c r="I181" s="63" t="str">
        <x:v>E0</x:v>
      </x:c>
      <x:c r="J181" s="80" t="n">
        <x:v>0.7</x:v>
      </x:c>
      <x:c r="K181" s="63"/>
      <x:c r="L181" s="63" t="str"/>
      <x:c r="M181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81" s="63" t="str">
        <x:v>{"problems":["PROJECT_MOBILISATION","GUARANTEE_OR_COLLATERAL_REQUIREMENT"],"solutions":["PROJECT_FINANCE","GUARANTEES_AND_LC","ESCROW_AND_AGENCY"],"timing":["project financial close"]}</x:v>
      </x:c>
    </x:row>
    <x:row r="182">
      <x:c r="A182" s="63" t="str">
        <x:v>E15</x:v>
      </x:c>
      <x:c r="B182" s="63" t="str">
        <x:v>Naspers</x:v>
      </x:c>
      <x:c r="C182" s="63" t="str">
        <x:v>tech</x:v>
      </x:c>
      <x:c r="D182" s="63" t="str">
        <x:v>twin:E15:2026-06-30:3.1.0</x:v>
      </x:c>
      <x:c r="E182" s="63" t="str">
        <x:v>STAKEHOLDER_RESPONSIBILITY</x:v>
      </x:c>
      <x:c r="F182" s="63" t="str">
        <x:v>Stakeholder responsibility model</x:v>
      </x:c>
      <x:c r="G182" s="63" t="str">
        <x:v>SUPPORTED</x:v>
      </x:c>
      <x:c r="H182" s="63" t="str">
        <x:v>IDENTIFIED_BOUND</x:v>
      </x:c>
      <x:c r="I182" s="63" t="str">
        <x:v>E0</x:v>
      </x:c>
      <x:c r="J182" s="80" t="n">
        <x:v>0.6</x:v>
      </x:c>
      <x:c r="K182" s="63" t="n">
        <x:v>0</x:v>
      </x:c>
      <x:c r="L182" s="63" t="str">
        <x:v>bec:E15:struct:responsibility-model, bec:E15:struct:responsibility:fx_exposure, bec:E15:struct:responsibility:refinancing_cliff, bec:E15:struct:responsibility:working_capital_pressure</x:v>
      </x:c>
      <x:c r="M182" s="63" t="str">
        <x:v>client-confirmed decision authority and mandate limits</x:v>
      </x:c>
      <x:c r="N182" s="63" t="str">
        <x:v>{"problems":[],"solutions":[],"timing":["decision-authority availability"]}</x:v>
      </x:c>
    </x:row>
    <x:row r="183">
      <x:c r="A183" s="63" t="str">
        <x:v>E15</x:v>
      </x:c>
      <x:c r="B183" s="63" t="str">
        <x:v>Naspers</x:v>
      </x:c>
      <x:c r="C183" s="63" t="str">
        <x:v>tech</x:v>
      </x:c>
      <x:c r="D183" s="63" t="str">
        <x:v>twin:E15:2026-06-30:3.1.0</x:v>
      </x:c>
      <x:c r="E183" s="63" t="str">
        <x:v>BUSINESS_AND_FINANCIAL_RISKS</x:v>
      </x:c>
      <x:c r="F183" s="63" t="str">
        <x:v>Business and financial risks</x:v>
      </x:c>
      <x:c r="G183" s="63" t="str">
        <x:v>SUPPORTED</x:v>
      </x:c>
      <x:c r="H183" s="63" t="str">
        <x:v>IDENTIFIED_BOUND</x:v>
      </x:c>
      <x:c r="I183" s="63" t="str">
        <x:v>E0</x:v>
      </x:c>
      <x:c r="J183" s="80" t="n">
        <x:v>0.65</x:v>
      </x:c>
      <x:c r="K183" s="63" t="n">
        <x:v>0</x:v>
      </x:c>
      <x:c r="L183" s="63" t="str">
        <x:v>bec:E15:struct:risk:0, bec:E15:struct:risk:1, bec:E15:struct:risk:2</x:v>
      </x:c>
      <x:c r="M183" s="63" t="str">
        <x:v>client risk-report extraction</x:v>
      </x:c>
      <x:c r="N183" s="63" t="str">
        <x:v>{"problems":["OPERATIONAL_RESILIENCE","COMMODITY_EXPOSURE"],"solutions":["COMMODITY_RISK_MANAGEMENT","GUARANTEES_AND_LC"],"timing":["risk-review cycle"]}</x:v>
      </x:c>
    </x:row>
    <x:row r="184">
      <x:c r="A184" s="63" t="str">
        <x:v>E15</x:v>
      </x:c>
      <x:c r="B184" s="63" t="str">
        <x:v>Naspers</x:v>
      </x:c>
      <x:c r="C184" s="63" t="str">
        <x:v>tech</x:v>
      </x:c>
      <x:c r="D184" s="63" t="str">
        <x:v>twin:E15:2026-06-30:3.1.0</x:v>
      </x:c>
      <x:c r="E184" s="63" t="str">
        <x:v>STRATEGY_ACTIONS_AND_ESG</x:v>
      </x:c>
      <x:c r="F184" s="63" t="str">
        <x:v>Strategy, corporate actions and ESG activity</x:v>
      </x:c>
      <x:c r="G184" s="63" t="str">
        <x:v>SUPPORTED</x:v>
      </x:c>
      <x:c r="H184" s="63" t="str">
        <x:v>OBSERVED</x:v>
      </x:c>
      <x:c r="I184" s="63" t="str">
        <x:v>E0</x:v>
      </x:c>
      <x:c r="J184" s="80" t="n">
        <x:v>0.55</x:v>
      </x:c>
      <x:c r="K184" s="63" t="n">
        <x:v>0</x:v>
      </x:c>
      <x:c r="L184" s="63" t="str">
        <x:v>bec:E15:obs:latent:event_intensity</x:v>
      </x:c>
      <x:c r="M184" s="63" t="str">
        <x:v>announced corporate actions; evidence-based ESG activity and transition targets</x:v>
      </x:c>
      <x:c r="N184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85">
      <x:c r="A185" s="63" t="str">
        <x:v>E16</x:v>
      </x:c>
      <x:c r="B185" s="63" t="str">
        <x:v>MTN Group</x:v>
      </x:c>
      <x:c r="C185" s="63" t="str">
        <x:v>telecoms</x:v>
      </x:c>
      <x:c r="D185" s="63" t="str">
        <x:v>twin:E16:2026-06-30:3.1.0</x:v>
      </x:c>
      <x:c r="E185" s="63" t="str">
        <x:v>REVENUE_ENGINE</x:v>
      </x:c>
      <x:c r="F185" s="63" t="str">
        <x:v>Revenue engine</x:v>
      </x:c>
      <x:c r="G185" s="63" t="str">
        <x:v>SUPPORTED</x:v>
      </x:c>
      <x:c r="H185" s="63" t="str">
        <x:v>OBSERVED</x:v>
      </x:c>
      <x:c r="I185" s="63" t="str">
        <x:v>E0</x:v>
      </x:c>
      <x:c r="J185" s="80" t="n">
        <x:v>0.95</x:v>
      </x:c>
      <x:c r="K185" s="63" t="n">
        <x:v>0</x:v>
      </x:c>
      <x:c r="L185" s="63" t="str">
        <x:v>bec:E16:obs:flow:collections, bec:E16:obs:trend:collections, bec:MTN-2025-REV</x:v>
      </x:c>
      <x:c r="M185" s="63" t="str"/>
      <x:c r="N185" s="63" t="str">
        <x:v>{"problems":["COLLECTIONS_INEFFICIENCY","WORKING_CAPITAL_PRESSURE"],"solutions":["COLLECTIONS","SUPPLY_CHAIN_FINANCE"],"timing":["collection seasonality"]}</x:v>
      </x:c>
    </x:row>
    <x:row r="186">
      <x:c r="A186" s="63" t="str">
        <x:v>E16</x:v>
      </x:c>
      <x:c r="B186" s="63" t="str">
        <x:v>MTN Group</x:v>
      </x:c>
      <x:c r="C186" s="63" t="str">
        <x:v>telecoms</x:v>
      </x:c>
      <x:c r="D186" s="63" t="str">
        <x:v>twin:E16:2026-06-30:3.1.0</x:v>
      </x:c>
      <x:c r="E186" s="63" t="str">
        <x:v>COST_ENGINE</x:v>
      </x:c>
      <x:c r="F186" s="63" t="str">
        <x:v>Cost engine</x:v>
      </x:c>
      <x:c r="G186" s="63" t="str">
        <x:v>SUPPORTED</x:v>
      </x:c>
      <x:c r="H186" s="63" t="str">
        <x:v>OBSERVED</x:v>
      </x:c>
      <x:c r="I186" s="63" t="str">
        <x:v>E0</x:v>
      </x:c>
      <x:c r="J186" s="80" t="n">
        <x:v>0.9</x:v>
      </x:c>
      <x:c r="K186" s="63" t="n">
        <x:v>0</x:v>
      </x:c>
      <x:c r="L186" s="63" t="str">
        <x:v>bec:E16:obs:flow:payments, bec:E16:obs:trend:payments</x:v>
      </x:c>
      <x:c r="M186" s="63" t="str">
        <x:v>No approved E1 evidence supports this domain. No audited cost base is available for this client.</x:v>
      </x:c>
      <x:c r="N186" s="63" t="str">
        <x:v>{"problems":["PAYMENTS_INEFFICIENCY","SUPPLY_CHAIN_RISK"],"solutions":["PAYMENTS","SUPPLY_CHAIN_FINANCE","TRADE_FINANCE"],"timing":["supplier payment runs"]}</x:v>
      </x:c>
    </x:row>
    <x:row r="187">
      <x:c r="A187" s="63" t="str">
        <x:v>E16</x:v>
      </x:c>
      <x:c r="B187" s="63" t="str">
        <x:v>MTN Group</x:v>
      </x:c>
      <x:c r="C187" s="63" t="str">
        <x:v>telecoms</x:v>
      </x:c>
      <x:c r="D187" s="63" t="str">
        <x:v>twin:E16:2026-06-30:3.1.0</x:v>
      </x:c>
      <x:c r="E187" s="63" t="str">
        <x:v>WORKING_CAPITAL_CYCLE</x:v>
      </x:c>
      <x:c r="F187" s="63" t="str">
        <x:v>Working-capital cycle</x:v>
      </x:c>
      <x:c r="G187" s="63" t="str">
        <x:v>INFERRED</x:v>
      </x:c>
      <x:c r="H187" s="63" t="str">
        <x:v>OBSERVED</x:v>
      </x:c>
      <x:c r="I187" s="63" t="str">
        <x:v>E0</x:v>
      </x:c>
      <x:c r="J187" s="80" t="n">
        <x:v>0.95</x:v>
      </x:c>
      <x:c r="K187" s="63" t="n">
        <x:v>0</x:v>
      </x:c>
      <x:c r="L187" s="63" t="str">
        <x:v>bec:E16:obs:events:trade-90d, bec:E16:obs:events:trade-90d-value, bec:E16:obs:flow:collections, bec:E16:obs:flow:payments, bec:E16:obs:flow:trade-finance, bec:E16:obs:latent:working_capital_intensity, bec:E16:obs:trend:collections, bec:E16:obs:trend:payments, bec:E16:obs:trend:trade-finance</x:v>
      </x:c>
      <x:c r="M187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87" s="63" t="str">
        <x:v>{"problems":["WORKING_CAPITAL_PRESSURE","SUPPLY_CHAIN_RISK"],"solutions":["WORKING_CAPITAL_REVOLVING","SUPPLY_CHAIN_FINANCE","TRADE_FINANCE"],"timing":["cash-conversion pressure points"]}</x:v>
      </x:c>
    </x:row>
    <x:row r="188">
      <x:c r="A188" s="63" t="str">
        <x:v>E16</x:v>
      </x:c>
      <x:c r="B188" s="63" t="str">
        <x:v>MTN Group</x:v>
      </x:c>
      <x:c r="C188" s="63" t="str">
        <x:v>telecoms</x:v>
      </x:c>
      <x:c r="D188" s="63" t="str">
        <x:v>twin:E16:2026-06-30:3.1.0</x:v>
      </x:c>
      <x:c r="E188" s="63" t="str">
        <x:v>FUNDING_STRUCTURE</x:v>
      </x:c>
      <x:c r="F188" s="63" t="str">
        <x:v>Funding structure</x:v>
      </x:c>
      <x:c r="G188" s="63" t="str">
        <x:v>INFERRED</x:v>
      </x:c>
      <x:c r="H188" s="63" t="str">
        <x:v>OBSERVED</x:v>
      </x:c>
      <x:c r="I188" s="63" t="str">
        <x:v>E0</x:v>
      </x:c>
      <x:c r="J188" s="80" t="n">
        <x:v>0.95</x:v>
      </x:c>
      <x:c r="K188" s="63" t="n">
        <x:v>0</x:v>
      </x:c>
      <x:c r="L188" s="63" t="str">
        <x:v>bec:E16:obs:latent:financing_need, bec:MTN-2025-DEBT</x:v>
      </x:c>
      <x:c r="M188" s="63" t="str">
        <x:v>No approved E1 evidence supports this domain. No audited debt or facility disclosure is available for this client.; full debt maturity ladder by instrument and tenor</x:v>
      </x:c>
      <x:c r="N188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189">
      <x:c r="A189" s="63" t="str">
        <x:v>E16</x:v>
      </x:c>
      <x:c r="B189" s="63" t="str">
        <x:v>MTN Group</x:v>
      </x:c>
      <x:c r="C189" s="63" t="str">
        <x:v>telecoms</x:v>
      </x:c>
      <x:c r="D189" s="63" t="str">
        <x:v>twin:E16:2026-06-30:3.1.0</x:v>
      </x:c>
      <x:c r="E189" s="63" t="str">
        <x:v>LIQUIDITY_AND_BUFFER</x:v>
      </x:c>
      <x:c r="F189" s="63" t="str">
        <x:v>Liquidity and cash buffer</x:v>
      </x:c>
      <x:c r="G189" s="63" t="str">
        <x:v>INFERRED</x:v>
      </x:c>
      <x:c r="H189" s="63" t="str">
        <x:v>OBSERVED</x:v>
      </x:c>
      <x:c r="I189" s="63" t="str">
        <x:v>E0</x:v>
      </x:c>
      <x:c r="J189" s="80" t="n">
        <x:v>0.9</x:v>
      </x:c>
      <x:c r="K189" s="63" t="n">
        <x:v>0</x:v>
      </x:c>
      <x:c r="L189" s="63" t="str">
        <x:v>bec:E16:obs:flow:liquidity, bec:E16:obs:latent:liquidity_volatility, bec:E16:obs:trend:liquidity, bec:MTN-2025-CASH</x:v>
      </x:c>
      <x:c r="M189" s="63" t="str">
        <x:v>undrawn committed facility headroom</x:v>
      </x:c>
      <x:c r="N189" s="63" t="str">
        <x:v>{"problems":["LIQUIDITY_FRAGMENTATION","REFINANCING_CLIFF"],"solutions":["LIQUIDITY_CASH_MANAGEMENT","WORKING_CAPITAL_REVOLVING"],"timing":["buffer depletion"]}</x:v>
      </x:c>
    </x:row>
    <x:row r="190">
      <x:c r="A190" s="63" t="str">
        <x:v>E16</x:v>
      </x:c>
      <x:c r="B190" s="63" t="str">
        <x:v>MTN Group</x:v>
      </x:c>
      <x:c r="C190" s="63" t="str">
        <x:v>telecoms</x:v>
      </x:c>
      <x:c r="D190" s="63" t="str">
        <x:v>twin:E16:2026-06-30:3.1.0</x:v>
      </x:c>
      <x:c r="E190" s="63" t="str">
        <x:v>OPERATING_MODEL</x:v>
      </x:c>
      <x:c r="F190" s="63" t="str">
        <x:v>Operating model</x:v>
      </x:c>
      <x:c r="G190" s="63" t="str">
        <x:v>SUPPORTED</x:v>
      </x:c>
      <x:c r="H190" s="63" t="str">
        <x:v>OBSERVED</x:v>
      </x:c>
      <x:c r="I190" s="63" t="str">
        <x:v>E0</x:v>
      </x:c>
      <x:c r="J190" s="80" t="n">
        <x:v>0.7</x:v>
      </x:c>
      <x:c r="K190" s="63" t="n">
        <x:v>0</x:v>
      </x:c>
      <x:c r="L190" s="63" t="str">
        <x:v>bec:E16:obs:events:trade-90d, bec:E16:obs:flow:trade-finance, bec:E16:obs:latent:operating_scale, bec:E16:obs:latent:relationship_complexity, bec:E16:obs:relationship-breadth, bec:E16:obs:trend:trade-finance, bec:E16:struct:operating-model</x:v>
      </x:c>
      <x:c r="M190" s="63" t="str">
        <x:v>client-specific ERP, shared-service and treasury system detail</x:v>
      </x:c>
      <x:c r="N190" s="63" t="str">
        <x:v>{"problems":["TREASURY_CENTRALISATION","OPERATIONAL_RESILIENCE"],"solutions":["PAYMENTS","LIQUIDITY_CASH_MANAGEMENT","COLLECTIONS"],"timing":["ERP and treasury system change windows"]}</x:v>
      </x:c>
    </x:row>
    <x:row r="191">
      <x:c r="A191" s="63" t="str">
        <x:v>E16</x:v>
      </x:c>
      <x:c r="B191" s="63" t="str">
        <x:v>MTN Group</x:v>
      </x:c>
      <x:c r="C191" s="63" t="str">
        <x:v>telecoms</x:v>
      </x:c>
      <x:c r="D191" s="63" t="str">
        <x:v>twin:E16:2026-06-30:3.1.0</x:v>
      </x:c>
      <x:c r="E191" s="63" t="str">
        <x:v>GEOGRAPHIC_EXPOSURE</x:v>
      </x:c>
      <x:c r="F191" s="63" t="str">
        <x:v>Geographic exposure</x:v>
      </x:c>
      <x:c r="G191" s="63" t="str">
        <x:v>SUPPORTED</x:v>
      </x:c>
      <x:c r="H191" s="63" t="str">
        <x:v>OBSERVED</x:v>
      </x:c>
      <x:c r="I191" s="63" t="str">
        <x:v>E0</x:v>
      </x:c>
      <x:c r="J191" s="80" t="n">
        <x:v>0.75</x:v>
      </x:c>
      <x:c r="K191" s="63" t="n">
        <x:v>0</x:v>
      </x:c>
      <x:c r="L191" s="63" t="str">
        <x:v>bec:E16:obs:corridor-name:0, bec:E16:obs:corridor-name:1, bec:E16:obs:corridor-name:2, bec:E16:obs:corridor:0, bec:E16:obs:corridor:1, bec:E16:obs:corridor:2, bec:E16:obs:country-count, bec:E16:obs:flow:cross-border-fx, bec:E16:obs:latent:international_exposure, bec:E16:obs:trend:cross-border-fx</x:v>
      </x:c>
      <x:c r="M191" s="63" t="str"/>
      <x:c r="N191" s="63" t="str">
        <x:v>{"problems":["FX_EXPOSURE","SUPPLY_CHAIN_RISK"],"solutions":["CROSS_BORDER_FX","TRADE_FINANCE"],"timing":["corridor seasonality"]}</x:v>
      </x:c>
    </x:row>
    <x:row r="192">
      <x:c r="A192" s="63" t="str">
        <x:v>E16</x:v>
      </x:c>
      <x:c r="B192" s="63" t="str">
        <x:v>MTN Group</x:v>
      </x:c>
      <x:c r="C192" s="63" t="str">
        <x:v>telecoms</x:v>
      </x:c>
      <x:c r="D192" s="63" t="str">
        <x:v>twin:E16:2026-06-30:3.1.0</x:v>
      </x:c>
      <x:c r="E192" s="63" t="str">
        <x:v>CURRENCY_AND_COMMODITY_EXPOSURE</x:v>
      </x:c>
      <x:c r="F192" s="63" t="str">
        <x:v>Currency and commodity exposure</x:v>
      </x:c>
      <x:c r="G192" s="63" t="str">
        <x:v>INFERRED</x:v>
      </x:c>
      <x:c r="H192" s="63" t="str">
        <x:v>OBSERVED</x:v>
      </x:c>
      <x:c r="I192" s="63" t="str">
        <x:v>E0</x:v>
      </x:c>
      <x:c r="J192" s="80" t="n">
        <x:v>0.85</x:v>
      </x:c>
      <x:c r="K192" s="63" t="n">
        <x:v>0</x:v>
      </x:c>
      <x:c r="L192" s="63" t="str">
        <x:v>bec:E16:obs:currency-pair:0, bec:E16:obs:currency-pair:1, bec:E16:obs:currency-pair:2, bec:E16:obs:currency:0, bec:E16:obs:currency:1, bec:E16:obs:currency:2, bec:E16:obs:flow:cross-border-fx, bec:E16:obs:trend:cross-border-fx</x:v>
      </x:c>
      <x:c r="M192" s="63" t="str">
        <x:v>hedge ratio; signed currency inflow/outflow split</x:v>
      </x:c>
      <x:c r="N192" s="63" t="str">
        <x:v>{"problems":["FX_EXPOSURE","COMMODITY_EXPOSURE"],"solutions":["CROSS_BORDER_FX","COMMODITY_RISK_MANAGEMENT"],"timing":["hedge roll dates"]}</x:v>
      </x:c>
    </x:row>
    <x:row r="193">
      <x:c r="A193" s="63" t="str">
        <x:v>E16</x:v>
      </x:c>
      <x:c r="B193" s="63" t="str">
        <x:v>MTN Group</x:v>
      </x:c>
      <x:c r="C193" s="63" t="str">
        <x:v>telecoms</x:v>
      </x:c>
      <x:c r="D193" s="63" t="str">
        <x:v>twin:E16:2026-06-30:3.1.0</x:v>
      </x:c>
      <x:c r="E193" s="63" t="str">
        <x:v>PROJECTS_SUBSIDIARIES_SPVS</x:v>
      </x:c>
      <x:c r="F193" s="63" t="str">
        <x:v>Projects, subsidiaries and SPVs</x:v>
      </x:c>
      <x:c r="G193" s="63" t="str">
        <x:v>UNKNOWN</x:v>
      </x:c>
      <x:c r="H193" s="63" t="str">
        <x:v>SCENARIO</x:v>
      </x:c>
      <x:c r="I193" s="63" t="str">
        <x:v>E0</x:v>
      </x:c>
      <x:c r="J193" s="80" t="n">
        <x:v>0.7</x:v>
      </x:c>
      <x:c r="K193" s="63"/>
      <x:c r="L193" s="63" t="str"/>
      <x:c r="M193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193" s="63" t="str">
        <x:v>{"problems":["PROJECT_MOBILISATION","GUARANTEE_OR_COLLATERAL_REQUIREMENT"],"solutions":["PROJECT_FINANCE","GUARANTEES_AND_LC","ESCROW_AND_AGENCY"],"timing":["project financial close"]}</x:v>
      </x:c>
    </x:row>
    <x:row r="194">
      <x:c r="A194" s="63" t="str">
        <x:v>E16</x:v>
      </x:c>
      <x:c r="B194" s="63" t="str">
        <x:v>MTN Group</x:v>
      </x:c>
      <x:c r="C194" s="63" t="str">
        <x:v>telecoms</x:v>
      </x:c>
      <x:c r="D194" s="63" t="str">
        <x:v>twin:E16:2026-06-30:3.1.0</x:v>
      </x:c>
      <x:c r="E194" s="63" t="str">
        <x:v>STAKEHOLDER_RESPONSIBILITY</x:v>
      </x:c>
      <x:c r="F194" s="63" t="str">
        <x:v>Stakeholder responsibility model</x:v>
      </x:c>
      <x:c r="G194" s="63" t="str">
        <x:v>SUPPORTED</x:v>
      </x:c>
      <x:c r="H194" s="63" t="str">
        <x:v>IDENTIFIED_BOUND</x:v>
      </x:c>
      <x:c r="I194" s="63" t="str">
        <x:v>E0</x:v>
      </x:c>
      <x:c r="J194" s="80" t="n">
        <x:v>0.6</x:v>
      </x:c>
      <x:c r="K194" s="63" t="n">
        <x:v>0</x:v>
      </x:c>
      <x:c r="L194" s="63" t="str">
        <x:v>bec:E16:struct:responsibility-model, bec:E16:struct:responsibility:fx_exposure, bec:E16:struct:responsibility:refinancing_cliff, bec:E16:struct:responsibility:working_capital_pressure</x:v>
      </x:c>
      <x:c r="M194" s="63" t="str">
        <x:v>client-confirmed decision authority and mandate limits</x:v>
      </x:c>
      <x:c r="N194" s="63" t="str">
        <x:v>{"problems":[],"solutions":[],"timing":["decision-authority availability"]}</x:v>
      </x:c>
    </x:row>
    <x:row r="195">
      <x:c r="A195" s="63" t="str">
        <x:v>E16</x:v>
      </x:c>
      <x:c r="B195" s="63" t="str">
        <x:v>MTN Group</x:v>
      </x:c>
      <x:c r="C195" s="63" t="str">
        <x:v>telecoms</x:v>
      </x:c>
      <x:c r="D195" s="63" t="str">
        <x:v>twin:E16:2026-06-30:3.1.0</x:v>
      </x:c>
      <x:c r="E195" s="63" t="str">
        <x:v>BUSINESS_AND_FINANCIAL_RISKS</x:v>
      </x:c>
      <x:c r="F195" s="63" t="str">
        <x:v>Business and financial risks</x:v>
      </x:c>
      <x:c r="G195" s="63" t="str">
        <x:v>SUPPORTED</x:v>
      </x:c>
      <x:c r="H195" s="63" t="str">
        <x:v>IDENTIFIED_BOUND</x:v>
      </x:c>
      <x:c r="I195" s="63" t="str">
        <x:v>E0</x:v>
      </x:c>
      <x:c r="J195" s="80" t="n">
        <x:v>0.65</x:v>
      </x:c>
      <x:c r="K195" s="63" t="n">
        <x:v>0</x:v>
      </x:c>
      <x:c r="L195" s="63" t="str">
        <x:v>bec:E16:struct:risk:0, bec:E16:struct:risk:1, bec:E16:struct:risk:2</x:v>
      </x:c>
      <x:c r="M195" s="63" t="str">
        <x:v>client risk-report extraction</x:v>
      </x:c>
      <x:c r="N195" s="63" t="str">
        <x:v>{"problems":["OPERATIONAL_RESILIENCE","COMMODITY_EXPOSURE"],"solutions":["COMMODITY_RISK_MANAGEMENT","GUARANTEES_AND_LC"],"timing":["risk-review cycle"]}</x:v>
      </x:c>
    </x:row>
    <x:row r="196">
      <x:c r="A196" s="63" t="str">
        <x:v>E16</x:v>
      </x:c>
      <x:c r="B196" s="63" t="str">
        <x:v>MTN Group</x:v>
      </x:c>
      <x:c r="C196" s="63" t="str">
        <x:v>telecoms</x:v>
      </x:c>
      <x:c r="D196" s="63" t="str">
        <x:v>twin:E16:2026-06-30:3.1.0</x:v>
      </x:c>
      <x:c r="E196" s="63" t="str">
        <x:v>STRATEGY_ACTIONS_AND_ESG</x:v>
      </x:c>
      <x:c r="F196" s="63" t="str">
        <x:v>Strategy, corporate actions and ESG activity</x:v>
      </x:c>
      <x:c r="G196" s="63" t="str">
        <x:v>SUPPORTED</x:v>
      </x:c>
      <x:c r="H196" s="63" t="str">
        <x:v>OBSERVED</x:v>
      </x:c>
      <x:c r="I196" s="63" t="str">
        <x:v>E0</x:v>
      </x:c>
      <x:c r="J196" s="80" t="n">
        <x:v>0.55</x:v>
      </x:c>
      <x:c r="K196" s="63" t="n">
        <x:v>0</x:v>
      </x:c>
      <x:c r="L196" s="63" t="str">
        <x:v>bec:E16:obs:latent:event_intensity</x:v>
      </x:c>
      <x:c r="M196" s="63" t="str">
        <x:v>announced corporate actions; evidence-based ESG activity and transition targets</x:v>
      </x:c>
      <x:c r="N196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197">
      <x:c r="A197" s="63" t="str">
        <x:v>E17</x:v>
      </x:c>
      <x:c r="B197" s="63" t="str">
        <x:v>Vodacom Group</x:v>
      </x:c>
      <x:c r="C197" s="63" t="str">
        <x:v>telecoms</x:v>
      </x:c>
      <x:c r="D197" s="63" t="str">
        <x:v>twin:E17:2026-06-30:3.1.0</x:v>
      </x:c>
      <x:c r="E197" s="63" t="str">
        <x:v>REVENUE_ENGINE</x:v>
      </x:c>
      <x:c r="F197" s="63" t="str">
        <x:v>Revenue engine</x:v>
      </x:c>
      <x:c r="G197" s="63" t="str">
        <x:v>SUPPORTED</x:v>
      </x:c>
      <x:c r="H197" s="63" t="str">
        <x:v>OBSERVED</x:v>
      </x:c>
      <x:c r="I197" s="63" t="str">
        <x:v>E0</x:v>
      </x:c>
      <x:c r="J197" s="80" t="n">
        <x:v>0.95</x:v>
      </x:c>
      <x:c r="K197" s="63" t="n">
        <x:v>0</x:v>
      </x:c>
      <x:c r="L197" s="63" t="str">
        <x:v>bec:E17:obs:flow:collections, bec:E17:obs:trend:collections, bec:VODACOM-2026-REV</x:v>
      </x:c>
      <x:c r="M197" s="63" t="str"/>
      <x:c r="N197" s="63" t="str">
        <x:v>{"problems":["COLLECTIONS_INEFFICIENCY","WORKING_CAPITAL_PRESSURE"],"solutions":["COLLECTIONS","SUPPLY_CHAIN_FINANCE"],"timing":["collection seasonality"]}</x:v>
      </x:c>
    </x:row>
    <x:row r="198">
      <x:c r="A198" s="63" t="str">
        <x:v>E17</x:v>
      </x:c>
      <x:c r="B198" s="63" t="str">
        <x:v>Vodacom Group</x:v>
      </x:c>
      <x:c r="C198" s="63" t="str">
        <x:v>telecoms</x:v>
      </x:c>
      <x:c r="D198" s="63" t="str">
        <x:v>twin:E17:2026-06-30:3.1.0</x:v>
      </x:c>
      <x:c r="E198" s="63" t="str">
        <x:v>COST_ENGINE</x:v>
      </x:c>
      <x:c r="F198" s="63" t="str">
        <x:v>Cost engine</x:v>
      </x:c>
      <x:c r="G198" s="63" t="str">
        <x:v>SUPPORTED</x:v>
      </x:c>
      <x:c r="H198" s="63" t="str">
        <x:v>OBSERVED</x:v>
      </x:c>
      <x:c r="I198" s="63" t="str">
        <x:v>E0</x:v>
      </x:c>
      <x:c r="J198" s="80" t="n">
        <x:v>0.9</x:v>
      </x:c>
      <x:c r="K198" s="63" t="n">
        <x:v>0</x:v>
      </x:c>
      <x:c r="L198" s="63" t="str">
        <x:v>bec:E17:obs:flow:payments, bec:E17:obs:trend:payments</x:v>
      </x:c>
      <x:c r="M198" s="63" t="str">
        <x:v>No approved E1 evidence supports this domain. No audited cost base is available for this client.</x:v>
      </x:c>
      <x:c r="N198" s="63" t="str">
        <x:v>{"problems":["PAYMENTS_INEFFICIENCY","SUPPLY_CHAIN_RISK"],"solutions":["PAYMENTS","SUPPLY_CHAIN_FINANCE","TRADE_FINANCE"],"timing":["supplier payment runs"]}</x:v>
      </x:c>
    </x:row>
    <x:row r="199">
      <x:c r="A199" s="63" t="str">
        <x:v>E17</x:v>
      </x:c>
      <x:c r="B199" s="63" t="str">
        <x:v>Vodacom Group</x:v>
      </x:c>
      <x:c r="C199" s="63" t="str">
        <x:v>telecoms</x:v>
      </x:c>
      <x:c r="D199" s="63" t="str">
        <x:v>twin:E17:2026-06-30:3.1.0</x:v>
      </x:c>
      <x:c r="E199" s="63" t="str">
        <x:v>WORKING_CAPITAL_CYCLE</x:v>
      </x:c>
      <x:c r="F199" s="63" t="str">
        <x:v>Working-capital cycle</x:v>
      </x:c>
      <x:c r="G199" s="63" t="str">
        <x:v>INFERRED</x:v>
      </x:c>
      <x:c r="H199" s="63" t="str">
        <x:v>OBSERVED</x:v>
      </x:c>
      <x:c r="I199" s="63" t="str">
        <x:v>E0</x:v>
      </x:c>
      <x:c r="J199" s="80" t="n">
        <x:v>0.95</x:v>
      </x:c>
      <x:c r="K199" s="63" t="n">
        <x:v>0</x:v>
      </x:c>
      <x:c r="L199" s="63" t="str">
        <x:v>bec:E17:obs:events:trade-90d, bec:E17:obs:events:trade-90d-value, bec:E17:obs:flow:collections, bec:E17:obs:flow:payments, bec:E17:obs:flow:trade-finance, bec:E17:obs:latent:working_capital_intensity, bec:E17:obs:trend:collections, bec:E17:obs:trend:payments, bec:E17:obs:trend:trade-finance</x:v>
      </x:c>
      <x:c r="M199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199" s="63" t="str">
        <x:v>{"problems":["WORKING_CAPITAL_PRESSURE","SUPPLY_CHAIN_RISK"],"solutions":["WORKING_CAPITAL_REVOLVING","SUPPLY_CHAIN_FINANCE","TRADE_FINANCE"],"timing":["cash-conversion pressure points"]}</x:v>
      </x:c>
    </x:row>
    <x:row r="200">
      <x:c r="A200" s="63" t="str">
        <x:v>E17</x:v>
      </x:c>
      <x:c r="B200" s="63" t="str">
        <x:v>Vodacom Group</x:v>
      </x:c>
      <x:c r="C200" s="63" t="str">
        <x:v>telecoms</x:v>
      </x:c>
      <x:c r="D200" s="63" t="str">
        <x:v>twin:E17:2026-06-30:3.1.0</x:v>
      </x:c>
      <x:c r="E200" s="63" t="str">
        <x:v>FUNDING_STRUCTURE</x:v>
      </x:c>
      <x:c r="F200" s="63" t="str">
        <x:v>Funding structure</x:v>
      </x:c>
      <x:c r="G200" s="63" t="str">
        <x:v>INFERRED</x:v>
      </x:c>
      <x:c r="H200" s="63" t="str">
        <x:v>OBSERVED</x:v>
      </x:c>
      <x:c r="I200" s="63" t="str">
        <x:v>E0</x:v>
      </x:c>
      <x:c r="J200" s="80" t="n">
        <x:v>0.95</x:v>
      </x:c>
      <x:c r="K200" s="63" t="n">
        <x:v>0</x:v>
      </x:c>
      <x:c r="L200" s="63" t="str">
        <x:v>bec:E17:obs:latent:financing_need, bec:VODACOM-2026-DEBT</x:v>
      </x:c>
      <x:c r="M200" s="63" t="str">
        <x:v>No approved E1 evidence supports this domain. No audited debt or facility disclosure is available for this client.; full debt maturity ladder by instrument and tenor</x:v>
      </x:c>
      <x:c r="N200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201">
      <x:c r="A201" s="63" t="str">
        <x:v>E17</x:v>
      </x:c>
      <x:c r="B201" s="63" t="str">
        <x:v>Vodacom Group</x:v>
      </x:c>
      <x:c r="C201" s="63" t="str">
        <x:v>telecoms</x:v>
      </x:c>
      <x:c r="D201" s="63" t="str">
        <x:v>twin:E17:2026-06-30:3.1.0</x:v>
      </x:c>
      <x:c r="E201" s="63" t="str">
        <x:v>LIQUIDITY_AND_BUFFER</x:v>
      </x:c>
      <x:c r="F201" s="63" t="str">
        <x:v>Liquidity and cash buffer</x:v>
      </x:c>
      <x:c r="G201" s="63" t="str">
        <x:v>INFERRED</x:v>
      </x:c>
      <x:c r="H201" s="63" t="str">
        <x:v>OBSERVED</x:v>
      </x:c>
      <x:c r="I201" s="63" t="str">
        <x:v>E0</x:v>
      </x:c>
      <x:c r="J201" s="80" t="n">
        <x:v>0.9</x:v>
      </x:c>
      <x:c r="K201" s="63" t="n">
        <x:v>0</x:v>
      </x:c>
      <x:c r="L201" s="63" t="str">
        <x:v>bec:E17:obs:flow:liquidity, bec:E17:obs:latent:liquidity_volatility, bec:E17:obs:trend:liquidity, bec:VODACOM-2026-CASH</x:v>
      </x:c>
      <x:c r="M201" s="63" t="str">
        <x:v>undrawn committed facility headroom</x:v>
      </x:c>
      <x:c r="N201" s="63" t="str">
        <x:v>{"problems":["LIQUIDITY_FRAGMENTATION","REFINANCING_CLIFF"],"solutions":["LIQUIDITY_CASH_MANAGEMENT","WORKING_CAPITAL_REVOLVING"],"timing":["buffer depletion"]}</x:v>
      </x:c>
    </x:row>
    <x:row r="202">
      <x:c r="A202" s="63" t="str">
        <x:v>E17</x:v>
      </x:c>
      <x:c r="B202" s="63" t="str">
        <x:v>Vodacom Group</x:v>
      </x:c>
      <x:c r="C202" s="63" t="str">
        <x:v>telecoms</x:v>
      </x:c>
      <x:c r="D202" s="63" t="str">
        <x:v>twin:E17:2026-06-30:3.1.0</x:v>
      </x:c>
      <x:c r="E202" s="63" t="str">
        <x:v>OPERATING_MODEL</x:v>
      </x:c>
      <x:c r="F202" s="63" t="str">
        <x:v>Operating model</x:v>
      </x:c>
      <x:c r="G202" s="63" t="str">
        <x:v>SUPPORTED</x:v>
      </x:c>
      <x:c r="H202" s="63" t="str">
        <x:v>OBSERVED</x:v>
      </x:c>
      <x:c r="I202" s="63" t="str">
        <x:v>E0</x:v>
      </x:c>
      <x:c r="J202" s="80" t="n">
        <x:v>0.7</x:v>
      </x:c>
      <x:c r="K202" s="63" t="n">
        <x:v>0</x:v>
      </x:c>
      <x:c r="L202" s="63" t="str">
        <x:v>bec:E17:obs:events:trade-90d, bec:E17:obs:flow:trade-finance, bec:E17:obs:latent:operating_scale, bec:E17:obs:latent:relationship_complexity, bec:E17:obs:relationship-breadth, bec:E17:obs:trend:trade-finance, bec:E17:struct:operating-model</x:v>
      </x:c>
      <x:c r="M202" s="63" t="str">
        <x:v>client-specific ERP, shared-service and treasury system detail</x:v>
      </x:c>
      <x:c r="N202" s="63" t="str">
        <x:v>{"problems":["TREASURY_CENTRALISATION","OPERATIONAL_RESILIENCE"],"solutions":["PAYMENTS","LIQUIDITY_CASH_MANAGEMENT","COLLECTIONS"],"timing":["ERP and treasury system change windows"]}</x:v>
      </x:c>
    </x:row>
    <x:row r="203">
      <x:c r="A203" s="63" t="str">
        <x:v>E17</x:v>
      </x:c>
      <x:c r="B203" s="63" t="str">
        <x:v>Vodacom Group</x:v>
      </x:c>
      <x:c r="C203" s="63" t="str">
        <x:v>telecoms</x:v>
      </x:c>
      <x:c r="D203" s="63" t="str">
        <x:v>twin:E17:2026-06-30:3.1.0</x:v>
      </x:c>
      <x:c r="E203" s="63" t="str">
        <x:v>GEOGRAPHIC_EXPOSURE</x:v>
      </x:c>
      <x:c r="F203" s="63" t="str">
        <x:v>Geographic exposure</x:v>
      </x:c>
      <x:c r="G203" s="63" t="str">
        <x:v>SUPPORTED</x:v>
      </x:c>
      <x:c r="H203" s="63" t="str">
        <x:v>OBSERVED</x:v>
      </x:c>
      <x:c r="I203" s="63" t="str">
        <x:v>E0</x:v>
      </x:c>
      <x:c r="J203" s="80" t="n">
        <x:v>0.75</x:v>
      </x:c>
      <x:c r="K203" s="63" t="n">
        <x:v>0</x:v>
      </x:c>
      <x:c r="L203" s="63" t="str">
        <x:v>bec:E17:obs:corridor-name:0, bec:E17:obs:corridor-name:1, bec:E17:obs:corridor-name:2, bec:E17:obs:corridor:0, bec:E17:obs:corridor:1, bec:E17:obs:corridor:2, bec:E17:obs:country-count, bec:E17:obs:flow:cross-border-fx, bec:E17:obs:latent:international_exposure, bec:E17:obs:trend:cross-border-fx</x:v>
      </x:c>
      <x:c r="M203" s="63" t="str"/>
      <x:c r="N203" s="63" t="str">
        <x:v>{"problems":["FX_EXPOSURE","SUPPLY_CHAIN_RISK"],"solutions":["CROSS_BORDER_FX","TRADE_FINANCE"],"timing":["corridor seasonality"]}</x:v>
      </x:c>
    </x:row>
    <x:row r="204">
      <x:c r="A204" s="63" t="str">
        <x:v>E17</x:v>
      </x:c>
      <x:c r="B204" s="63" t="str">
        <x:v>Vodacom Group</x:v>
      </x:c>
      <x:c r="C204" s="63" t="str">
        <x:v>telecoms</x:v>
      </x:c>
      <x:c r="D204" s="63" t="str">
        <x:v>twin:E17:2026-06-30:3.1.0</x:v>
      </x:c>
      <x:c r="E204" s="63" t="str">
        <x:v>CURRENCY_AND_COMMODITY_EXPOSURE</x:v>
      </x:c>
      <x:c r="F204" s="63" t="str">
        <x:v>Currency and commodity exposure</x:v>
      </x:c>
      <x:c r="G204" s="63" t="str">
        <x:v>INFERRED</x:v>
      </x:c>
      <x:c r="H204" s="63" t="str">
        <x:v>OBSERVED</x:v>
      </x:c>
      <x:c r="I204" s="63" t="str">
        <x:v>E0</x:v>
      </x:c>
      <x:c r="J204" s="80" t="n">
        <x:v>0.85</x:v>
      </x:c>
      <x:c r="K204" s="63" t="n">
        <x:v>0</x:v>
      </x:c>
      <x:c r="L204" s="63" t="str">
        <x:v>bec:E17:obs:currency-pair:0, bec:E17:obs:currency-pair:1, bec:E17:obs:currency-pair:2, bec:E17:obs:currency:0, bec:E17:obs:currency:1, bec:E17:obs:currency:2, bec:E17:obs:flow:cross-border-fx, bec:E17:obs:trend:cross-border-fx</x:v>
      </x:c>
      <x:c r="M204" s="63" t="str">
        <x:v>hedge ratio; signed currency inflow/outflow split</x:v>
      </x:c>
      <x:c r="N204" s="63" t="str">
        <x:v>{"problems":["FX_EXPOSURE","COMMODITY_EXPOSURE"],"solutions":["CROSS_BORDER_FX","COMMODITY_RISK_MANAGEMENT"],"timing":["hedge roll dates"]}</x:v>
      </x:c>
    </x:row>
    <x:row r="205">
      <x:c r="A205" s="63" t="str">
        <x:v>E17</x:v>
      </x:c>
      <x:c r="B205" s="63" t="str">
        <x:v>Vodacom Group</x:v>
      </x:c>
      <x:c r="C205" s="63" t="str">
        <x:v>telecoms</x:v>
      </x:c>
      <x:c r="D205" s="63" t="str">
        <x:v>twin:E17:2026-06-30:3.1.0</x:v>
      </x:c>
      <x:c r="E205" s="63" t="str">
        <x:v>PROJECTS_SUBSIDIARIES_SPVS</x:v>
      </x:c>
      <x:c r="F205" s="63" t="str">
        <x:v>Projects, subsidiaries and SPVs</x:v>
      </x:c>
      <x:c r="G205" s="63" t="str">
        <x:v>UNKNOWN</x:v>
      </x:c>
      <x:c r="H205" s="63" t="str">
        <x:v>SCENARIO</x:v>
      </x:c>
      <x:c r="I205" s="63" t="str">
        <x:v>E0</x:v>
      </x:c>
      <x:c r="J205" s="80" t="n">
        <x:v>0.7</x:v>
      </x:c>
      <x:c r="K205" s="63"/>
      <x:c r="L205" s="63" t="str"/>
      <x:c r="M205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205" s="63" t="str">
        <x:v>{"problems":["PROJECT_MOBILISATION","GUARANTEE_OR_COLLATERAL_REQUIREMENT"],"solutions":["PROJECT_FINANCE","GUARANTEES_AND_LC","ESCROW_AND_AGENCY"],"timing":["project financial close"]}</x:v>
      </x:c>
    </x:row>
    <x:row r="206">
      <x:c r="A206" s="63" t="str">
        <x:v>E17</x:v>
      </x:c>
      <x:c r="B206" s="63" t="str">
        <x:v>Vodacom Group</x:v>
      </x:c>
      <x:c r="C206" s="63" t="str">
        <x:v>telecoms</x:v>
      </x:c>
      <x:c r="D206" s="63" t="str">
        <x:v>twin:E17:2026-06-30:3.1.0</x:v>
      </x:c>
      <x:c r="E206" s="63" t="str">
        <x:v>STAKEHOLDER_RESPONSIBILITY</x:v>
      </x:c>
      <x:c r="F206" s="63" t="str">
        <x:v>Stakeholder responsibility model</x:v>
      </x:c>
      <x:c r="G206" s="63" t="str">
        <x:v>SUPPORTED</x:v>
      </x:c>
      <x:c r="H206" s="63" t="str">
        <x:v>IDENTIFIED_BOUND</x:v>
      </x:c>
      <x:c r="I206" s="63" t="str">
        <x:v>E0</x:v>
      </x:c>
      <x:c r="J206" s="80" t="n">
        <x:v>0.6</x:v>
      </x:c>
      <x:c r="K206" s="63" t="n">
        <x:v>0</x:v>
      </x:c>
      <x:c r="L206" s="63" t="str">
        <x:v>bec:E17:struct:responsibility-model, bec:E17:struct:responsibility:fx_exposure, bec:E17:struct:responsibility:refinancing_cliff, bec:E17:struct:responsibility:working_capital_pressure</x:v>
      </x:c>
      <x:c r="M206" s="63" t="str">
        <x:v>client-confirmed decision authority and mandate limits</x:v>
      </x:c>
      <x:c r="N206" s="63" t="str">
        <x:v>{"problems":[],"solutions":[],"timing":["decision-authority availability"]}</x:v>
      </x:c>
    </x:row>
    <x:row r="207">
      <x:c r="A207" s="63" t="str">
        <x:v>E17</x:v>
      </x:c>
      <x:c r="B207" s="63" t="str">
        <x:v>Vodacom Group</x:v>
      </x:c>
      <x:c r="C207" s="63" t="str">
        <x:v>telecoms</x:v>
      </x:c>
      <x:c r="D207" s="63" t="str">
        <x:v>twin:E17:2026-06-30:3.1.0</x:v>
      </x:c>
      <x:c r="E207" s="63" t="str">
        <x:v>BUSINESS_AND_FINANCIAL_RISKS</x:v>
      </x:c>
      <x:c r="F207" s="63" t="str">
        <x:v>Business and financial risks</x:v>
      </x:c>
      <x:c r="G207" s="63" t="str">
        <x:v>SUPPORTED</x:v>
      </x:c>
      <x:c r="H207" s="63" t="str">
        <x:v>IDENTIFIED_BOUND</x:v>
      </x:c>
      <x:c r="I207" s="63" t="str">
        <x:v>E0</x:v>
      </x:c>
      <x:c r="J207" s="80" t="n">
        <x:v>0.65</x:v>
      </x:c>
      <x:c r="K207" s="63" t="n">
        <x:v>0</x:v>
      </x:c>
      <x:c r="L207" s="63" t="str">
        <x:v>bec:E17:struct:risk:0, bec:E17:struct:risk:1, bec:E17:struct:risk:2</x:v>
      </x:c>
      <x:c r="M207" s="63" t="str">
        <x:v>client risk-report extraction</x:v>
      </x:c>
      <x:c r="N207" s="63" t="str">
        <x:v>{"problems":["OPERATIONAL_RESILIENCE","COMMODITY_EXPOSURE"],"solutions":["COMMODITY_RISK_MANAGEMENT","GUARANTEES_AND_LC"],"timing":["risk-review cycle"]}</x:v>
      </x:c>
    </x:row>
    <x:row r="208">
      <x:c r="A208" s="63" t="str">
        <x:v>E17</x:v>
      </x:c>
      <x:c r="B208" s="63" t="str">
        <x:v>Vodacom Group</x:v>
      </x:c>
      <x:c r="C208" s="63" t="str">
        <x:v>telecoms</x:v>
      </x:c>
      <x:c r="D208" s="63" t="str">
        <x:v>twin:E17:2026-06-30:3.1.0</x:v>
      </x:c>
      <x:c r="E208" s="63" t="str">
        <x:v>STRATEGY_ACTIONS_AND_ESG</x:v>
      </x:c>
      <x:c r="F208" s="63" t="str">
        <x:v>Strategy, corporate actions and ESG activity</x:v>
      </x:c>
      <x:c r="G208" s="63" t="str">
        <x:v>SUPPORTED</x:v>
      </x:c>
      <x:c r="H208" s="63" t="str">
        <x:v>OBSERVED</x:v>
      </x:c>
      <x:c r="I208" s="63" t="str">
        <x:v>E0</x:v>
      </x:c>
      <x:c r="J208" s="80" t="n">
        <x:v>0.55</x:v>
      </x:c>
      <x:c r="K208" s="63" t="n">
        <x:v>0</x:v>
      </x:c>
      <x:c r="L208" s="63" t="str">
        <x:v>bec:E17:obs:latent:event_intensity</x:v>
      </x:c>
      <x:c r="M208" s="63" t="str">
        <x:v>announced corporate actions; evidence-based ESG activity and transition targets</x:v>
      </x:c>
      <x:c r="N208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209">
      <x:c r="A209" s="63" t="str">
        <x:v>E18</x:v>
      </x:c>
      <x:c r="B209" s="63" t="str">
        <x:v>The Bidvest Group</x:v>
      </x:c>
      <x:c r="C209" s="63" t="str">
        <x:v>industrials_pharma</x:v>
      </x:c>
      <x:c r="D209" s="63" t="str">
        <x:v>twin:E18:2026-06-30:3.1.0</x:v>
      </x:c>
      <x:c r="E209" s="63" t="str">
        <x:v>REVENUE_ENGINE</x:v>
      </x:c>
      <x:c r="F209" s="63" t="str">
        <x:v>Revenue engine</x:v>
      </x:c>
      <x:c r="G209" s="63" t="str">
        <x:v>SUPPORTED</x:v>
      </x:c>
      <x:c r="H209" s="63" t="str">
        <x:v>OBSERVED</x:v>
      </x:c>
      <x:c r="I209" s="63" t="str">
        <x:v>E0</x:v>
      </x:c>
      <x:c r="J209" s="80" t="n">
        <x:v>0.95</x:v>
      </x:c>
      <x:c r="K209" s="63" t="n">
        <x:v>0</x:v>
      </x:c>
      <x:c r="L209" s="63" t="str">
        <x:v>bec:BIDVEST-2025-REV, bec:E18:obs:flow:collections, bec:E18:obs:trend:collections</x:v>
      </x:c>
      <x:c r="M209" s="63" t="str"/>
      <x:c r="N209" s="63" t="str">
        <x:v>{"problems":["COLLECTIONS_INEFFICIENCY","WORKING_CAPITAL_PRESSURE"],"solutions":["COLLECTIONS","SUPPLY_CHAIN_FINANCE"],"timing":["collection seasonality"]}</x:v>
      </x:c>
    </x:row>
    <x:row r="210">
      <x:c r="A210" s="63" t="str">
        <x:v>E18</x:v>
      </x:c>
      <x:c r="B210" s="63" t="str">
        <x:v>The Bidvest Group</x:v>
      </x:c>
      <x:c r="C210" s="63" t="str">
        <x:v>industrials_pharma</x:v>
      </x:c>
      <x:c r="D210" s="63" t="str">
        <x:v>twin:E18:2026-06-30:3.1.0</x:v>
      </x:c>
      <x:c r="E210" s="63" t="str">
        <x:v>COST_ENGINE</x:v>
      </x:c>
      <x:c r="F210" s="63" t="str">
        <x:v>Cost engine</x:v>
      </x:c>
      <x:c r="G210" s="63" t="str">
        <x:v>SUPPORTED</x:v>
      </x:c>
      <x:c r="H210" s="63" t="str">
        <x:v>OBSERVED</x:v>
      </x:c>
      <x:c r="I210" s="63" t="str">
        <x:v>E0</x:v>
      </x:c>
      <x:c r="J210" s="80" t="n">
        <x:v>0.9</x:v>
      </x:c>
      <x:c r="K210" s="63" t="n">
        <x:v>0</x:v>
      </x:c>
      <x:c r="L210" s="63" t="str">
        <x:v>bec:E18:obs:flow:payments, bec:E18:obs:trend:payments</x:v>
      </x:c>
      <x:c r="M210" s="63" t="str">
        <x:v>No approved E1 evidence supports this domain. No audited cost base is available for this client.</x:v>
      </x:c>
      <x:c r="N210" s="63" t="str">
        <x:v>{"problems":["PAYMENTS_INEFFICIENCY","SUPPLY_CHAIN_RISK"],"solutions":["PAYMENTS","SUPPLY_CHAIN_FINANCE","TRADE_FINANCE"],"timing":["supplier payment runs"]}</x:v>
      </x:c>
    </x:row>
    <x:row r="211">
      <x:c r="A211" s="63" t="str">
        <x:v>E18</x:v>
      </x:c>
      <x:c r="B211" s="63" t="str">
        <x:v>The Bidvest Group</x:v>
      </x:c>
      <x:c r="C211" s="63" t="str">
        <x:v>industrials_pharma</x:v>
      </x:c>
      <x:c r="D211" s="63" t="str">
        <x:v>twin:E18:2026-06-30:3.1.0</x:v>
      </x:c>
      <x:c r="E211" s="63" t="str">
        <x:v>WORKING_CAPITAL_CYCLE</x:v>
      </x:c>
      <x:c r="F211" s="63" t="str">
        <x:v>Working-capital cycle</x:v>
      </x:c>
      <x:c r="G211" s="63" t="str">
        <x:v>INFERRED</x:v>
      </x:c>
      <x:c r="H211" s="63" t="str">
        <x:v>OBSERVED</x:v>
      </x:c>
      <x:c r="I211" s="63" t="str">
        <x:v>E0</x:v>
      </x:c>
      <x:c r="J211" s="80" t="n">
        <x:v>0.95</x:v>
      </x:c>
      <x:c r="K211" s="63" t="n">
        <x:v>0</x:v>
      </x:c>
      <x:c r="L211" s="63" t="str">
        <x:v>bec:E18:obs:events:trade-90d, bec:E18:obs:events:trade-90d-value, bec:E18:obs:flow:collections, bec:E18:obs:flow:payments, bec:E18:obs:flow:trade-finance, bec:E18:obs:latent:working_capital_intensity, bec:E18:obs:trend:collections, bec:E18:obs:trend:payments, bec:E18:obs:trend:trade-finance</x:v>
      </x:c>
      <x:c r="M211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211" s="63" t="str">
        <x:v>{"problems":["WORKING_CAPITAL_PRESSURE","SUPPLY_CHAIN_RISK"],"solutions":["WORKING_CAPITAL_REVOLVING","SUPPLY_CHAIN_FINANCE","TRADE_FINANCE"],"timing":["cash-conversion pressure points"]}</x:v>
      </x:c>
    </x:row>
    <x:row r="212">
      <x:c r="A212" s="63" t="str">
        <x:v>E18</x:v>
      </x:c>
      <x:c r="B212" s="63" t="str">
        <x:v>The Bidvest Group</x:v>
      </x:c>
      <x:c r="C212" s="63" t="str">
        <x:v>industrials_pharma</x:v>
      </x:c>
      <x:c r="D212" s="63" t="str">
        <x:v>twin:E18:2026-06-30:3.1.0</x:v>
      </x:c>
      <x:c r="E212" s="63" t="str">
        <x:v>FUNDING_STRUCTURE</x:v>
      </x:c>
      <x:c r="F212" s="63" t="str">
        <x:v>Funding structure</x:v>
      </x:c>
      <x:c r="G212" s="63" t="str">
        <x:v>INFERRED</x:v>
      </x:c>
      <x:c r="H212" s="63" t="str">
        <x:v>OBSERVED</x:v>
      </x:c>
      <x:c r="I212" s="63" t="str">
        <x:v>E0</x:v>
      </x:c>
      <x:c r="J212" s="80" t="n">
        <x:v>0.95</x:v>
      </x:c>
      <x:c r="K212" s="63" t="n">
        <x:v>0</x:v>
      </x:c>
      <x:c r="L212" s="63" t="str">
        <x:v>bec:BIDVEST-2025-DEBT, bec:E18:obs:latent:financing_need</x:v>
      </x:c>
      <x:c r="M212" s="63" t="str">
        <x:v>No approved E1 evidence supports this domain. No audited debt or facility disclosure is available for this client.; full debt maturity ladder by instrument and tenor</x:v>
      </x:c>
      <x:c r="N212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213">
      <x:c r="A213" s="63" t="str">
        <x:v>E18</x:v>
      </x:c>
      <x:c r="B213" s="63" t="str">
        <x:v>The Bidvest Group</x:v>
      </x:c>
      <x:c r="C213" s="63" t="str">
        <x:v>industrials_pharma</x:v>
      </x:c>
      <x:c r="D213" s="63" t="str">
        <x:v>twin:E18:2026-06-30:3.1.0</x:v>
      </x:c>
      <x:c r="E213" s="63" t="str">
        <x:v>LIQUIDITY_AND_BUFFER</x:v>
      </x:c>
      <x:c r="F213" s="63" t="str">
        <x:v>Liquidity and cash buffer</x:v>
      </x:c>
      <x:c r="G213" s="63" t="str">
        <x:v>INFERRED</x:v>
      </x:c>
      <x:c r="H213" s="63" t="str">
        <x:v>OBSERVED</x:v>
      </x:c>
      <x:c r="I213" s="63" t="str">
        <x:v>E0</x:v>
      </x:c>
      <x:c r="J213" s="80" t="n">
        <x:v>0.9</x:v>
      </x:c>
      <x:c r="K213" s="63" t="n">
        <x:v>0</x:v>
      </x:c>
      <x:c r="L213" s="63" t="str">
        <x:v>bec:BIDVEST-2025-CASH, bec:E18:obs:flow:liquidity, bec:E18:obs:latent:liquidity_volatility, bec:E18:obs:trend:liquidity</x:v>
      </x:c>
      <x:c r="M213" s="63" t="str">
        <x:v>undrawn committed facility headroom</x:v>
      </x:c>
      <x:c r="N213" s="63" t="str">
        <x:v>{"problems":["LIQUIDITY_FRAGMENTATION","REFINANCING_CLIFF"],"solutions":["LIQUIDITY_CASH_MANAGEMENT","WORKING_CAPITAL_REVOLVING"],"timing":["buffer depletion"]}</x:v>
      </x:c>
    </x:row>
    <x:row r="214">
      <x:c r="A214" s="63" t="str">
        <x:v>E18</x:v>
      </x:c>
      <x:c r="B214" s="63" t="str">
        <x:v>The Bidvest Group</x:v>
      </x:c>
      <x:c r="C214" s="63" t="str">
        <x:v>industrials_pharma</x:v>
      </x:c>
      <x:c r="D214" s="63" t="str">
        <x:v>twin:E18:2026-06-30:3.1.0</x:v>
      </x:c>
      <x:c r="E214" s="63" t="str">
        <x:v>OPERATING_MODEL</x:v>
      </x:c>
      <x:c r="F214" s="63" t="str">
        <x:v>Operating model</x:v>
      </x:c>
      <x:c r="G214" s="63" t="str">
        <x:v>SUPPORTED</x:v>
      </x:c>
      <x:c r="H214" s="63" t="str">
        <x:v>OBSERVED</x:v>
      </x:c>
      <x:c r="I214" s="63" t="str">
        <x:v>E0</x:v>
      </x:c>
      <x:c r="J214" s="80" t="n">
        <x:v>0.7</x:v>
      </x:c>
      <x:c r="K214" s="63" t="n">
        <x:v>0</x:v>
      </x:c>
      <x:c r="L214" s="63" t="str">
        <x:v>bec:E18:obs:events:trade-90d, bec:E18:obs:flow:trade-finance, bec:E18:obs:latent:operating_scale, bec:E18:obs:latent:relationship_complexity, bec:E18:obs:relationship-breadth, bec:E18:obs:trend:trade-finance, bec:E18:struct:operating-model</x:v>
      </x:c>
      <x:c r="M214" s="63" t="str">
        <x:v>client-specific ERP, shared-service and treasury system detail</x:v>
      </x:c>
      <x:c r="N214" s="63" t="str">
        <x:v>{"problems":["TREASURY_CENTRALISATION","OPERATIONAL_RESILIENCE"],"solutions":["PAYMENTS","LIQUIDITY_CASH_MANAGEMENT","COLLECTIONS"],"timing":["ERP and treasury system change windows"]}</x:v>
      </x:c>
    </x:row>
    <x:row r="215">
      <x:c r="A215" s="63" t="str">
        <x:v>E18</x:v>
      </x:c>
      <x:c r="B215" s="63" t="str">
        <x:v>The Bidvest Group</x:v>
      </x:c>
      <x:c r="C215" s="63" t="str">
        <x:v>industrials_pharma</x:v>
      </x:c>
      <x:c r="D215" s="63" t="str">
        <x:v>twin:E18:2026-06-30:3.1.0</x:v>
      </x:c>
      <x:c r="E215" s="63" t="str">
        <x:v>GEOGRAPHIC_EXPOSURE</x:v>
      </x:c>
      <x:c r="F215" s="63" t="str">
        <x:v>Geographic exposure</x:v>
      </x:c>
      <x:c r="G215" s="63" t="str">
        <x:v>SUPPORTED</x:v>
      </x:c>
      <x:c r="H215" s="63" t="str">
        <x:v>OBSERVED</x:v>
      </x:c>
      <x:c r="I215" s="63" t="str">
        <x:v>E0</x:v>
      </x:c>
      <x:c r="J215" s="80" t="n">
        <x:v>0.75</x:v>
      </x:c>
      <x:c r="K215" s="63" t="n">
        <x:v>0</x:v>
      </x:c>
      <x:c r="L215" s="63" t="str">
        <x:v>bec:E18:obs:corridor-name:0, bec:E18:obs:corridor-name:1, bec:E18:obs:corridor-name:2, bec:E18:obs:corridor:0, bec:E18:obs:corridor:1, bec:E18:obs:corridor:2, bec:E18:obs:country-count, bec:E18:obs:flow:cross-border-fx, bec:E18:obs:latent:international_exposure, bec:E18:obs:trend:cross-border-fx</x:v>
      </x:c>
      <x:c r="M215" s="63" t="str"/>
      <x:c r="N215" s="63" t="str">
        <x:v>{"problems":["FX_EXPOSURE","SUPPLY_CHAIN_RISK"],"solutions":["CROSS_BORDER_FX","TRADE_FINANCE"],"timing":["corridor seasonality"]}</x:v>
      </x:c>
    </x:row>
    <x:row r="216">
      <x:c r="A216" s="63" t="str">
        <x:v>E18</x:v>
      </x:c>
      <x:c r="B216" s="63" t="str">
        <x:v>The Bidvest Group</x:v>
      </x:c>
      <x:c r="C216" s="63" t="str">
        <x:v>industrials_pharma</x:v>
      </x:c>
      <x:c r="D216" s="63" t="str">
        <x:v>twin:E18:2026-06-30:3.1.0</x:v>
      </x:c>
      <x:c r="E216" s="63" t="str">
        <x:v>CURRENCY_AND_COMMODITY_EXPOSURE</x:v>
      </x:c>
      <x:c r="F216" s="63" t="str">
        <x:v>Currency and commodity exposure</x:v>
      </x:c>
      <x:c r="G216" s="63" t="str">
        <x:v>INFERRED</x:v>
      </x:c>
      <x:c r="H216" s="63" t="str">
        <x:v>OBSERVED</x:v>
      </x:c>
      <x:c r="I216" s="63" t="str">
        <x:v>E0</x:v>
      </x:c>
      <x:c r="J216" s="80" t="n">
        <x:v>0.85</x:v>
      </x:c>
      <x:c r="K216" s="63" t="n">
        <x:v>0</x:v>
      </x:c>
      <x:c r="L216" s="63" t="str">
        <x:v>bec:E18:obs:currency-pair:0, bec:E18:obs:currency-pair:1, bec:E18:obs:currency-pair:2, bec:E18:obs:currency:0, bec:E18:obs:currency:1, bec:E18:obs:currency:2, bec:E18:obs:flow:cross-border-fx, bec:E18:obs:trend:cross-border-fx</x:v>
      </x:c>
      <x:c r="M216" s="63" t="str">
        <x:v>hedge ratio; signed currency inflow/outflow split</x:v>
      </x:c>
      <x:c r="N216" s="63" t="str">
        <x:v>{"problems":["FX_EXPOSURE","COMMODITY_EXPOSURE"],"solutions":["CROSS_BORDER_FX","COMMODITY_RISK_MANAGEMENT"],"timing":["hedge roll dates"]}</x:v>
      </x:c>
    </x:row>
    <x:row r="217">
      <x:c r="A217" s="63" t="str">
        <x:v>E18</x:v>
      </x:c>
      <x:c r="B217" s="63" t="str">
        <x:v>The Bidvest Group</x:v>
      </x:c>
      <x:c r="C217" s="63" t="str">
        <x:v>industrials_pharma</x:v>
      </x:c>
      <x:c r="D217" s="63" t="str">
        <x:v>twin:E18:2026-06-30:3.1.0</x:v>
      </x:c>
      <x:c r="E217" s="63" t="str">
        <x:v>PROJECTS_SUBSIDIARIES_SPVS</x:v>
      </x:c>
      <x:c r="F217" s="63" t="str">
        <x:v>Projects, subsidiaries and SPVs</x:v>
      </x:c>
      <x:c r="G217" s="63" t="str">
        <x:v>UNKNOWN</x:v>
      </x:c>
      <x:c r="H217" s="63" t="str">
        <x:v>SCENARIO</x:v>
      </x:c>
      <x:c r="I217" s="63" t="str">
        <x:v>E0</x:v>
      </x:c>
      <x:c r="J217" s="80" t="n">
        <x:v>0.7</x:v>
      </x:c>
      <x:c r="K217" s="63"/>
      <x:c r="L217" s="63" t="str"/>
      <x:c r="M217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217" s="63" t="str">
        <x:v>{"problems":["PROJECT_MOBILISATION","GUARANTEE_OR_COLLATERAL_REQUIREMENT"],"solutions":["PROJECT_FINANCE","GUARANTEES_AND_LC","ESCROW_AND_AGENCY"],"timing":["project financial close"]}</x:v>
      </x:c>
    </x:row>
    <x:row r="218">
      <x:c r="A218" s="63" t="str">
        <x:v>E18</x:v>
      </x:c>
      <x:c r="B218" s="63" t="str">
        <x:v>The Bidvest Group</x:v>
      </x:c>
      <x:c r="C218" s="63" t="str">
        <x:v>industrials_pharma</x:v>
      </x:c>
      <x:c r="D218" s="63" t="str">
        <x:v>twin:E18:2026-06-30:3.1.0</x:v>
      </x:c>
      <x:c r="E218" s="63" t="str">
        <x:v>STAKEHOLDER_RESPONSIBILITY</x:v>
      </x:c>
      <x:c r="F218" s="63" t="str">
        <x:v>Stakeholder responsibility model</x:v>
      </x:c>
      <x:c r="G218" s="63" t="str">
        <x:v>SUPPORTED</x:v>
      </x:c>
      <x:c r="H218" s="63" t="str">
        <x:v>IDENTIFIED_BOUND</x:v>
      </x:c>
      <x:c r="I218" s="63" t="str">
        <x:v>E0</x:v>
      </x:c>
      <x:c r="J218" s="80" t="n">
        <x:v>0.6</x:v>
      </x:c>
      <x:c r="K218" s="63" t="n">
        <x:v>0</x:v>
      </x:c>
      <x:c r="L218" s="63" t="str">
        <x:v>bec:E18:struct:responsibility-model, bec:E18:struct:responsibility:fx_exposure, bec:E18:struct:responsibility:refinancing_cliff, bec:E18:struct:responsibility:working_capital_pressure</x:v>
      </x:c>
      <x:c r="M218" s="63" t="str">
        <x:v>client-confirmed decision authority and mandate limits</x:v>
      </x:c>
      <x:c r="N218" s="63" t="str">
        <x:v>{"problems":[],"solutions":[],"timing":["decision-authority availability"]}</x:v>
      </x:c>
    </x:row>
    <x:row r="219">
      <x:c r="A219" s="63" t="str">
        <x:v>E18</x:v>
      </x:c>
      <x:c r="B219" s="63" t="str">
        <x:v>The Bidvest Group</x:v>
      </x:c>
      <x:c r="C219" s="63" t="str">
        <x:v>industrials_pharma</x:v>
      </x:c>
      <x:c r="D219" s="63" t="str">
        <x:v>twin:E18:2026-06-30:3.1.0</x:v>
      </x:c>
      <x:c r="E219" s="63" t="str">
        <x:v>BUSINESS_AND_FINANCIAL_RISKS</x:v>
      </x:c>
      <x:c r="F219" s="63" t="str">
        <x:v>Business and financial risks</x:v>
      </x:c>
      <x:c r="G219" s="63" t="str">
        <x:v>SUPPORTED</x:v>
      </x:c>
      <x:c r="H219" s="63" t="str">
        <x:v>IDENTIFIED_BOUND</x:v>
      </x:c>
      <x:c r="I219" s="63" t="str">
        <x:v>E0</x:v>
      </x:c>
      <x:c r="J219" s="80" t="n">
        <x:v>0.65</x:v>
      </x:c>
      <x:c r="K219" s="63" t="n">
        <x:v>0</x:v>
      </x:c>
      <x:c r="L219" s="63" t="str">
        <x:v>bec:E18:struct:risk:0, bec:E18:struct:risk:1, bec:E18:struct:risk:2</x:v>
      </x:c>
      <x:c r="M219" s="63" t="str">
        <x:v>client risk-report extraction</x:v>
      </x:c>
      <x:c r="N219" s="63" t="str">
        <x:v>{"problems":["OPERATIONAL_RESILIENCE","COMMODITY_EXPOSURE"],"solutions":["COMMODITY_RISK_MANAGEMENT","GUARANTEES_AND_LC"],"timing":["risk-review cycle"]}</x:v>
      </x:c>
    </x:row>
    <x:row r="220">
      <x:c r="A220" s="63" t="str">
        <x:v>E18</x:v>
      </x:c>
      <x:c r="B220" s="63" t="str">
        <x:v>The Bidvest Group</x:v>
      </x:c>
      <x:c r="C220" s="63" t="str">
        <x:v>industrials_pharma</x:v>
      </x:c>
      <x:c r="D220" s="63" t="str">
        <x:v>twin:E18:2026-06-30:3.1.0</x:v>
      </x:c>
      <x:c r="E220" s="63" t="str">
        <x:v>STRATEGY_ACTIONS_AND_ESG</x:v>
      </x:c>
      <x:c r="F220" s="63" t="str">
        <x:v>Strategy, corporate actions and ESG activity</x:v>
      </x:c>
      <x:c r="G220" s="63" t="str">
        <x:v>SUPPORTED</x:v>
      </x:c>
      <x:c r="H220" s="63" t="str">
        <x:v>OBSERVED</x:v>
      </x:c>
      <x:c r="I220" s="63" t="str">
        <x:v>E0</x:v>
      </x:c>
      <x:c r="J220" s="80" t="n">
        <x:v>0.55</x:v>
      </x:c>
      <x:c r="K220" s="63" t="n">
        <x:v>0</x:v>
      </x:c>
      <x:c r="L220" s="63" t="str">
        <x:v>bec:E18:obs:latent:event_intensity</x:v>
      </x:c>
      <x:c r="M220" s="63" t="str">
        <x:v>announced corporate actions; evidence-based ESG activity and transition targets</x:v>
      </x:c>
      <x:c r="N220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221">
      <x:c r="A221" s="63" t="str">
        <x:v>E19</x:v>
      </x:c>
      <x:c r="B221" s="63" t="str">
        <x:v>Aspen Pharmacare</x:v>
      </x:c>
      <x:c r="C221" s="63" t="str">
        <x:v>industrials_pharma</x:v>
      </x:c>
      <x:c r="D221" s="63" t="str">
        <x:v>twin:E19:2026-06-30:3.1.0</x:v>
      </x:c>
      <x:c r="E221" s="63" t="str">
        <x:v>REVENUE_ENGINE</x:v>
      </x:c>
      <x:c r="F221" s="63" t="str">
        <x:v>Revenue engine</x:v>
      </x:c>
      <x:c r="G221" s="63" t="str">
        <x:v>SUPPORTED</x:v>
      </x:c>
      <x:c r="H221" s="63" t="str">
        <x:v>OBSERVED</x:v>
      </x:c>
      <x:c r="I221" s="63" t="str">
        <x:v>E0</x:v>
      </x:c>
      <x:c r="J221" s="80" t="n">
        <x:v>0.95</x:v>
      </x:c>
      <x:c r="K221" s="63" t="n">
        <x:v>0</x:v>
      </x:c>
      <x:c r="L221" s="63" t="str">
        <x:v>bec:ASPEN-2025-REV, bec:E19:obs:flow:collections, bec:E19:obs:trend:collections</x:v>
      </x:c>
      <x:c r="M221" s="63" t="str"/>
      <x:c r="N221" s="63" t="str">
        <x:v>{"problems":["COLLECTIONS_INEFFICIENCY","WORKING_CAPITAL_PRESSURE"],"solutions":["COLLECTIONS","SUPPLY_CHAIN_FINANCE"],"timing":["collection seasonality"]}</x:v>
      </x:c>
    </x:row>
    <x:row r="222">
      <x:c r="A222" s="63" t="str">
        <x:v>E19</x:v>
      </x:c>
      <x:c r="B222" s="63" t="str">
        <x:v>Aspen Pharmacare</x:v>
      </x:c>
      <x:c r="C222" s="63" t="str">
        <x:v>industrials_pharma</x:v>
      </x:c>
      <x:c r="D222" s="63" t="str">
        <x:v>twin:E19:2026-06-30:3.1.0</x:v>
      </x:c>
      <x:c r="E222" s="63" t="str">
        <x:v>COST_ENGINE</x:v>
      </x:c>
      <x:c r="F222" s="63" t="str">
        <x:v>Cost engine</x:v>
      </x:c>
      <x:c r="G222" s="63" t="str">
        <x:v>SUPPORTED</x:v>
      </x:c>
      <x:c r="H222" s="63" t="str">
        <x:v>OBSERVED</x:v>
      </x:c>
      <x:c r="I222" s="63" t="str">
        <x:v>E0</x:v>
      </x:c>
      <x:c r="J222" s="80" t="n">
        <x:v>0.9</x:v>
      </x:c>
      <x:c r="K222" s="63" t="n">
        <x:v>0</x:v>
      </x:c>
      <x:c r="L222" s="63" t="str">
        <x:v>bec:E19:obs:flow:payments, bec:E19:obs:trend:payments</x:v>
      </x:c>
      <x:c r="M222" s="63" t="str">
        <x:v>No approved E1 evidence supports this domain. No audited cost base is available for this client.</x:v>
      </x:c>
      <x:c r="N222" s="63" t="str">
        <x:v>{"problems":["PAYMENTS_INEFFICIENCY","SUPPLY_CHAIN_RISK"],"solutions":["PAYMENTS","SUPPLY_CHAIN_FINANCE","TRADE_FINANCE"],"timing":["supplier payment runs"]}</x:v>
      </x:c>
    </x:row>
    <x:row r="223">
      <x:c r="A223" s="63" t="str">
        <x:v>E19</x:v>
      </x:c>
      <x:c r="B223" s="63" t="str">
        <x:v>Aspen Pharmacare</x:v>
      </x:c>
      <x:c r="C223" s="63" t="str">
        <x:v>industrials_pharma</x:v>
      </x:c>
      <x:c r="D223" s="63" t="str">
        <x:v>twin:E19:2026-06-30:3.1.0</x:v>
      </x:c>
      <x:c r="E223" s="63" t="str">
        <x:v>WORKING_CAPITAL_CYCLE</x:v>
      </x:c>
      <x:c r="F223" s="63" t="str">
        <x:v>Working-capital cycle</x:v>
      </x:c>
      <x:c r="G223" s="63" t="str">
        <x:v>INFERRED</x:v>
      </x:c>
      <x:c r="H223" s="63" t="str">
        <x:v>OBSERVED</x:v>
      </x:c>
      <x:c r="I223" s="63" t="str">
        <x:v>E0</x:v>
      </x:c>
      <x:c r="J223" s="80" t="n">
        <x:v>0.95</x:v>
      </x:c>
      <x:c r="K223" s="63" t="n">
        <x:v>0</x:v>
      </x:c>
      <x:c r="L223" s="63" t="str">
        <x:v>bec:E19:obs:events:trade-90d, bec:E19:obs:events:trade-90d-value, bec:E19:obs:flow:collections, bec:E19:obs:flow:payments, bec:E19:obs:flow:trade-finance, bec:E19:obs:latent:working_capital_intensity, bec:E19:obs:trend:collections, bec:E19:obs:trend:payments, bec:E19:obs:trend:trade-finance</x:v>
      </x:c>
      <x:c r="M223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223" s="63" t="str">
        <x:v>{"problems":["WORKING_CAPITAL_PRESSURE","SUPPLY_CHAIN_RISK"],"solutions":["WORKING_CAPITAL_REVOLVING","SUPPLY_CHAIN_FINANCE","TRADE_FINANCE"],"timing":["cash-conversion pressure points"]}</x:v>
      </x:c>
    </x:row>
    <x:row r="224">
      <x:c r="A224" s="63" t="str">
        <x:v>E19</x:v>
      </x:c>
      <x:c r="B224" s="63" t="str">
        <x:v>Aspen Pharmacare</x:v>
      </x:c>
      <x:c r="C224" s="63" t="str">
        <x:v>industrials_pharma</x:v>
      </x:c>
      <x:c r="D224" s="63" t="str">
        <x:v>twin:E19:2026-06-30:3.1.0</x:v>
      </x:c>
      <x:c r="E224" s="63" t="str">
        <x:v>FUNDING_STRUCTURE</x:v>
      </x:c>
      <x:c r="F224" s="63" t="str">
        <x:v>Funding structure</x:v>
      </x:c>
      <x:c r="G224" s="63" t="str">
        <x:v>INFERRED</x:v>
      </x:c>
      <x:c r="H224" s="63" t="str">
        <x:v>OBSERVED</x:v>
      </x:c>
      <x:c r="I224" s="63" t="str">
        <x:v>E0</x:v>
      </x:c>
      <x:c r="J224" s="80" t="n">
        <x:v>0.95</x:v>
      </x:c>
      <x:c r="K224" s="63" t="n">
        <x:v>0</x:v>
      </x:c>
      <x:c r="L224" s="63" t="str">
        <x:v>bec:ASPEN-2025-DEBT, bec:E19:obs:latent:financing_need</x:v>
      </x:c>
      <x:c r="M224" s="63" t="str">
        <x:v>No approved E1 evidence supports this domain. No audited debt or facility disclosure is available for this client.; full debt maturity ladder by instrument and tenor</x:v>
      </x:c>
      <x:c r="N224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225">
      <x:c r="A225" s="63" t="str">
        <x:v>E19</x:v>
      </x:c>
      <x:c r="B225" s="63" t="str">
        <x:v>Aspen Pharmacare</x:v>
      </x:c>
      <x:c r="C225" s="63" t="str">
        <x:v>industrials_pharma</x:v>
      </x:c>
      <x:c r="D225" s="63" t="str">
        <x:v>twin:E19:2026-06-30:3.1.0</x:v>
      </x:c>
      <x:c r="E225" s="63" t="str">
        <x:v>LIQUIDITY_AND_BUFFER</x:v>
      </x:c>
      <x:c r="F225" s="63" t="str">
        <x:v>Liquidity and cash buffer</x:v>
      </x:c>
      <x:c r="G225" s="63" t="str">
        <x:v>INFERRED</x:v>
      </x:c>
      <x:c r="H225" s="63" t="str">
        <x:v>OBSERVED</x:v>
      </x:c>
      <x:c r="I225" s="63" t="str">
        <x:v>E0</x:v>
      </x:c>
      <x:c r="J225" s="80" t="n">
        <x:v>0.9</x:v>
      </x:c>
      <x:c r="K225" s="63" t="n">
        <x:v>0</x:v>
      </x:c>
      <x:c r="L225" s="63" t="str">
        <x:v>bec:ASPEN-2025-CASH, bec:E19:obs:flow:liquidity, bec:E19:obs:latent:liquidity_volatility, bec:E19:obs:trend:liquidity</x:v>
      </x:c>
      <x:c r="M225" s="63" t="str">
        <x:v>undrawn committed facility headroom</x:v>
      </x:c>
      <x:c r="N225" s="63" t="str">
        <x:v>{"problems":["LIQUIDITY_FRAGMENTATION","REFINANCING_CLIFF"],"solutions":["LIQUIDITY_CASH_MANAGEMENT","WORKING_CAPITAL_REVOLVING"],"timing":["buffer depletion"]}</x:v>
      </x:c>
    </x:row>
    <x:row r="226">
      <x:c r="A226" s="63" t="str">
        <x:v>E19</x:v>
      </x:c>
      <x:c r="B226" s="63" t="str">
        <x:v>Aspen Pharmacare</x:v>
      </x:c>
      <x:c r="C226" s="63" t="str">
        <x:v>industrials_pharma</x:v>
      </x:c>
      <x:c r="D226" s="63" t="str">
        <x:v>twin:E19:2026-06-30:3.1.0</x:v>
      </x:c>
      <x:c r="E226" s="63" t="str">
        <x:v>OPERATING_MODEL</x:v>
      </x:c>
      <x:c r="F226" s="63" t="str">
        <x:v>Operating model</x:v>
      </x:c>
      <x:c r="G226" s="63" t="str">
        <x:v>SUPPORTED</x:v>
      </x:c>
      <x:c r="H226" s="63" t="str">
        <x:v>OBSERVED</x:v>
      </x:c>
      <x:c r="I226" s="63" t="str">
        <x:v>E0</x:v>
      </x:c>
      <x:c r="J226" s="80" t="n">
        <x:v>0.7</x:v>
      </x:c>
      <x:c r="K226" s="63" t="n">
        <x:v>0</x:v>
      </x:c>
      <x:c r="L226" s="63" t="str">
        <x:v>bec:E19:obs:events:trade-90d, bec:E19:obs:flow:trade-finance, bec:E19:obs:latent:operating_scale, bec:E19:obs:latent:relationship_complexity, bec:E19:obs:relationship-breadth, bec:E19:obs:trend:trade-finance, bec:E19:struct:operating-model</x:v>
      </x:c>
      <x:c r="M226" s="63" t="str">
        <x:v>client-specific ERP, shared-service and treasury system detail</x:v>
      </x:c>
      <x:c r="N226" s="63" t="str">
        <x:v>{"problems":["TREASURY_CENTRALISATION","OPERATIONAL_RESILIENCE"],"solutions":["PAYMENTS","LIQUIDITY_CASH_MANAGEMENT","COLLECTIONS"],"timing":["ERP and treasury system change windows"]}</x:v>
      </x:c>
    </x:row>
    <x:row r="227">
      <x:c r="A227" s="63" t="str">
        <x:v>E19</x:v>
      </x:c>
      <x:c r="B227" s="63" t="str">
        <x:v>Aspen Pharmacare</x:v>
      </x:c>
      <x:c r="C227" s="63" t="str">
        <x:v>industrials_pharma</x:v>
      </x:c>
      <x:c r="D227" s="63" t="str">
        <x:v>twin:E19:2026-06-30:3.1.0</x:v>
      </x:c>
      <x:c r="E227" s="63" t="str">
        <x:v>GEOGRAPHIC_EXPOSURE</x:v>
      </x:c>
      <x:c r="F227" s="63" t="str">
        <x:v>Geographic exposure</x:v>
      </x:c>
      <x:c r="G227" s="63" t="str">
        <x:v>SUPPORTED</x:v>
      </x:c>
      <x:c r="H227" s="63" t="str">
        <x:v>OBSERVED</x:v>
      </x:c>
      <x:c r="I227" s="63" t="str">
        <x:v>E0</x:v>
      </x:c>
      <x:c r="J227" s="80" t="n">
        <x:v>0.75</x:v>
      </x:c>
      <x:c r="K227" s="63" t="n">
        <x:v>0</x:v>
      </x:c>
      <x:c r="L227" s="63" t="str">
        <x:v>bec:E19:obs:corridor-name:0, bec:E19:obs:corridor-name:1, bec:E19:obs:corridor-name:2, bec:E19:obs:corridor:0, bec:E19:obs:corridor:1, bec:E19:obs:corridor:2, bec:E19:obs:country-count, bec:E19:obs:flow:cross-border-fx, bec:E19:obs:latent:international_exposure, bec:E19:obs:trend:cross-border-fx</x:v>
      </x:c>
      <x:c r="M227" s="63" t="str"/>
      <x:c r="N227" s="63" t="str">
        <x:v>{"problems":["FX_EXPOSURE","SUPPLY_CHAIN_RISK"],"solutions":["CROSS_BORDER_FX","TRADE_FINANCE"],"timing":["corridor seasonality"]}</x:v>
      </x:c>
    </x:row>
    <x:row r="228">
      <x:c r="A228" s="63" t="str">
        <x:v>E19</x:v>
      </x:c>
      <x:c r="B228" s="63" t="str">
        <x:v>Aspen Pharmacare</x:v>
      </x:c>
      <x:c r="C228" s="63" t="str">
        <x:v>industrials_pharma</x:v>
      </x:c>
      <x:c r="D228" s="63" t="str">
        <x:v>twin:E19:2026-06-30:3.1.0</x:v>
      </x:c>
      <x:c r="E228" s="63" t="str">
        <x:v>CURRENCY_AND_COMMODITY_EXPOSURE</x:v>
      </x:c>
      <x:c r="F228" s="63" t="str">
        <x:v>Currency and commodity exposure</x:v>
      </x:c>
      <x:c r="G228" s="63" t="str">
        <x:v>INFERRED</x:v>
      </x:c>
      <x:c r="H228" s="63" t="str">
        <x:v>OBSERVED</x:v>
      </x:c>
      <x:c r="I228" s="63" t="str">
        <x:v>E0</x:v>
      </x:c>
      <x:c r="J228" s="80" t="n">
        <x:v>0.85</x:v>
      </x:c>
      <x:c r="K228" s="63" t="n">
        <x:v>0</x:v>
      </x:c>
      <x:c r="L228" s="63" t="str">
        <x:v>bec:E19:obs:currency-pair:0, bec:E19:obs:currency-pair:1, bec:E19:obs:currency-pair:2, bec:E19:obs:currency:0, bec:E19:obs:currency:1, bec:E19:obs:currency:2, bec:E19:obs:flow:cross-border-fx, bec:E19:obs:trend:cross-border-fx</x:v>
      </x:c>
      <x:c r="M228" s="63" t="str">
        <x:v>hedge ratio; signed currency inflow/outflow split</x:v>
      </x:c>
      <x:c r="N228" s="63" t="str">
        <x:v>{"problems":["FX_EXPOSURE","COMMODITY_EXPOSURE"],"solutions":["CROSS_BORDER_FX","COMMODITY_RISK_MANAGEMENT"],"timing":["hedge roll dates"]}</x:v>
      </x:c>
    </x:row>
    <x:row r="229">
      <x:c r="A229" s="63" t="str">
        <x:v>E19</x:v>
      </x:c>
      <x:c r="B229" s="63" t="str">
        <x:v>Aspen Pharmacare</x:v>
      </x:c>
      <x:c r="C229" s="63" t="str">
        <x:v>industrials_pharma</x:v>
      </x:c>
      <x:c r="D229" s="63" t="str">
        <x:v>twin:E19:2026-06-30:3.1.0</x:v>
      </x:c>
      <x:c r="E229" s="63" t="str">
        <x:v>PROJECTS_SUBSIDIARIES_SPVS</x:v>
      </x:c>
      <x:c r="F229" s="63" t="str">
        <x:v>Projects, subsidiaries and SPVs</x:v>
      </x:c>
      <x:c r="G229" s="63" t="str">
        <x:v>UNKNOWN</x:v>
      </x:c>
      <x:c r="H229" s="63" t="str">
        <x:v>SCENARIO</x:v>
      </x:c>
      <x:c r="I229" s="63" t="str">
        <x:v>E0</x:v>
      </x:c>
      <x:c r="J229" s="80" t="n">
        <x:v>0.7</x:v>
      </x:c>
      <x:c r="K229" s="63"/>
      <x:c r="L229" s="63" t="str"/>
      <x:c r="M229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229" s="63" t="str">
        <x:v>{"problems":["PROJECT_MOBILISATION","GUARANTEE_OR_COLLATERAL_REQUIREMENT"],"solutions":["PROJECT_FINANCE","GUARANTEES_AND_LC","ESCROW_AND_AGENCY"],"timing":["project financial close"]}</x:v>
      </x:c>
    </x:row>
    <x:row r="230">
      <x:c r="A230" s="63" t="str">
        <x:v>E19</x:v>
      </x:c>
      <x:c r="B230" s="63" t="str">
        <x:v>Aspen Pharmacare</x:v>
      </x:c>
      <x:c r="C230" s="63" t="str">
        <x:v>industrials_pharma</x:v>
      </x:c>
      <x:c r="D230" s="63" t="str">
        <x:v>twin:E19:2026-06-30:3.1.0</x:v>
      </x:c>
      <x:c r="E230" s="63" t="str">
        <x:v>STAKEHOLDER_RESPONSIBILITY</x:v>
      </x:c>
      <x:c r="F230" s="63" t="str">
        <x:v>Stakeholder responsibility model</x:v>
      </x:c>
      <x:c r="G230" s="63" t="str">
        <x:v>SUPPORTED</x:v>
      </x:c>
      <x:c r="H230" s="63" t="str">
        <x:v>IDENTIFIED_BOUND</x:v>
      </x:c>
      <x:c r="I230" s="63" t="str">
        <x:v>E0</x:v>
      </x:c>
      <x:c r="J230" s="80" t="n">
        <x:v>0.6</x:v>
      </x:c>
      <x:c r="K230" s="63" t="n">
        <x:v>0</x:v>
      </x:c>
      <x:c r="L230" s="63" t="str">
        <x:v>bec:E19:struct:responsibility-model, bec:E19:struct:responsibility:fx_exposure, bec:E19:struct:responsibility:refinancing_cliff, bec:E19:struct:responsibility:working_capital_pressure</x:v>
      </x:c>
      <x:c r="M230" s="63" t="str">
        <x:v>client-confirmed decision authority and mandate limits</x:v>
      </x:c>
      <x:c r="N230" s="63" t="str">
        <x:v>{"problems":[],"solutions":[],"timing":["decision-authority availability"]}</x:v>
      </x:c>
    </x:row>
    <x:row r="231">
      <x:c r="A231" s="63" t="str">
        <x:v>E19</x:v>
      </x:c>
      <x:c r="B231" s="63" t="str">
        <x:v>Aspen Pharmacare</x:v>
      </x:c>
      <x:c r="C231" s="63" t="str">
        <x:v>industrials_pharma</x:v>
      </x:c>
      <x:c r="D231" s="63" t="str">
        <x:v>twin:E19:2026-06-30:3.1.0</x:v>
      </x:c>
      <x:c r="E231" s="63" t="str">
        <x:v>BUSINESS_AND_FINANCIAL_RISKS</x:v>
      </x:c>
      <x:c r="F231" s="63" t="str">
        <x:v>Business and financial risks</x:v>
      </x:c>
      <x:c r="G231" s="63" t="str">
        <x:v>SUPPORTED</x:v>
      </x:c>
      <x:c r="H231" s="63" t="str">
        <x:v>IDENTIFIED_BOUND</x:v>
      </x:c>
      <x:c r="I231" s="63" t="str">
        <x:v>E0</x:v>
      </x:c>
      <x:c r="J231" s="80" t="n">
        <x:v>0.65</x:v>
      </x:c>
      <x:c r="K231" s="63" t="n">
        <x:v>0</x:v>
      </x:c>
      <x:c r="L231" s="63" t="str">
        <x:v>bec:E19:struct:risk:0, bec:E19:struct:risk:1, bec:E19:struct:risk:2</x:v>
      </x:c>
      <x:c r="M231" s="63" t="str">
        <x:v>client risk-report extraction</x:v>
      </x:c>
      <x:c r="N231" s="63" t="str">
        <x:v>{"problems":["OPERATIONAL_RESILIENCE","COMMODITY_EXPOSURE"],"solutions":["COMMODITY_RISK_MANAGEMENT","GUARANTEES_AND_LC"],"timing":["risk-review cycle"]}</x:v>
      </x:c>
    </x:row>
    <x:row r="232">
      <x:c r="A232" s="63" t="str">
        <x:v>E19</x:v>
      </x:c>
      <x:c r="B232" s="63" t="str">
        <x:v>Aspen Pharmacare</x:v>
      </x:c>
      <x:c r="C232" s="63" t="str">
        <x:v>industrials_pharma</x:v>
      </x:c>
      <x:c r="D232" s="63" t="str">
        <x:v>twin:E19:2026-06-30:3.1.0</x:v>
      </x:c>
      <x:c r="E232" s="63" t="str">
        <x:v>STRATEGY_ACTIONS_AND_ESG</x:v>
      </x:c>
      <x:c r="F232" s="63" t="str">
        <x:v>Strategy, corporate actions and ESG activity</x:v>
      </x:c>
      <x:c r="G232" s="63" t="str">
        <x:v>SUPPORTED</x:v>
      </x:c>
      <x:c r="H232" s="63" t="str">
        <x:v>OBSERVED</x:v>
      </x:c>
      <x:c r="I232" s="63" t="str">
        <x:v>E0</x:v>
      </x:c>
      <x:c r="J232" s="80" t="n">
        <x:v>0.55</x:v>
      </x:c>
      <x:c r="K232" s="63" t="n">
        <x:v>0</x:v>
      </x:c>
      <x:c r="L232" s="63" t="str">
        <x:v>bec:E19:obs:latent:event_intensity</x:v>
      </x:c>
      <x:c r="M232" s="63" t="str">
        <x:v>announced corporate actions; evidence-based ESG activity and transition targets</x:v>
      </x:c>
      <x:c r="N232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  <x:row r="233">
      <x:c r="A233" s="63" t="str">
        <x:v>E20</x:v>
      </x:c>
      <x:c r="B233" s="63" t="str">
        <x:v>Shaftesbury Capital plc</x:v>
      </x:c>
      <x:c r="C233" s="63" t="str">
        <x:v>real_estate</x:v>
      </x:c>
      <x:c r="D233" s="63" t="str">
        <x:v>twin:E20:2026-06-30:3.1.0</x:v>
      </x:c>
      <x:c r="E233" s="63" t="str">
        <x:v>REVENUE_ENGINE</x:v>
      </x:c>
      <x:c r="F233" s="63" t="str">
        <x:v>Revenue engine</x:v>
      </x:c>
      <x:c r="G233" s="63" t="str">
        <x:v>SUPPORTED</x:v>
      </x:c>
      <x:c r="H233" s="63" t="str">
        <x:v>OBSERVED</x:v>
      </x:c>
      <x:c r="I233" s="63" t="str">
        <x:v>E0</x:v>
      </x:c>
      <x:c r="J233" s="80" t="n">
        <x:v>0.95</x:v>
      </x:c>
      <x:c r="K233" s="63" t="n">
        <x:v>0</x:v>
      </x:c>
      <x:c r="L233" s="63" t="str">
        <x:v>bec:E20:obs:flow:collections, bec:E20:obs:trend:collections, bec:SHC-2025-REV</x:v>
      </x:c>
      <x:c r="M233" s="63" t="str"/>
      <x:c r="N233" s="63" t="str">
        <x:v>{"problems":["COLLECTIONS_INEFFICIENCY","WORKING_CAPITAL_PRESSURE"],"solutions":["COLLECTIONS","SUPPLY_CHAIN_FINANCE"],"timing":["collection seasonality"]}</x:v>
      </x:c>
    </x:row>
    <x:row r="234">
      <x:c r="A234" s="63" t="str">
        <x:v>E20</x:v>
      </x:c>
      <x:c r="B234" s="63" t="str">
        <x:v>Shaftesbury Capital plc</x:v>
      </x:c>
      <x:c r="C234" s="63" t="str">
        <x:v>real_estate</x:v>
      </x:c>
      <x:c r="D234" s="63" t="str">
        <x:v>twin:E20:2026-06-30:3.1.0</x:v>
      </x:c>
      <x:c r="E234" s="63" t="str">
        <x:v>COST_ENGINE</x:v>
      </x:c>
      <x:c r="F234" s="63" t="str">
        <x:v>Cost engine</x:v>
      </x:c>
      <x:c r="G234" s="63" t="str">
        <x:v>SUPPORTED</x:v>
      </x:c>
      <x:c r="H234" s="63" t="str">
        <x:v>OBSERVED</x:v>
      </x:c>
      <x:c r="I234" s="63" t="str">
        <x:v>E0</x:v>
      </x:c>
      <x:c r="J234" s="80" t="n">
        <x:v>0.9</x:v>
      </x:c>
      <x:c r="K234" s="63" t="n">
        <x:v>0</x:v>
      </x:c>
      <x:c r="L234" s="63" t="str">
        <x:v>bec:E20:obs:flow:payments, bec:E20:obs:trend:payments</x:v>
      </x:c>
      <x:c r="M234" s="63" t="str">
        <x:v>No approved E1 evidence supports this domain. No audited cost base is available for this client.</x:v>
      </x:c>
      <x:c r="N234" s="63" t="str">
        <x:v>{"problems":["PAYMENTS_INEFFICIENCY","SUPPLY_CHAIN_RISK"],"solutions":["PAYMENTS","SUPPLY_CHAIN_FINANCE","TRADE_FINANCE"],"timing":["supplier payment runs"]}</x:v>
      </x:c>
    </x:row>
    <x:row r="235">
      <x:c r="A235" s="63" t="str">
        <x:v>E20</x:v>
      </x:c>
      <x:c r="B235" s="63" t="str">
        <x:v>Shaftesbury Capital plc</x:v>
      </x:c>
      <x:c r="C235" s="63" t="str">
        <x:v>real_estate</x:v>
      </x:c>
      <x:c r="D235" s="63" t="str">
        <x:v>twin:E20:2026-06-30:3.1.0</x:v>
      </x:c>
      <x:c r="E235" s="63" t="str">
        <x:v>WORKING_CAPITAL_CYCLE</x:v>
      </x:c>
      <x:c r="F235" s="63" t="str">
        <x:v>Working-capital cycle</x:v>
      </x:c>
      <x:c r="G235" s="63" t="str">
        <x:v>INFERRED</x:v>
      </x:c>
      <x:c r="H235" s="63" t="str">
        <x:v>OBSERVED</x:v>
      </x:c>
      <x:c r="I235" s="63" t="str">
        <x:v>E0</x:v>
      </x:c>
      <x:c r="J235" s="80" t="n">
        <x:v>0.95</x:v>
      </x:c>
      <x:c r="K235" s="63" t="n">
        <x:v>0</x:v>
      </x:c>
      <x:c r="L235" s="63" t="str">
        <x:v>bec:E20:obs:events:trade-90d, bec:E20:obs:events:trade-90d-value, bec:E20:obs:flow:collections, bec:E20:obs:flow:payments, bec:E20:obs:flow:trade-finance, bec:E20:obs:latent:working_capital_intensity, bec:E20:obs:trend:collections, bec:E20:obs:trend:payments, bec:E20:obs:trend:trade-finance</x:v>
      </x:c>
      <x:c r="M235" s="63" t="str">
        <x:v>CCC: inventories_close; CCC: inventories_open; CCC: operating_cost_base; CCC: trade_payables_close; CCC: trade_payables_open; CCC: trade_receivables_close; CCC: trade_receivables_open; No approved E1 evidence supports this domain. No audited receivables/payables/inventory cycle is available for this client.; WORKING_CAPITAL_GAP: inventories_close; WORKING_CAPITAL_GAP: trade_payables_close; WORKING_CAPITAL_GAP: trade_receivables_close</x:v>
      </x:c>
      <x:c r="N235" s="63" t="str">
        <x:v>{"problems":["WORKING_CAPITAL_PRESSURE","SUPPLY_CHAIN_RISK"],"solutions":["WORKING_CAPITAL_REVOLVING","SUPPLY_CHAIN_FINANCE","TRADE_FINANCE"],"timing":["cash-conversion pressure points"]}</x:v>
      </x:c>
    </x:row>
    <x:row r="236">
      <x:c r="A236" s="63" t="str">
        <x:v>E20</x:v>
      </x:c>
      <x:c r="B236" s="63" t="str">
        <x:v>Shaftesbury Capital plc</x:v>
      </x:c>
      <x:c r="C236" s="63" t="str">
        <x:v>real_estate</x:v>
      </x:c>
      <x:c r="D236" s="63" t="str">
        <x:v>twin:E20:2026-06-30:3.1.0</x:v>
      </x:c>
      <x:c r="E236" s="63" t="str">
        <x:v>FUNDING_STRUCTURE</x:v>
      </x:c>
      <x:c r="F236" s="63" t="str">
        <x:v>Funding structure</x:v>
      </x:c>
      <x:c r="G236" s="63" t="str">
        <x:v>INFERRED</x:v>
      </x:c>
      <x:c r="H236" s="63" t="str">
        <x:v>OBSERVED</x:v>
      </x:c>
      <x:c r="I236" s="63" t="str">
        <x:v>E0</x:v>
      </x:c>
      <x:c r="J236" s="80" t="n">
        <x:v>0.95</x:v>
      </x:c>
      <x:c r="K236" s="63" t="n">
        <x:v>0</x:v>
      </x:c>
      <x:c r="L236" s="63" t="str">
        <x:v>bec:E20:obs:latent:financing_need, bec:SHC-2025-DEBT</x:v>
      </x:c>
      <x:c r="M236" s="63" t="str">
        <x:v>No approved E1 evidence supports this domain. No audited debt or facility disclosure is available for this client.; full debt maturity ladder by instrument and tenor</x:v>
      </x:c>
      <x:c r="N236" s="63" t="str">
        <x:v>{"problems":["REFINANCING_CLIFF","NEW_FUNDING_REQUIREMENT","INTEREST_RATE_EXPOSURE"],"solutions":["TERM_AND_SYNDICATED_LENDING","DEBT_CAPITAL_MARKETS","INTEREST_RATE_RISK_MANAGEMENT"],"timing":["debt maturity dates"]}</x:v>
      </x:c>
    </x:row>
    <x:row r="237">
      <x:c r="A237" s="63" t="str">
        <x:v>E20</x:v>
      </x:c>
      <x:c r="B237" s="63" t="str">
        <x:v>Shaftesbury Capital plc</x:v>
      </x:c>
      <x:c r="C237" s="63" t="str">
        <x:v>real_estate</x:v>
      </x:c>
      <x:c r="D237" s="63" t="str">
        <x:v>twin:E20:2026-06-30:3.1.0</x:v>
      </x:c>
      <x:c r="E237" s="63" t="str">
        <x:v>LIQUIDITY_AND_BUFFER</x:v>
      </x:c>
      <x:c r="F237" s="63" t="str">
        <x:v>Liquidity and cash buffer</x:v>
      </x:c>
      <x:c r="G237" s="63" t="str">
        <x:v>INFERRED</x:v>
      </x:c>
      <x:c r="H237" s="63" t="str">
        <x:v>OBSERVED</x:v>
      </x:c>
      <x:c r="I237" s="63" t="str">
        <x:v>E0</x:v>
      </x:c>
      <x:c r="J237" s="80" t="n">
        <x:v>0.9</x:v>
      </x:c>
      <x:c r="K237" s="63" t="n">
        <x:v>0</x:v>
      </x:c>
      <x:c r="L237" s="63" t="str">
        <x:v>bec:E20:obs:flow:liquidity, bec:E20:obs:latent:liquidity_volatility, bec:E20:obs:trend:liquidity, bec:SHC-2025-CASH</x:v>
      </x:c>
      <x:c r="M237" s="63" t="str">
        <x:v>undrawn committed facility headroom</x:v>
      </x:c>
      <x:c r="N237" s="63" t="str">
        <x:v>{"problems":["LIQUIDITY_FRAGMENTATION","REFINANCING_CLIFF"],"solutions":["LIQUIDITY_CASH_MANAGEMENT","WORKING_CAPITAL_REVOLVING"],"timing":["buffer depletion"]}</x:v>
      </x:c>
    </x:row>
    <x:row r="238">
      <x:c r="A238" s="63" t="str">
        <x:v>E20</x:v>
      </x:c>
      <x:c r="B238" s="63" t="str">
        <x:v>Shaftesbury Capital plc</x:v>
      </x:c>
      <x:c r="C238" s="63" t="str">
        <x:v>real_estate</x:v>
      </x:c>
      <x:c r="D238" s="63" t="str">
        <x:v>twin:E20:2026-06-30:3.1.0</x:v>
      </x:c>
      <x:c r="E238" s="63" t="str">
        <x:v>OPERATING_MODEL</x:v>
      </x:c>
      <x:c r="F238" s="63" t="str">
        <x:v>Operating model</x:v>
      </x:c>
      <x:c r="G238" s="63" t="str">
        <x:v>SUPPORTED</x:v>
      </x:c>
      <x:c r="H238" s="63" t="str">
        <x:v>OBSERVED</x:v>
      </x:c>
      <x:c r="I238" s="63" t="str">
        <x:v>E0</x:v>
      </x:c>
      <x:c r="J238" s="80" t="n">
        <x:v>0.7</x:v>
      </x:c>
      <x:c r="K238" s="63" t="n">
        <x:v>0</x:v>
      </x:c>
      <x:c r="L238" s="63" t="str">
        <x:v>bec:E20:obs:events:trade-90d, bec:E20:obs:flow:trade-finance, bec:E20:obs:latent:operating_scale, bec:E20:obs:latent:relationship_complexity, bec:E20:obs:relationship-breadth, bec:E20:obs:trend:trade-finance, bec:E20:struct:operating-model</x:v>
      </x:c>
      <x:c r="M238" s="63" t="str">
        <x:v>client-specific ERP, shared-service and treasury system detail</x:v>
      </x:c>
      <x:c r="N238" s="63" t="str">
        <x:v>{"problems":["TREASURY_CENTRALISATION","OPERATIONAL_RESILIENCE"],"solutions":["PAYMENTS","LIQUIDITY_CASH_MANAGEMENT","COLLECTIONS"],"timing":["ERP and treasury system change windows"]}</x:v>
      </x:c>
    </x:row>
    <x:row r="239">
      <x:c r="A239" s="63" t="str">
        <x:v>E20</x:v>
      </x:c>
      <x:c r="B239" s="63" t="str">
        <x:v>Shaftesbury Capital plc</x:v>
      </x:c>
      <x:c r="C239" s="63" t="str">
        <x:v>real_estate</x:v>
      </x:c>
      <x:c r="D239" s="63" t="str">
        <x:v>twin:E20:2026-06-30:3.1.0</x:v>
      </x:c>
      <x:c r="E239" s="63" t="str">
        <x:v>GEOGRAPHIC_EXPOSURE</x:v>
      </x:c>
      <x:c r="F239" s="63" t="str">
        <x:v>Geographic exposure</x:v>
      </x:c>
      <x:c r="G239" s="63" t="str">
        <x:v>SUPPORTED</x:v>
      </x:c>
      <x:c r="H239" s="63" t="str">
        <x:v>OBSERVED</x:v>
      </x:c>
      <x:c r="I239" s="63" t="str">
        <x:v>E0</x:v>
      </x:c>
      <x:c r="J239" s="80" t="n">
        <x:v>0.75</x:v>
      </x:c>
      <x:c r="K239" s="63" t="n">
        <x:v>0</x:v>
      </x:c>
      <x:c r="L239" s="63" t="str">
        <x:v>bec:E20:obs:corridor-name:0, bec:E20:obs:corridor-name:1, bec:E20:obs:corridor-name:2, bec:E20:obs:corridor:0, bec:E20:obs:corridor:1, bec:E20:obs:corridor:2, bec:E20:obs:country-count, bec:E20:obs:flow:cross-border-fx, bec:E20:obs:latent:international_exposure, bec:E20:obs:trend:cross-border-fx</x:v>
      </x:c>
      <x:c r="M239" s="63" t="str"/>
      <x:c r="N239" s="63" t="str">
        <x:v>{"problems":["FX_EXPOSURE","SUPPLY_CHAIN_RISK"],"solutions":["CROSS_BORDER_FX","TRADE_FINANCE"],"timing":["corridor seasonality"]}</x:v>
      </x:c>
    </x:row>
    <x:row r="240">
      <x:c r="A240" s="63" t="str">
        <x:v>E20</x:v>
      </x:c>
      <x:c r="B240" s="63" t="str">
        <x:v>Shaftesbury Capital plc</x:v>
      </x:c>
      <x:c r="C240" s="63" t="str">
        <x:v>real_estate</x:v>
      </x:c>
      <x:c r="D240" s="63" t="str">
        <x:v>twin:E20:2026-06-30:3.1.0</x:v>
      </x:c>
      <x:c r="E240" s="63" t="str">
        <x:v>CURRENCY_AND_COMMODITY_EXPOSURE</x:v>
      </x:c>
      <x:c r="F240" s="63" t="str">
        <x:v>Currency and commodity exposure</x:v>
      </x:c>
      <x:c r="G240" s="63" t="str">
        <x:v>INFERRED</x:v>
      </x:c>
      <x:c r="H240" s="63" t="str">
        <x:v>OBSERVED</x:v>
      </x:c>
      <x:c r="I240" s="63" t="str">
        <x:v>E0</x:v>
      </x:c>
      <x:c r="J240" s="80" t="n">
        <x:v>0.85</x:v>
      </x:c>
      <x:c r="K240" s="63" t="n">
        <x:v>0</x:v>
      </x:c>
      <x:c r="L240" s="63" t="str">
        <x:v>bec:E20:obs:currency-pair:0, bec:E20:obs:currency-pair:1, bec:E20:obs:currency-pair:2, bec:E20:obs:currency:0, bec:E20:obs:currency:1, bec:E20:obs:currency:2, bec:E20:obs:flow:cross-border-fx, bec:E20:obs:trend:cross-border-fx</x:v>
      </x:c>
      <x:c r="M240" s="63" t="str">
        <x:v>hedge ratio; signed currency inflow/outflow split</x:v>
      </x:c>
      <x:c r="N240" s="63" t="str">
        <x:v>{"problems":["FX_EXPOSURE","COMMODITY_EXPOSURE"],"solutions":["CROSS_BORDER_FX","COMMODITY_RISK_MANAGEMENT"],"timing":["hedge roll dates"]}</x:v>
      </x:c>
    </x:row>
    <x:row r="241">
      <x:c r="A241" s="63" t="str">
        <x:v>E20</x:v>
      </x:c>
      <x:c r="B241" s="63" t="str">
        <x:v>Shaftesbury Capital plc</x:v>
      </x:c>
      <x:c r="C241" s="63" t="str">
        <x:v>real_estate</x:v>
      </x:c>
      <x:c r="D241" s="63" t="str">
        <x:v>twin:E20:2026-06-30:3.1.0</x:v>
      </x:c>
      <x:c r="E241" s="63" t="str">
        <x:v>PROJECTS_SUBSIDIARIES_SPVS</x:v>
      </x:c>
      <x:c r="F241" s="63" t="str">
        <x:v>Projects, subsidiaries and SPVs</x:v>
      </x:c>
      <x:c r="G241" s="63" t="str">
        <x:v>UNKNOWN</x:v>
      </x:c>
      <x:c r="H241" s="63" t="str">
        <x:v>SCENARIO</x:v>
      </x:c>
      <x:c r="I241" s="63" t="str">
        <x:v>E0</x:v>
      </x:c>
      <x:c r="J241" s="80" t="n">
        <x:v>0.7</x:v>
      </x:c>
      <x:c r="K241" s="63"/>
      <x:c r="L241" s="63" t="str"/>
      <x:c r="M241" s="63" t="str">
        <x:v>No reviewed subsidiary, SPV or project-level disclosure is available for this client; ownership must not be inferred from name similarity.; project pipeline with financial-close dates; reviewed legal-entity, subsidiary and SPV topology</x:v>
      </x:c>
      <x:c r="N241" s="63" t="str">
        <x:v>{"problems":["PROJECT_MOBILISATION","GUARANTEE_OR_COLLATERAL_REQUIREMENT"],"solutions":["PROJECT_FINANCE","GUARANTEES_AND_LC","ESCROW_AND_AGENCY"],"timing":["project financial close"]}</x:v>
      </x:c>
    </x:row>
    <x:row r="242">
      <x:c r="A242" s="63" t="str">
        <x:v>E20</x:v>
      </x:c>
      <x:c r="B242" s="63" t="str">
        <x:v>Shaftesbury Capital plc</x:v>
      </x:c>
      <x:c r="C242" s="63" t="str">
        <x:v>real_estate</x:v>
      </x:c>
      <x:c r="D242" s="63" t="str">
        <x:v>twin:E20:2026-06-30:3.1.0</x:v>
      </x:c>
      <x:c r="E242" s="63" t="str">
        <x:v>STAKEHOLDER_RESPONSIBILITY</x:v>
      </x:c>
      <x:c r="F242" s="63" t="str">
        <x:v>Stakeholder responsibility model</x:v>
      </x:c>
      <x:c r="G242" s="63" t="str">
        <x:v>SUPPORTED</x:v>
      </x:c>
      <x:c r="H242" s="63" t="str">
        <x:v>IDENTIFIED_BOUND</x:v>
      </x:c>
      <x:c r="I242" s="63" t="str">
        <x:v>E0</x:v>
      </x:c>
      <x:c r="J242" s="80" t="n">
        <x:v>0.6</x:v>
      </x:c>
      <x:c r="K242" s="63" t="n">
        <x:v>0</x:v>
      </x:c>
      <x:c r="L242" s="63" t="str">
        <x:v>bec:E20:struct:responsibility-model, bec:E20:struct:responsibility:fx_exposure, bec:E20:struct:responsibility:refinancing_cliff, bec:E20:struct:responsibility:working_capital_pressure</x:v>
      </x:c>
      <x:c r="M242" s="63" t="str">
        <x:v>client-confirmed decision authority and mandate limits</x:v>
      </x:c>
      <x:c r="N242" s="63" t="str">
        <x:v>{"problems":[],"solutions":[],"timing":["decision-authority availability"]}</x:v>
      </x:c>
    </x:row>
    <x:row r="243">
      <x:c r="A243" s="63" t="str">
        <x:v>E20</x:v>
      </x:c>
      <x:c r="B243" s="63" t="str">
        <x:v>Shaftesbury Capital plc</x:v>
      </x:c>
      <x:c r="C243" s="63" t="str">
        <x:v>real_estate</x:v>
      </x:c>
      <x:c r="D243" s="63" t="str">
        <x:v>twin:E20:2026-06-30:3.1.0</x:v>
      </x:c>
      <x:c r="E243" s="63" t="str">
        <x:v>BUSINESS_AND_FINANCIAL_RISKS</x:v>
      </x:c>
      <x:c r="F243" s="63" t="str">
        <x:v>Business and financial risks</x:v>
      </x:c>
      <x:c r="G243" s="63" t="str">
        <x:v>SUPPORTED</x:v>
      </x:c>
      <x:c r="H243" s="63" t="str">
        <x:v>IDENTIFIED_BOUND</x:v>
      </x:c>
      <x:c r="I243" s="63" t="str">
        <x:v>E0</x:v>
      </x:c>
      <x:c r="J243" s="80" t="n">
        <x:v>0.65</x:v>
      </x:c>
      <x:c r="K243" s="63" t="n">
        <x:v>0</x:v>
      </x:c>
      <x:c r="L243" s="63" t="str">
        <x:v>bec:E20:struct:risk:0, bec:E20:struct:risk:1, bec:E20:struct:risk:2</x:v>
      </x:c>
      <x:c r="M243" s="63" t="str">
        <x:v>client risk-report extraction</x:v>
      </x:c>
      <x:c r="N243" s="63" t="str">
        <x:v>{"problems":["OPERATIONAL_RESILIENCE","COMMODITY_EXPOSURE"],"solutions":["COMMODITY_RISK_MANAGEMENT","GUARANTEES_AND_LC"],"timing":["risk-review cycle"]}</x:v>
      </x:c>
    </x:row>
    <x:row r="244">
      <x:c r="A244" s="63" t="str">
        <x:v>E20</x:v>
      </x:c>
      <x:c r="B244" s="63" t="str">
        <x:v>Shaftesbury Capital plc</x:v>
      </x:c>
      <x:c r="C244" s="63" t="str">
        <x:v>real_estate</x:v>
      </x:c>
      <x:c r="D244" s="63" t="str">
        <x:v>twin:E20:2026-06-30:3.1.0</x:v>
      </x:c>
      <x:c r="E244" s="63" t="str">
        <x:v>STRATEGY_ACTIONS_AND_ESG</x:v>
      </x:c>
      <x:c r="F244" s="63" t="str">
        <x:v>Strategy, corporate actions and ESG activity</x:v>
      </x:c>
      <x:c r="G244" s="63" t="str">
        <x:v>SUPPORTED</x:v>
      </x:c>
      <x:c r="H244" s="63" t="str">
        <x:v>OBSERVED</x:v>
      </x:c>
      <x:c r="I244" s="63" t="str">
        <x:v>E0</x:v>
      </x:c>
      <x:c r="J244" s="80" t="n">
        <x:v>0.55</x:v>
      </x:c>
      <x:c r="K244" s="63" t="n">
        <x:v>0</x:v>
      </x:c>
      <x:c r="L244" s="63" t="str">
        <x:v>bec:E20:obs:latent:event_intensity</x:v>
      </x:c>
      <x:c r="M244" s="63" t="str">
        <x:v>announced corporate actions; evidence-based ESG activity and transition targets</x:v>
      </x:c>
      <x:c r="N244" s="63" t="str">
        <x:v>{"problems":["MA_OR_STRATEGIC_EVENT","ESG_TRANSITION_FUNDING","CAPITAL_STRUCTURE_EVENT"],"solutions":["MA_AND_STRATEGIC_ADVISORY","SUSTAINABLE_FINANCE","ESCROW_AND_AGENCY"],"timing":["announcement and results dates"]}</x:v>
      </x:c>
    </x:row>
  </x:sheetData>
  <x:mergeCells>
    <x:mergeCell ref="A1:N1"/>
    <x:mergeCell ref="A2:N2"/>
  </x:mergeCells>
  <x:conditionalFormatting sqref="A5:N244">
    <x:cfRule type="expression" dxfId="3" priority="1">
      <x:formula>$G5="UNKNOWN"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26" hidden="0" customWidth="1"/>
    <x:col min="5" max="5" width="26" hidden="0" customWidth="1"/>
    <x:col min="6" max="6" width="26" hidden="0" customWidth="1"/>
    <x:col min="7" max="7" width="15" hidden="0" customWidth="1"/>
    <x:col min="8" max="8" width="36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44" hidden="0" customWidth="1"/>
  </x:cols>
  <x:sheetData>
    <x:row r="1" ht="36" customHeight="1">
      <x:c r="A1" s="3" t="str">
        <x:v>Client–Solution Estimates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8" customHeight="1">
      <x:c r="A2" s="7" t="str">
        <x:v>All 16 solution families execute for all 20 clients; each row contains an estimate or an explicit fail-closed reason.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5" t="str">
        <x:v>Entity ID</x:v>
      </x:c>
      <x:c r="B4" s="55" t="str">
        <x:v>Entity name</x:v>
      </x:c>
      <x:c r="C4" s="55" t="str">
        <x:v>Solution</x:v>
      </x:c>
      <x:c r="D4" s="55" t="str">
        <x:v>Solution label</x:v>
      </x:c>
      <x:c r="E4" s="55" t="str">
        <x:v>Family</x:v>
      </x:c>
      <x:c r="F4" s="55" t="str">
        <x:v>Principal quantity</x:v>
      </x:c>
      <x:c r="G4" s="55" t="str">
        <x:v>Available</x:v>
      </x:c>
      <x:c r="H4" s="55" t="str">
        <x:v>Model status</x:v>
      </x:c>
      <x:c r="I4" s="55" t="str">
        <x:v>Claim class</x:v>
      </x:c>
      <x:c r="J4" s="55" t="str">
        <x:v>Evidence tier</x:v>
      </x:c>
      <x:c r="K4" s="55" t="str">
        <x:v>Need probability</x:v>
      </x:c>
      <x:c r="L4" s="55" t="str">
        <x:v>Amount low</x:v>
      </x:c>
      <x:c r="M4" s="55" t="str">
        <x:v>Amount median</x:v>
      </x:c>
      <x:c r="N4" s="55" t="str">
        <x:v>Amount high</x:v>
      </x:c>
      <x:c r="O4" s="55" t="str">
        <x:v>Currency</x:v>
      </x:c>
      <x:c r="P4" s="55" t="str">
        <x:v>P(30d)</x:v>
      </x:c>
      <x:c r="Q4" s="55" t="str">
        <x:v>P(60d)</x:v>
      </x:c>
      <x:c r="R4" s="55" t="str">
        <x:v>P(90d) / unavailable reason</x:v>
      </x:c>
    </x:row>
    <x:row r="5">
      <x:c r="A5" s="63" t="str">
        <x:v>E01</x:v>
      </x:c>
      <x:c r="B5" s="63" t="str">
        <x:v>BHP Group</x:v>
      </x:c>
      <x:c r="C5" s="63" t="str">
        <x:v>COLLECTIONS</x:v>
      </x:c>
      <x:c r="D5" s="63" t="str">
        <x:v>Collections</x:v>
      </x:c>
      <x:c r="E5" s="63" t="str">
        <x:v>TRANSACTION_BANKING</x:v>
      </x:c>
      <x:c r="F5" s="63" t="str">
        <x:v>TRANSACTION_WALLET</x:v>
      </x:c>
      <x:c r="G5" s="64" t="b">
        <x:v>1</x:v>
      </x:c>
      <x:c r="H5" s="63" t="str">
        <x:v>SHADOW_ELIGIBLE_REPRESENTATIVE</x:v>
      </x:c>
      <x:c r="I5" s="63" t="str">
        <x:v>POSTERIOR</x:v>
      </x:c>
      <x:c r="J5" s="63" t="str">
        <x:v>E1</x:v>
      </x:c>
      <x:c r="K5" s="81" t="n">
        <x:v>1</x:v>
      </x:c>
      <x:c r="L5" s="82" t="n">
        <x:v>65249193923.31218</x:v>
      </x:c>
      <x:c r="M5" s="82" t="n">
        <x:v>91204520081.60507</x:v>
      </x:c>
      <x:c r="N5" s="82" t="n">
        <x:v>154561619771.3996</x:v>
      </x:c>
      <x:c r="O5" s="63" t="str">
        <x:v>ZAR</x:v>
      </x:c>
      <x:c r="P5" s="81" t="n">
        <x:v>0.09867240096275565</x:v>
      </x:c>
      <x:c r="Q5" s="81" t="n">
        <x:v>0.18760855921375652</x:v>
      </x:c>
      <x:c r="R5" s="63" t="n">
        <x:v>0.26776917319772753</x:v>
      </x:c>
    </x:row>
    <x:row r="6">
      <x:c r="A6" s="63" t="str">
        <x:v>E01</x:v>
      </x:c>
      <x:c r="B6" s="63" t="str">
        <x:v>BHP Group</x:v>
      </x:c>
      <x:c r="C6" s="63" t="str">
        <x:v>COMMODITY_RISK_MANAGEMENT</x:v>
      </x:c>
      <x:c r="D6" s="63" t="str">
        <x:v>Commodity risk management</x:v>
      </x:c>
      <x:c r="E6" s="63" t="str">
        <x:v>RISK_MANAGEMENT</x:v>
      </x:c>
      <x:c r="F6" s="63" t="str">
        <x:v>EXPOSURE_NOTIONAL</x:v>
      </x:c>
      <x:c r="G6" s="64" t="b">
        <x:v>1</x:v>
      </x:c>
      <x:c r="H6" s="63" t="str">
        <x:v>SCENARIO_BLOCKED_PENDING_CALIBRATION</x:v>
      </x:c>
      <x:c r="I6" s="63" t="str">
        <x:v>SCENARIO</x:v>
      </x:c>
      <x:c r="J6" s="63" t="str">
        <x:v>E0</x:v>
      </x:c>
      <x:c r="K6" s="81" t="n">
        <x:v>0.4775000000000001</x:v>
      </x:c>
      <x:c r="L6" s="82" t="n">
        <x:v>1377887105.7607834</x:v>
      </x:c>
      <x:c r="M6" s="82" t="n">
        <x:v>3215069913.4418283</x:v>
      </x:c>
      <x:c r="N6" s="82" t="n">
        <x:v>5511548423.043134</x:v>
      </x:c>
      <x:c r="O6" s="63" t="str">
        <x:v>ZAR</x:v>
      </x:c>
      <x:c r="P6" s="81" t="n">
        <x:v>0.21487500000000004</x:v>
      </x:c>
      <x:c r="Q6" s="81" t="n">
        <x:v>0.3581250000000001</x:v>
      </x:c>
      <x:c r="R6" s="63" t="n">
        <x:v>0.4775000000000001</x:v>
      </x:c>
    </x:row>
    <x:row r="7">
      <x:c r="A7" s="63" t="str">
        <x:v>E01</x:v>
      </x:c>
      <x:c r="B7" s="63" t="str">
        <x:v>BHP Group</x:v>
      </x:c>
      <x:c r="C7" s="63" t="str">
        <x:v>CROSS_BORDER_FX</x:v>
      </x:c>
      <x:c r="D7" s="63" t="str">
        <x:v>Cross-border FX</x:v>
      </x:c>
      <x:c r="E7" s="63" t="str">
        <x:v>RISK_MANAGEMENT</x:v>
      </x:c>
      <x:c r="F7" s="63" t="str">
        <x:v>EXPOSURE_NOTIONAL</x:v>
      </x:c>
      <x:c r="G7" s="64" t="b">
        <x:v>1</x:v>
      </x:c>
      <x:c r="H7" s="63" t="str">
        <x:v>SHADOW_ELIGIBLE_REPRESENTATIVE</x:v>
      </x:c>
      <x:c r="I7" s="63" t="str">
        <x:v>POSTERIOR</x:v>
      </x:c>
      <x:c r="J7" s="63" t="str">
        <x:v>E1</x:v>
      </x:c>
      <x:c r="K7" s="81" t="n">
        <x:v>0.358385831621402</x:v>
      </x:c>
      <x:c r="L7" s="82" t="n">
        <x:v>15026375863.569613</x:v>
      </x:c>
      <x:c r="M7" s="82" t="n">
        <x:v>23892772227.185097</x:v>
      </x:c>
      <x:c r="N7" s="82" t="n">
        <x:v>47872524086.45786</x:v>
      </x:c>
      <x:c r="O7" s="63" t="str">
        <x:v>ZAR</x:v>
      </x:c>
      <x:c r="P7" s="81" t="n">
        <x:v>0.08967093597939846</x:v>
      </x:c>
      <x:c r="Q7" s="81" t="n">
        <x:v>0.17130099519937558</x:v>
      </x:c>
      <x:c r="R7" s="63" t="n">
        <x:v>0.24561121060504365</x:v>
      </x:c>
    </x:row>
    <x:row r="8">
      <x:c r="A8" s="63" t="str">
        <x:v>E01</x:v>
      </x:c>
      <x:c r="B8" s="63" t="str">
        <x:v>BHP Group</x:v>
      </x:c>
      <x:c r="C8" s="63" t="str">
        <x:v>DEBT_CAPITAL_MARKETS</x:v>
      </x:c>
      <x:c r="D8" s="63" t="str">
        <x:v>Debt capital markets</x:v>
      </x:c>
      <x:c r="E8" s="63" t="str">
        <x:v>CAPITAL_MARKETS</x:v>
      </x:c>
      <x:c r="F8" s="63" t="str">
        <x:v>FINANCING_REQUIREMENT</x:v>
      </x:c>
      <x:c r="G8" s="64" t="b">
        <x:v>1</x:v>
      </x:c>
      <x:c r="H8" s="63" t="str">
        <x:v>SCENARIO_BLOCKED_PENDING_CALIBRATION</x:v>
      </x:c>
      <x:c r="I8" s="63" t="str">
        <x:v>SCENARIO</x:v>
      </x:c>
      <x:c r="J8" s="63" t="str">
        <x:v>E1</x:v>
      </x:c>
      <x:c r="K8" s="81" t="n">
        <x:v>0.34</x:v>
      </x:c>
      <x:c r="L8" s="82" t="n">
        <x:v>28833184000</x:v>
      </x:c>
      <x:c r="M8" s="82" t="n">
        <x:v>36041480000</x:v>
      </x:c>
      <x:c r="N8" s="82" t="n">
        <x:v>46853924000</x:v>
      </x:c>
      <x:c r="O8" s="63" t="str">
        <x:v>ZAR</x:v>
      </x:c>
      <x:c r="P8" s="81" t="n">
        <x:v>0.15300000000000002</x:v>
      </x:c>
      <x:c r="Q8" s="81" t="n">
        <x:v>0.255</x:v>
      </x:c>
      <x:c r="R8" s="63" t="n">
        <x:v>0.34</x:v>
      </x:c>
    </x:row>
    <x:row r="9">
      <x:c r="A9" s="63" t="str">
        <x:v>E01</x:v>
      </x:c>
      <x:c r="B9" s="63" t="str">
        <x:v>BHP Group</x:v>
      </x:c>
      <x:c r="C9" s="63" t="str">
        <x:v>ESCROW_AND_AGENCY</x:v>
      </x:c>
      <x:c r="D9" s="63" t="str">
        <x:v>Escrow and agency services</x:v>
      </x:c>
      <x:c r="E9" s="63" t="str">
        <x:v>ADVISORY_AND_AGENCY</x:v>
      </x:c>
      <x:c r="F9" s="63" t="str">
        <x:v>EVENT_LINKED_FLOW</x:v>
      </x:c>
      <x:c r="G9" s="64" t="b">
        <x:v>0</x:v>
      </x:c>
      <x:c r="H9" s="63" t="str">
        <x:v>FAIL_CLOSED_REQUIRED_INPUT_UNAVAILABLE</x:v>
      </x:c>
      <x:c r="I9" s="63" t="str">
        <x:v>SCENARIO</x:v>
      </x:c>
      <x:c r="J9" s="63" t="str">
        <x:v>E0</x:v>
      </x:c>
      <x:c r="K9" s="81"/>
      <x:c r="L9" s="82"/>
      <x:c r="M9" s="82"/>
      <x:c r="N9" s="82"/>
      <x:c r="O9" s="63"/>
      <x:c r="P9" s="81"/>
      <x:c r="Q9" s="81"/>
      <x:c r="R9" s="63" t="str">
        <x:v>Escrow and agency flow is event-linked, and no reviewed corporate action or capital-structure event exists for this client.</x:v>
      </x:c>
    </x:row>
    <x:row r="10">
      <x:c r="A10" s="63" t="str">
        <x:v>E01</x:v>
      </x:c>
      <x:c r="B10" s="63" t="str">
        <x:v>BHP Group</x:v>
      </x:c>
      <x:c r="C10" s="63" t="str">
        <x:v>GUARANTEES_AND_LC</x:v>
      </x:c>
      <x:c r="D10" s="63" t="str">
        <x:v>Guarantees and letters of credit</x:v>
      </x:c>
      <x:c r="E10" s="63" t="str">
        <x:v>TRADE_AND_WORKING_CAPITAL</x:v>
      </x:c>
      <x:c r="F10" s="63" t="str">
        <x:v>CONTINGENT_EXPOSURE</x:v>
      </x:c>
      <x:c r="G10" s="64" t="b">
        <x:v>1</x:v>
      </x:c>
      <x:c r="H10" s="63" t="str">
        <x:v>SCENARIO_BLOCKED_PENDING_CALIBRATION</x:v>
      </x:c>
      <x:c r="I10" s="63" t="str">
        <x:v>SCENARIO</x:v>
      </x:c>
      <x:c r="J10" s="63" t="str">
        <x:v>E0</x:v>
      </x:c>
      <x:c r="K10" s="81" t="n">
        <x:v>0.24250000000000002</x:v>
      </x:c>
      <x:c r="L10" s="82" t="n">
        <x:v>31291129.654000003</x:v>
      </x:c>
      <x:c r="M10" s="82" t="n">
        <x:v>62582259.308000006</x:v>
      </x:c>
      <x:c r="N10" s="82" t="n">
        <x:v>93873388.962</x:v>
      </x:c>
      <x:c r="O10" s="63" t="str">
        <x:v>ZAR</x:v>
      </x:c>
      <x:c r="P10" s="81" t="n">
        <x:v>0.10912500000000001</x:v>
      </x:c>
      <x:c r="Q10" s="81" t="n">
        <x:v>0.181875</x:v>
      </x:c>
      <x:c r="R10" s="63" t="n">
        <x:v>0.24250000000000002</x:v>
      </x:c>
    </x:row>
    <x:row r="11">
      <x:c r="A11" s="63" t="str">
        <x:v>E01</x:v>
      </x:c>
      <x:c r="B11" s="63" t="str">
        <x:v>BHP Group</x:v>
      </x:c>
      <x:c r="C11" s="63" t="str">
        <x:v>INTEREST_RATE_RISK_MANAGEMENT</x:v>
      </x:c>
      <x:c r="D11" s="63" t="str">
        <x:v>Interest-rate risk management</x:v>
      </x:c>
      <x:c r="E11" s="63" t="str">
        <x:v>RISK_MANAGEMENT</x:v>
      </x:c>
      <x:c r="F11" s="63" t="str">
        <x:v>EXPOSURE_NOTIONAL</x:v>
      </x:c>
      <x:c r="G11" s="64" t="b">
        <x:v>1</x:v>
      </x:c>
      <x:c r="H11" s="63" t="str">
        <x:v>SCENARIO_BLOCKED_PENDING_CALIBRATION</x:v>
      </x:c>
      <x:c r="I11" s="63" t="str">
        <x:v>SCENARIO</x:v>
      </x:c>
      <x:c r="J11" s="63" t="str">
        <x:v>E1</x:v>
      </x:c>
      <x:c r="K11" s="81" t="n">
        <x:v>0.29999999999999993</x:v>
      </x:c>
      <x:c r="L11" s="82" t="n">
        <x:v>10812444000</x:v>
      </x:c>
      <x:c r="M11" s="82" t="n">
        <x:v>19822814000</x:v>
      </x:c>
      <x:c r="N11" s="82" t="n">
        <x:v>28833184000</x:v>
      </x:c>
      <x:c r="O11" s="63" t="str">
        <x:v>ZAR</x:v>
      </x:c>
      <x:c r="P11" s="81" t="n">
        <x:v>0.13499999999999998</x:v>
      </x:c>
      <x:c r="Q11" s="81" t="n">
        <x:v>0.22499999999999995</x:v>
      </x:c>
      <x:c r="R11" s="63" t="n">
        <x:v>0.29999999999999993</x:v>
      </x:c>
    </x:row>
    <x:row r="12">
      <x:c r="A12" s="63" t="str">
        <x:v>E01</x:v>
      </x:c>
      <x:c r="B12" s="63" t="str">
        <x:v>BHP Group</x:v>
      </x:c>
      <x:c r="C12" s="63" t="str">
        <x:v>LIQUIDITY_CASH_MANAGEMENT</x:v>
      </x:c>
      <x:c r="D12" s="63" t="str">
        <x:v>Liquidity and cash management</x:v>
      </x:c>
      <x:c r="E12" s="63" t="str">
        <x:v>TRANSACTION_BANKING</x:v>
      </x:c>
      <x:c r="F12" s="63" t="str">
        <x:v>CASH_WALLET</x:v>
      </x:c>
      <x:c r="G12" s="64" t="b">
        <x:v>1</x:v>
      </x:c>
      <x:c r="H12" s="63" t="str">
        <x:v>SHADOW_ELIGIBLE_REPRESENTATIVE</x:v>
      </x:c>
      <x:c r="I12" s="63" t="str">
        <x:v>POSTERIOR</x:v>
      </x:c>
      <x:c r="J12" s="63" t="str">
        <x:v>E1</x:v>
      </x:c>
      <x:c r="K12" s="81" t="n">
        <x:v>1</x:v>
      </x:c>
      <x:c r="L12" s="82" t="n">
        <x:v>21085121966.549923</x:v>
      </x:c>
      <x:c r="M12" s="82" t="n">
        <x:v>33794885018.512955</x:v>
      </x:c>
      <x:c r="N12" s="82" t="n">
        <x:v>73790534040.38133</x:v>
      </x:c>
      <x:c r="O12" s="63" t="str">
        <x:v>ZAR</x:v>
      </x:c>
      <x:c r="P12" s="81" t="n">
        <x:v>0.11621746355124629</x:v>
      </x:c>
      <x:c r="Q12" s="81" t="n">
        <x:v>0.21892842826820735</x:v>
      </x:c>
      <x:c r="R12" s="63" t="n">
        <x:v>0.30970258518686156</x:v>
      </x:c>
    </x:row>
    <x:row r="13">
      <x:c r="A13" s="63" t="str">
        <x:v>E01</x:v>
      </x:c>
      <x:c r="B13" s="63" t="str">
        <x:v>BHP Group</x:v>
      </x:c>
      <x:c r="C13" s="63" t="str">
        <x:v>MA_AND_STRATEGIC_ADVISORY</x:v>
      </x:c>
      <x:c r="D13" s="63" t="str">
        <x:v>M&amp;A and strategic advisory</x:v>
      </x:c>
      <x:c r="E13" s="63" t="str">
        <x:v>ADVISORY_AND_AGENCY</x:v>
      </x:c>
      <x:c r="F13" s="63" t="str">
        <x:v>TRANSACTION_SIZE</x:v>
      </x:c>
      <x:c r="G13" s="64" t="b">
        <x:v>0</x:v>
      </x:c>
      <x:c r="H13" s="63" t="str">
        <x:v>FAIL_CLOSED_REQUIRED_INPUT_UNAVAILABLE</x:v>
      </x:c>
      <x:c r="I13" s="63" t="str">
        <x:v>SCENARIO</x:v>
      </x:c>
      <x:c r="J13" s="63" t="str">
        <x:v>E0</x:v>
      </x:c>
      <x:c r="K13" s="81"/>
      <x:c r="L13" s="82"/>
      <x:c r="M13" s="82"/>
      <x:c r="N13" s="82"/>
      <x:c r="O13" s="63"/>
      <x:c r="P13" s="81"/>
      <x:c r="Q13" s="81"/>
      <x:c r="R13" s="63" t="str">
        <x:v>No announced or reviewed transaction evidence exists, so no mandate probability or transaction size can be estimated.</x:v>
      </x:c>
    </x:row>
    <x:row r="14">
      <x:c r="A14" s="63" t="str">
        <x:v>E01</x:v>
      </x:c>
      <x:c r="B14" s="63" t="str">
        <x:v>BHP Group</x:v>
      </x:c>
      <x:c r="C14" s="63" t="str">
        <x:v>PAYMENTS</x:v>
      </x:c>
      <x:c r="D14" s="63" t="str">
        <x:v>Payments</x:v>
      </x:c>
      <x:c r="E14" s="63" t="str">
        <x:v>TRANSACTION_BANKING</x:v>
      </x:c>
      <x:c r="F14" s="63" t="str">
        <x:v>TRANSACTION_WALLET</x:v>
      </x:c>
      <x:c r="G14" s="64" t="b">
        <x:v>1</x:v>
      </x:c>
      <x:c r="H14" s="63" t="str">
        <x:v>SHADOW_ELIGIBLE_REPRESENTATIVE</x:v>
      </x:c>
      <x:c r="I14" s="63" t="str">
        <x:v>POSTERIOR</x:v>
      </x:c>
      <x:c r="J14" s="63" t="str">
        <x:v>E1</x:v>
      </x:c>
      <x:c r="K14" s="81" t="n">
        <x:v>1</x:v>
      </x:c>
      <x:c r="L14" s="82" t="n">
        <x:v>47947409245.72519</x:v>
      </x:c>
      <x:c r="M14" s="82" t="n">
        <x:v>68117149749.91362</x:v>
      </x:c>
      <x:c r="N14" s="82" t="n">
        <x:v>119532978628.61559</x:v>
      </x:c>
      <x:c r="O14" s="63" t="str">
        <x:v>ZAR</x:v>
      </x:c>
      <x:c r="P14" s="81" t="n">
        <x:v>0.10202025900182332</x:v>
      </x:c>
      <x:c r="Q14" s="81" t="n">
        <x:v>0.1936323847568474</x:v>
      </x:c>
      <x:c r="R14" s="63" t="n">
        <x:v>0.2758982177146364</x:v>
      </x:c>
    </x:row>
    <x:row r="15">
      <x:c r="A15" s="63" t="str">
        <x:v>E01</x:v>
      </x:c>
      <x:c r="B15" s="63" t="str">
        <x:v>BHP Group</x:v>
      </x:c>
      <x:c r="C15" s="63" t="str">
        <x:v>PROJECT_FINANCE</x:v>
      </x:c>
      <x:c r="D15" s="63" t="str">
        <x:v>Project finance</x:v>
      </x:c>
      <x:c r="E15" s="63" t="str">
        <x:v>LENDING</x:v>
      </x:c>
      <x:c r="F15" s="63" t="str">
        <x:v>PROJECT_FUNDING_REQUIREMENT</x:v>
      </x:c>
      <x:c r="G15" s="64" t="b">
        <x:v>0</x:v>
      </x:c>
      <x:c r="H15" s="63" t="str">
        <x:v>FAIL_CLOSED_REQUIRED_INPUT_UNAVAILABLE</x:v>
      </x:c>
      <x:c r="I15" s="63" t="str">
        <x:v>SCENARIO</x:v>
      </x:c>
      <x:c r="J15" s="63" t="str">
        <x:v>E0</x:v>
      </x:c>
      <x:c r="K15" s="81"/>
      <x:c r="L15" s="82"/>
      <x:c r="M15" s="82"/>
      <x:c r="N15" s="82"/>
      <x:c r="O15" s="63"/>
      <x:c r="P15" s="81"/>
      <x:c r="Q15" s="81"/>
      <x:c r="R15" s="63" t="str">
        <x:v>No reviewed project, SPV or ring-fenced cash-flow evidence exists for this client. Project finance cannot be sized from a sector assumption, and SPV ownership is never inferred from name similarity.</x:v>
      </x:c>
    </x:row>
    <x:row r="16">
      <x:c r="A16" s="63" t="str">
        <x:v>E01</x:v>
      </x:c>
      <x:c r="B16" s="63" t="str">
        <x:v>BHP Group</x:v>
      </x:c>
      <x:c r="C16" s="63" t="str">
        <x:v>SUPPLY_CHAIN_FINANCE</x:v>
      </x:c>
      <x:c r="D16" s="63" t="str">
        <x:v>Supply-chain finance</x:v>
      </x:c>
      <x:c r="E16" s="63" t="str">
        <x:v>TRADE_AND_WORKING_CAPITAL</x:v>
      </x:c>
      <x:c r="F16" s="63" t="str">
        <x:v>ELIGIBLE_FLOW</x:v>
      </x:c>
      <x:c r="G16" s="64" t="b">
        <x:v>1</x:v>
      </x:c>
      <x:c r="H16" s="63" t="str">
        <x:v>SCENARIO_BLOCKED_PENDING_CALIBRATION</x:v>
      </x:c>
      <x:c r="I16" s="63" t="str">
        <x:v>SCENARIO</x:v>
      </x:c>
      <x:c r="J16" s="63" t="str">
        <x:v>E0</x:v>
      </x:c>
      <x:c r="K16" s="81" t="n">
        <x:v>0.4275</x:v>
      </x:c>
      <x:c r="L16" s="82" t="n">
        <x:v>1070310802.9844997</x:v>
      </x:c>
      <x:c r="M16" s="82" t="n">
        <x:v>2140621605.9689994</x:v>
      </x:c>
      <x:c r="N16" s="82" t="n">
        <x:v>3210932408.9534993</x:v>
      </x:c>
      <x:c r="O16" s="63" t="str">
        <x:v>ZAR</x:v>
      </x:c>
      <x:c r="P16" s="81" t="n">
        <x:v>0.192375</x:v>
      </x:c>
      <x:c r="Q16" s="81" t="n">
        <x:v>0.320625</x:v>
      </x:c>
      <x:c r="R16" s="63" t="n">
        <x:v>0.4275</x:v>
      </x:c>
    </x:row>
    <x:row r="17">
      <x:c r="A17" s="63" t="str">
        <x:v>E01</x:v>
      </x:c>
      <x:c r="B17" s="63" t="str">
        <x:v>BHP Group</x:v>
      </x:c>
      <x:c r="C17" s="63" t="str">
        <x:v>SUSTAINABLE_FINANCE</x:v>
      </x:c>
      <x:c r="D17" s="63" t="str">
        <x:v>Sustainable finance</x:v>
      </x:c>
      <x:c r="E17" s="63" t="str">
        <x:v>CAPITAL_MARKETS</x:v>
      </x:c>
      <x:c r="F17" s="63" t="str">
        <x:v>ELIGIBLE_CAPEX</x:v>
      </x:c>
      <x:c r="G17" s="64" t="b">
        <x:v>0</x:v>
      </x:c>
      <x:c r="H17" s="63" t="str">
        <x:v>FAIL_CLOSED_REQUIRED_INPUT_UNAVAILABLE</x:v>
      </x:c>
      <x:c r="I17" s="63" t="str">
        <x:v>SCENARIO</x:v>
      </x:c>
      <x:c r="J17" s="63" t="str">
        <x:v>E0</x:v>
      </x:c>
      <x:c r="K17" s="81"/>
      <x:c r="L17" s="82"/>
      <x:c r="M17" s="82"/>
      <x:c r="N17" s="82"/>
      <x:c r="O17" s="63"/>
      <x:c r="P17" s="81"/>
      <x:c r="Q17" s="81"/>
      <x:c r="R17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8">
      <x:c r="A18" s="63" t="str">
        <x:v>E01</x:v>
      </x:c>
      <x:c r="B18" s="63" t="str">
        <x:v>BHP Group</x:v>
      </x:c>
      <x:c r="C18" s="63" t="str">
        <x:v>TERM_AND_SYNDICATED_LENDING</x:v>
      </x:c>
      <x:c r="D18" s="63" t="str">
        <x:v>Term and syndicated lending</x:v>
      </x:c>
      <x:c r="E18" s="63" t="str">
        <x:v>LENDING</x:v>
      </x:c>
      <x:c r="F18" s="63" t="str">
        <x:v>FACILITY_SIZE</x:v>
      </x:c>
      <x:c r="G18" s="64" t="b">
        <x:v>1</x:v>
      </x:c>
      <x:c r="H18" s="63" t="str">
        <x:v>SCENARIO_BLOCKED_PENDING_CALIBRATION</x:v>
      </x:c>
      <x:c r="I18" s="63" t="str">
        <x:v>SCENARIO</x:v>
      </x:c>
      <x:c r="J18" s="63" t="str">
        <x:v>E1</x:v>
      </x:c>
      <x:c r="K18" s="81" t="n">
        <x:v>0.34</x:v>
      </x:c>
      <x:c r="L18" s="82" t="n">
        <x:v>32437332000</x:v>
      </x:c>
      <x:c r="M18" s="82" t="n">
        <x:v>39645628000</x:v>
      </x:c>
      <x:c r="N18" s="82" t="n">
        <x:v>50458072000</x:v>
      </x:c>
      <x:c r="O18" s="63" t="str">
        <x:v>ZAR</x:v>
      </x:c>
      <x:c r="P18" s="81" t="n">
        <x:v>0.15300000000000002</x:v>
      </x:c>
      <x:c r="Q18" s="81" t="n">
        <x:v>0.255</x:v>
      </x:c>
      <x:c r="R18" s="63" t="n">
        <x:v>0.34</x:v>
      </x:c>
    </x:row>
    <x:row r="19">
      <x:c r="A19" s="63" t="str">
        <x:v>E01</x:v>
      </x:c>
      <x:c r="B19" s="63" t="str">
        <x:v>BHP Group</x:v>
      </x:c>
      <x:c r="C19" s="63" t="str">
        <x:v>TRADE_FINANCE</x:v>
      </x:c>
      <x:c r="D19" s="63" t="str">
        <x:v>Trade finance</x:v>
      </x:c>
      <x:c r="E19" s="63" t="str">
        <x:v>TRADE_AND_WORKING_CAPITAL</x:v>
      </x:c>
      <x:c r="F19" s="63" t="str">
        <x:v>ELIGIBLE_FLOW</x:v>
      </x:c>
      <x:c r="G19" s="64" t="b">
        <x:v>1</x:v>
      </x:c>
      <x:c r="H19" s="63" t="str">
        <x:v>SHADOW_ELIGIBLE_REPRESENTATIVE</x:v>
      </x:c>
      <x:c r="I19" s="63" t="str">
        <x:v>POSTERIOR</x:v>
      </x:c>
      <x:c r="J19" s="63" t="str">
        <x:v>E1</x:v>
      </x:c>
      <x:c r="K19" s="81" t="n">
        <x:v>1</x:v>
      </x:c>
      <x:c r="L19" s="82" t="n">
        <x:v>5152199053.104732</x:v>
      </x:c>
      <x:c r="M19" s="82" t="n">
        <x:v>8926976666.061932</x:v>
      </x:c>
      <x:c r="N19" s="82" t="n">
        <x:v>22082831232.859486</x:v>
      </x:c>
      <x:c r="O19" s="63" t="str">
        <x:v>ZAR</x:v>
      </x:c>
      <x:c r="P19" s="81" t="n">
        <x:v>0.13824005104039172</x:v>
      </x:c>
      <x:c r="Q19" s="81" t="n">
        <x:v>0.2573697903691333</x:v>
      </x:c>
      <x:c r="R19" s="63" t="n">
        <x:v>0.3600310284526411</x:v>
      </x:c>
    </x:row>
    <x:row r="20">
      <x:c r="A20" s="63" t="str">
        <x:v>E01</x:v>
      </x:c>
      <x:c r="B20" s="63" t="str">
        <x:v>BHP Group</x:v>
      </x:c>
      <x:c r="C20" s="63" t="str">
        <x:v>WORKING_CAPITAL_REVOLVING</x:v>
      </x:c>
      <x:c r="D20" s="63" t="str">
        <x:v>Working-capital/revolving credit</x:v>
      </x:c>
      <x:c r="E20" s="63" t="str">
        <x:v>LENDING</x:v>
      </x:c>
      <x:c r="F20" s="63" t="str">
        <x:v>FACILITY_SIZE</x:v>
      </x:c>
      <x:c r="G20" s="64" t="b">
        <x:v>0</x:v>
      </x:c>
      <x:c r="H20" s="63" t="str">
        <x:v>FAIL_CLOSED_REQUIRED_INPUT_UNAVAILABLE</x:v>
      </x:c>
      <x:c r="I20" s="63" t="str">
        <x:v>SCENARIO</x:v>
      </x:c>
      <x:c r="J20" s="63" t="str">
        <x:v>E0</x:v>
      </x:c>
      <x:c r="K20" s="81"/>
      <x:c r="L20" s="82"/>
      <x:c r="M20" s="82"/>
      <x:c r="N20" s="82"/>
      <x:c r="O20" s="63"/>
      <x:c r="P20" s="81"/>
      <x:c r="Q20" s="81"/>
      <x:c r="R20" s="63" t="str">
        <x:v>No positive working-capital gap can be computed from reviewed evidence, so a revolving facility cannot be sized.</x:v>
      </x:c>
    </x:row>
    <x:row r="21">
      <x:c r="A21" s="63" t="str">
        <x:v>E02</x:v>
      </x:c>
      <x:c r="B21" s="63" t="str">
        <x:v>Glencore</x:v>
      </x:c>
      <x:c r="C21" s="63" t="str">
        <x:v>COLLECTIONS</x:v>
      </x:c>
      <x:c r="D21" s="63" t="str">
        <x:v>Collections</x:v>
      </x:c>
      <x:c r="E21" s="63" t="str">
        <x:v>TRANSACTION_BANKING</x:v>
      </x:c>
      <x:c r="F21" s="63" t="str">
        <x:v>TRANSACTION_WALLET</x:v>
      </x:c>
      <x:c r="G21" s="64" t="b">
        <x:v>1</x:v>
      </x:c>
      <x:c r="H21" s="63" t="str">
        <x:v>SHADOW_ELIGIBLE_REPRESENTATIVE</x:v>
      </x:c>
      <x:c r="I21" s="63" t="str">
        <x:v>POSTERIOR</x:v>
      </x:c>
      <x:c r="J21" s="63" t="str">
        <x:v>E1</x:v>
      </x:c>
      <x:c r="K21" s="81" t="n">
        <x:v>0.6488674807452318</x:v>
      </x:c>
      <x:c r="L21" s="82" t="n">
        <x:v>47395590806.805214</x:v>
      </x:c>
      <x:c r="M21" s="82" t="n">
        <x:v>66159253386.74354</x:v>
      </x:c>
      <x:c r="N21" s="82" t="n">
        <x:v>112253986259.81245</x:v>
      </x:c>
      <x:c r="O21" s="63" t="str">
        <x:v>ZAR</x:v>
      </x:c>
      <x:c r="P21" s="81" t="n">
        <x:v>0.1022687929367656</x:v>
      </x:c>
      <x:c r="Q21" s="81" t="n">
        <x:v>0.19407867986478822</x:v>
      </x:c>
      <x:c r="R21" s="63" t="n">
        <x:v>0.276499280477021</x:v>
      </x:c>
    </x:row>
    <x:row r="22">
      <x:c r="A22" s="63" t="str">
        <x:v>E02</x:v>
      </x:c>
      <x:c r="B22" s="63" t="str">
        <x:v>Glencore</x:v>
      </x:c>
      <x:c r="C22" s="63" t="str">
        <x:v>COMMODITY_RISK_MANAGEMENT</x:v>
      </x:c>
      <x:c r="D22" s="63" t="str">
        <x:v>Commodity risk management</x:v>
      </x:c>
      <x:c r="E22" s="63" t="str">
        <x:v>RISK_MANAGEMENT</x:v>
      </x:c>
      <x:c r="F22" s="63" t="str">
        <x:v>EXPOSURE_NOTIONAL</x:v>
      </x:c>
      <x:c r="G22" s="64" t="b">
        <x:v>1</x:v>
      </x:c>
      <x:c r="H22" s="63" t="str">
        <x:v>SCENARIO_BLOCKED_PENDING_CALIBRATION</x:v>
      </x:c>
      <x:c r="I22" s="63" t="str">
        <x:v>SCENARIO</x:v>
      </x:c>
      <x:c r="J22" s="63" t="str">
        <x:v>E0</x:v>
      </x:c>
      <x:c r="K22" s="81" t="n">
        <x:v>0.4775000000000001</x:v>
      </x:c>
      <x:c r="L22" s="82" t="n">
        <x:v>369468773.6101192</x:v>
      </x:c>
      <x:c r="M22" s="82" t="n">
        <x:v>862093805.0902781</x:v>
      </x:c>
      <x:c r="N22" s="82" t="n">
        <x:v>1477875094.440477</x:v>
      </x:c>
      <x:c r="O22" s="63" t="str">
        <x:v>ZAR</x:v>
      </x:c>
      <x:c r="P22" s="81" t="n">
        <x:v>0.21487500000000004</x:v>
      </x:c>
      <x:c r="Q22" s="81" t="n">
        <x:v>0.3581250000000001</x:v>
      </x:c>
      <x:c r="R22" s="63" t="n">
        <x:v>0.4775000000000001</x:v>
      </x:c>
    </x:row>
    <x:row r="23">
      <x:c r="A23" s="63" t="str">
        <x:v>E02</x:v>
      </x:c>
      <x:c r="B23" s="63" t="str">
        <x:v>Glencore</x:v>
      </x:c>
      <x:c r="C23" s="63" t="str">
        <x:v>CROSS_BORDER_FX</x:v>
      </x:c>
      <x:c r="D23" s="63" t="str">
        <x:v>Cross-border FX</x:v>
      </x:c>
      <x:c r="E23" s="63" t="str">
        <x:v>RISK_MANAGEMENT</x:v>
      </x:c>
      <x:c r="F23" s="63" t="str">
        <x:v>EXPOSURE_NOTIONAL</x:v>
      </x:c>
      <x:c r="G23" s="64" t="b">
        <x:v>1</x:v>
      </x:c>
      <x:c r="H23" s="63" t="str">
        <x:v>SHADOW_ELIGIBLE_REPRESENTATIVE</x:v>
      </x:c>
      <x:c r="I23" s="63" t="str">
        <x:v>POSTERIOR</x:v>
      </x:c>
      <x:c r="J23" s="63" t="str">
        <x:v>E1</x:v>
      </x:c>
      <x:c r="K23" s="81" t="n">
        <x:v>0.5089472182430483</x:v>
      </x:c>
      <x:c r="L23" s="82" t="n">
        <x:v>18036954729.806812</x:v>
      </x:c>
      <x:c r="M23" s="82" t="n">
        <x:v>29075297991.251984</x:v>
      </x:c>
      <x:c r="N23" s="82" t="n">
        <x:v>60403577441.109276</x:v>
      </x:c>
      <x:c r="O23" s="63" t="str">
        <x:v>ZAR</x:v>
      </x:c>
      <x:c r="P23" s="81" t="n">
        <x:v>0.09593705384143791</x:v>
      </x:c>
      <x:c r="Q23" s="81" t="n">
        <x:v>0.18267018938310087</x:v>
      </x:c>
      <x:c r="R23" s="63" t="n">
        <x:v>0.2610824034304665</x:v>
      </x:c>
    </x:row>
    <x:row r="24">
      <x:c r="A24" s="63" t="str">
        <x:v>E02</x:v>
      </x:c>
      <x:c r="B24" s="63" t="str">
        <x:v>Glencore</x:v>
      </x:c>
      <x:c r="C24" s="63" t="str">
        <x:v>DEBT_CAPITAL_MARKETS</x:v>
      </x:c>
      <x:c r="D24" s="63" t="str">
        <x:v>Debt capital markets</x:v>
      </x:c>
      <x:c r="E24" s="63" t="str">
        <x:v>CAPITAL_MARKETS</x:v>
      </x:c>
      <x:c r="F24" s="63" t="str">
        <x:v>FINANCING_REQUIREMENT</x:v>
      </x:c>
      <x:c r="G24" s="64" t="b">
        <x:v>1</x:v>
      </x:c>
      <x:c r="H24" s="63" t="str">
        <x:v>SCENARIO_BLOCKED_PENDING_CALIBRATION</x:v>
      </x:c>
      <x:c r="I24" s="63" t="str">
        <x:v>SCENARIO</x:v>
      </x:c>
      <x:c r="J24" s="63" t="str">
        <x:v>E1</x:v>
      </x:c>
      <x:c r="K24" s="81" t="n">
        <x:v>0.34</x:v>
      </x:c>
      <x:c r="L24" s="82" t="n">
        <x:v>207090272000</x:v>
      </x:c>
      <x:c r="M24" s="82" t="n">
        <x:v>258862840000</x:v>
      </x:c>
      <x:c r="N24" s="82" t="n">
        <x:v>336521692000</x:v>
      </x:c>
      <x:c r="O24" s="63" t="str">
        <x:v>ZAR</x:v>
      </x:c>
      <x:c r="P24" s="81" t="n">
        <x:v>0.15300000000000002</x:v>
      </x:c>
      <x:c r="Q24" s="81" t="n">
        <x:v>0.255</x:v>
      </x:c>
      <x:c r="R24" s="63" t="n">
        <x:v>0.34</x:v>
      </x:c>
    </x:row>
    <x:row r="25">
      <x:c r="A25" s="63" t="str">
        <x:v>E02</x:v>
      </x:c>
      <x:c r="B25" s="63" t="str">
        <x:v>Glencore</x:v>
      </x:c>
      <x:c r="C25" s="63" t="str">
        <x:v>ESCROW_AND_AGENCY</x:v>
      </x:c>
      <x:c r="D25" s="63" t="str">
        <x:v>Escrow and agency services</x:v>
      </x:c>
      <x:c r="E25" s="63" t="str">
        <x:v>ADVISORY_AND_AGENCY</x:v>
      </x:c>
      <x:c r="F25" s="63" t="str">
        <x:v>EVENT_LINKED_FLOW</x:v>
      </x:c>
      <x:c r="G25" s="64" t="b">
        <x:v>0</x:v>
      </x:c>
      <x:c r="H25" s="63" t="str">
        <x:v>FAIL_CLOSED_REQUIRED_INPUT_UNAVAILABLE</x:v>
      </x:c>
      <x:c r="I25" s="63" t="str">
        <x:v>SCENARIO</x:v>
      </x:c>
      <x:c r="J25" s="63" t="str">
        <x:v>E0</x:v>
      </x:c>
      <x:c r="K25" s="81"/>
      <x:c r="L25" s="82"/>
      <x:c r="M25" s="82"/>
      <x:c r="N25" s="82"/>
      <x:c r="O25" s="63"/>
      <x:c r="P25" s="81"/>
      <x:c r="Q25" s="81"/>
      <x:c r="R25" s="63" t="str">
        <x:v>Escrow and agency flow is event-linked, and no reviewed corporate action or capital-structure event exists for this client.</x:v>
      </x:c>
    </x:row>
    <x:row r="26">
      <x:c r="A26" s="63" t="str">
        <x:v>E02</x:v>
      </x:c>
      <x:c r="B26" s="63" t="str">
        <x:v>Glencore</x:v>
      </x:c>
      <x:c r="C26" s="63" t="str">
        <x:v>GUARANTEES_AND_LC</x:v>
      </x:c>
      <x:c r="D26" s="63" t="str">
        <x:v>Guarantees and letters of credit</x:v>
      </x:c>
      <x:c r="E26" s="63" t="str">
        <x:v>TRADE_AND_WORKING_CAPITAL</x:v>
      </x:c>
      <x:c r="F26" s="63" t="str">
        <x:v>CONTINGENT_EXPOSURE</x:v>
      </x:c>
      <x:c r="G26" s="64" t="b">
        <x:v>1</x:v>
      </x:c>
      <x:c r="H26" s="63" t="str">
        <x:v>SCENARIO_BLOCKED_PENDING_CALIBRATION</x:v>
      </x:c>
      <x:c r="I26" s="63" t="str">
        <x:v>SCENARIO</x:v>
      </x:c>
      <x:c r="J26" s="63" t="str">
        <x:v>E0</x:v>
      </x:c>
      <x:c r="K26" s="81" t="n">
        <x:v>0.24250000000000002</x:v>
      </x:c>
      <x:c r="L26" s="82" t="n">
        <x:v>19907909.361000005</x:v>
      </x:c>
      <x:c r="M26" s="82" t="n">
        <x:v>39815818.72200001</x:v>
      </x:c>
      <x:c r="N26" s="82" t="n">
        <x:v>59723728.08300001</x:v>
      </x:c>
      <x:c r="O26" s="63" t="str">
        <x:v>ZAR</x:v>
      </x:c>
      <x:c r="P26" s="81" t="n">
        <x:v>0.10912500000000001</x:v>
      </x:c>
      <x:c r="Q26" s="81" t="n">
        <x:v>0.181875</x:v>
      </x:c>
      <x:c r="R26" s="63" t="n">
        <x:v>0.24250000000000002</x:v>
      </x:c>
    </x:row>
    <x:row r="27">
      <x:c r="A27" s="63" t="str">
        <x:v>E02</x:v>
      </x:c>
      <x:c r="B27" s="63" t="str">
        <x:v>Glencore</x:v>
      </x:c>
      <x:c r="C27" s="63" t="str">
        <x:v>INTEREST_RATE_RISK_MANAGEMENT</x:v>
      </x:c>
      <x:c r="D27" s="63" t="str">
        <x:v>Interest-rate risk management</x:v>
      </x:c>
      <x:c r="E27" s="63" t="str">
        <x:v>RISK_MANAGEMENT</x:v>
      </x:c>
      <x:c r="F27" s="63" t="str">
        <x:v>EXPOSURE_NOTIONAL</x:v>
      </x:c>
      <x:c r="G27" s="64" t="b">
        <x:v>1</x:v>
      </x:c>
      <x:c r="H27" s="63" t="str">
        <x:v>SCENARIO_BLOCKED_PENDING_CALIBRATION</x:v>
      </x:c>
      <x:c r="I27" s="63" t="str">
        <x:v>SCENARIO</x:v>
      </x:c>
      <x:c r="J27" s="63" t="str">
        <x:v>E1</x:v>
      </x:c>
      <x:c r="K27" s="81" t="n">
        <x:v>0.29999999999999993</x:v>
      </x:c>
      <x:c r="L27" s="82" t="n">
        <x:v>77658852000</x:v>
      </x:c>
      <x:c r="M27" s="82" t="n">
        <x:v>142374562000</x:v>
      </x:c>
      <x:c r="N27" s="82" t="n">
        <x:v>207090272000</x:v>
      </x:c>
      <x:c r="O27" s="63" t="str">
        <x:v>ZAR</x:v>
      </x:c>
      <x:c r="P27" s="81" t="n">
        <x:v>0.13499999999999998</x:v>
      </x:c>
      <x:c r="Q27" s="81" t="n">
        <x:v>0.22499999999999995</x:v>
      </x:c>
      <x:c r="R27" s="63" t="n">
        <x:v>0.29999999999999993</x:v>
      </x:c>
    </x:row>
    <x:row r="28">
      <x:c r="A28" s="63" t="str">
        <x:v>E02</x:v>
      </x:c>
      <x:c r="B28" s="63" t="str">
        <x:v>Glencore</x:v>
      </x:c>
      <x:c r="C28" s="63" t="str">
        <x:v>LIQUIDITY_CASH_MANAGEMENT</x:v>
      </x:c>
      <x:c r="D28" s="63" t="str">
        <x:v>Liquidity and cash management</x:v>
      </x:c>
      <x:c r="E28" s="63" t="str">
        <x:v>TRANSACTION_BANKING</x:v>
      </x:c>
      <x:c r="F28" s="63" t="str">
        <x:v>CASH_WALLET</x:v>
      </x:c>
      <x:c r="G28" s="64" t="b">
        <x:v>1</x:v>
      </x:c>
      <x:c r="H28" s="63" t="str">
        <x:v>SHADOW_ELIGIBLE_REPRESENTATIVE</x:v>
      </x:c>
      <x:c r="I28" s="63" t="str">
        <x:v>POSTERIOR</x:v>
      </x:c>
      <x:c r="J28" s="63" t="str">
        <x:v>E1</x:v>
      </x:c>
      <x:c r="K28" s="81" t="n">
        <x:v>0.8430841094918712</x:v>
      </x:c>
      <x:c r="L28" s="82" t="n">
        <x:v>17441145821.99024</x:v>
      </x:c>
      <x:c r="M28" s="82" t="n">
        <x:v>28477368213.91857</x:v>
      </x:c>
      <x:c r="N28" s="82" t="n">
        <x:v>64088597982.54127</x:v>
      </x:c>
      <x:c r="O28" s="63" t="str">
        <x:v>ZAR</x:v>
      </x:c>
      <x:c r="P28" s="81" t="n">
        <x:v>0.11651023085234136</x:v>
      </x:c>
      <x:c r="Q28" s="81" t="n">
        <x:v>0.21944582781141686</x:v>
      </x:c>
      <x:c r="R28" s="63" t="n">
        <x:v>0.3103883746058669</x:v>
      </x:c>
    </x:row>
    <x:row r="29">
      <x:c r="A29" s="63" t="str">
        <x:v>E02</x:v>
      </x:c>
      <x:c r="B29" s="63" t="str">
        <x:v>Glencore</x:v>
      </x:c>
      <x:c r="C29" s="63" t="str">
        <x:v>MA_AND_STRATEGIC_ADVISORY</x:v>
      </x:c>
      <x:c r="D29" s="63" t="str">
        <x:v>M&amp;A and strategic advisory</x:v>
      </x:c>
      <x:c r="E29" s="63" t="str">
        <x:v>ADVISORY_AND_AGENCY</x:v>
      </x:c>
      <x:c r="F29" s="63" t="str">
        <x:v>TRANSACTION_SIZE</x:v>
      </x:c>
      <x:c r="G29" s="64" t="b">
        <x:v>0</x:v>
      </x:c>
      <x:c r="H29" s="63" t="str">
        <x:v>FAIL_CLOSED_REQUIRED_INPUT_UNAVAILABLE</x:v>
      </x:c>
      <x:c r="I29" s="63" t="str">
        <x:v>SCENARIO</x:v>
      </x:c>
      <x:c r="J29" s="63" t="str">
        <x:v>E0</x:v>
      </x:c>
      <x:c r="K29" s="81"/>
      <x:c r="L29" s="82"/>
      <x:c r="M29" s="82"/>
      <x:c r="N29" s="82"/>
      <x:c r="O29" s="63"/>
      <x:c r="P29" s="81"/>
      <x:c r="Q29" s="81"/>
      <x:c r="R29" s="63" t="str">
        <x:v>No announced or reviewed transaction evidence exists, so no mandate probability or transaction size can be estimated.</x:v>
      </x:c>
    </x:row>
    <x:row r="30">
      <x:c r="A30" s="63" t="str">
        <x:v>E02</x:v>
      </x:c>
      <x:c r="B30" s="63" t="str">
        <x:v>Glencore</x:v>
      </x:c>
      <x:c r="C30" s="63" t="str">
        <x:v>PAYMENTS</x:v>
      </x:c>
      <x:c r="D30" s="63" t="str">
        <x:v>Payments</x:v>
      </x:c>
      <x:c r="E30" s="63" t="str">
        <x:v>TRANSACTION_BANKING</x:v>
      </x:c>
      <x:c r="F30" s="63" t="str">
        <x:v>TRANSACTION_WALLET</x:v>
      </x:c>
      <x:c r="G30" s="64" t="b">
        <x:v>1</x:v>
      </x:c>
      <x:c r="H30" s="63" t="str">
        <x:v>SHADOW_ELIGIBLE_REPRESENTATIVE</x:v>
      </x:c>
      <x:c r="I30" s="63" t="str">
        <x:v>POSTERIOR</x:v>
      </x:c>
      <x:c r="J30" s="63" t="str">
        <x:v>E1</x:v>
      </x:c>
      <x:c r="K30" s="81" t="n">
        <x:v>0.4315891888680186</x:v>
      </x:c>
      <x:c r="L30" s="82" t="n">
        <x:v>40596021887.77932</x:v>
      </x:c>
      <x:c r="M30" s="82" t="n">
        <x:v>58051230695.35089</x:v>
      </x:c>
      <x:c r="N30" s="82" t="n">
        <x:v>100955034356.01852</x:v>
      </x:c>
      <x:c r="O30" s="63" t="str">
        <x:v>ZAR</x:v>
      </x:c>
      <x:c r="P30" s="81" t="n">
        <x:v>0.09812931709489814</x:v>
      </x:c>
      <x:c r="Q30" s="81" t="n">
        <x:v>0.18662927131628515</x:v>
      </x:c>
      <x:c r="R30" s="63" t="n">
        <x:v>0.2664447854669977</x:v>
      </x:c>
    </x:row>
    <x:row r="31">
      <x:c r="A31" s="63" t="str">
        <x:v>E02</x:v>
      </x:c>
      <x:c r="B31" s="63" t="str">
        <x:v>Glencore</x:v>
      </x:c>
      <x:c r="C31" s="63" t="str">
        <x:v>PROJECT_FINANCE</x:v>
      </x:c>
      <x:c r="D31" s="63" t="str">
        <x:v>Project finance</x:v>
      </x:c>
      <x:c r="E31" s="63" t="str">
        <x:v>LENDING</x:v>
      </x:c>
      <x:c r="F31" s="63" t="str">
        <x:v>PROJECT_FUNDING_REQUIREMENT</x:v>
      </x:c>
      <x:c r="G31" s="64" t="b">
        <x:v>0</x:v>
      </x:c>
      <x:c r="H31" s="63" t="str">
        <x:v>FAIL_CLOSED_REQUIRED_INPUT_UNAVAILABLE</x:v>
      </x:c>
      <x:c r="I31" s="63" t="str">
        <x:v>SCENARIO</x:v>
      </x:c>
      <x:c r="J31" s="63" t="str">
        <x:v>E0</x:v>
      </x:c>
      <x:c r="K31" s="81"/>
      <x:c r="L31" s="82"/>
      <x:c r="M31" s="82"/>
      <x:c r="N31" s="82"/>
      <x:c r="O31" s="63"/>
      <x:c r="P31" s="81"/>
      <x:c r="Q31" s="81"/>
      <x:c r="R31" s="63" t="str">
        <x:v>No reviewed project, SPV or ring-fenced cash-flow evidence exists for this client. Project finance cannot be sized from a sector assumption, and SPV ownership is never inferred from name similarity.</x:v>
      </x:c>
    </x:row>
    <x:row r="32">
      <x:c r="A32" s="63" t="str">
        <x:v>E02</x:v>
      </x:c>
      <x:c r="B32" s="63" t="str">
        <x:v>Glencore</x:v>
      </x:c>
      <x:c r="C32" s="63" t="str">
        <x:v>SUPPLY_CHAIN_FINANCE</x:v>
      </x:c>
      <x:c r="D32" s="63" t="str">
        <x:v>Supply-chain finance</x:v>
      </x:c>
      <x:c r="E32" s="63" t="str">
        <x:v>TRADE_AND_WORKING_CAPITAL</x:v>
      </x:c>
      <x:c r="F32" s="63" t="str">
        <x:v>ELIGIBLE_FLOW</x:v>
      </x:c>
      <x:c r="G32" s="64" t="b">
        <x:v>1</x:v>
      </x:c>
      <x:c r="H32" s="63" t="str">
        <x:v>SCENARIO_BLOCKED_PENDING_CALIBRATION</x:v>
      </x:c>
      <x:c r="I32" s="63" t="str">
        <x:v>SCENARIO</x:v>
      </x:c>
      <x:c r="J32" s="63" t="str">
        <x:v>E0</x:v>
      </x:c>
      <x:c r="K32" s="81" t="n">
        <x:v>0.4275</x:v>
      </x:c>
      <x:c r="L32" s="82" t="n">
        <x:v>281416353.147</x:v>
      </x:c>
      <x:c r="M32" s="82" t="n">
        <x:v>562832706.294</x:v>
      </x:c>
      <x:c r="N32" s="82" t="n">
        <x:v>844249059.4410001</x:v>
      </x:c>
      <x:c r="O32" s="63" t="str">
        <x:v>ZAR</x:v>
      </x:c>
      <x:c r="P32" s="81" t="n">
        <x:v>0.192375</x:v>
      </x:c>
      <x:c r="Q32" s="81" t="n">
        <x:v>0.320625</x:v>
      </x:c>
      <x:c r="R32" s="63" t="n">
        <x:v>0.4275</x:v>
      </x:c>
    </x:row>
    <x:row r="33">
      <x:c r="A33" s="63" t="str">
        <x:v>E02</x:v>
      </x:c>
      <x:c r="B33" s="63" t="str">
        <x:v>Glencore</x:v>
      </x:c>
      <x:c r="C33" s="63" t="str">
        <x:v>SUSTAINABLE_FINANCE</x:v>
      </x:c>
      <x:c r="D33" s="63" t="str">
        <x:v>Sustainable finance</x:v>
      </x:c>
      <x:c r="E33" s="63" t="str">
        <x:v>CAPITAL_MARKETS</x:v>
      </x:c>
      <x:c r="F33" s="63" t="str">
        <x:v>ELIGIBLE_CAPEX</x:v>
      </x:c>
      <x:c r="G33" s="64" t="b">
        <x:v>0</x:v>
      </x:c>
      <x:c r="H33" s="63" t="str">
        <x:v>FAIL_CLOSED_REQUIRED_INPUT_UNAVAILABLE</x:v>
      </x:c>
      <x:c r="I33" s="63" t="str">
        <x:v>SCENARIO</x:v>
      </x:c>
      <x:c r="J33" s="63" t="str">
        <x:v>E0</x:v>
      </x:c>
      <x:c r="K33" s="81"/>
      <x:c r="L33" s="82"/>
      <x:c r="M33" s="82"/>
      <x:c r="N33" s="82"/>
      <x:c r="O33" s="63"/>
      <x:c r="P33" s="81"/>
      <x:c r="Q33" s="81"/>
      <x:c r="R33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34">
      <x:c r="A34" s="63" t="str">
        <x:v>E02</x:v>
      </x:c>
      <x:c r="B34" s="63" t="str">
        <x:v>Glencore</x:v>
      </x:c>
      <x:c r="C34" s="63" t="str">
        <x:v>TERM_AND_SYNDICATED_LENDING</x:v>
      </x:c>
      <x:c r="D34" s="63" t="str">
        <x:v>Term and syndicated lending</x:v>
      </x:c>
      <x:c r="E34" s="63" t="str">
        <x:v>LENDING</x:v>
      </x:c>
      <x:c r="F34" s="63" t="str">
        <x:v>FACILITY_SIZE</x:v>
      </x:c>
      <x:c r="G34" s="64" t="b">
        <x:v>1</x:v>
      </x:c>
      <x:c r="H34" s="63" t="str">
        <x:v>SCENARIO_BLOCKED_PENDING_CALIBRATION</x:v>
      </x:c>
      <x:c r="I34" s="63" t="str">
        <x:v>SCENARIO</x:v>
      </x:c>
      <x:c r="J34" s="63" t="str">
        <x:v>E1</x:v>
      </x:c>
      <x:c r="K34" s="81" t="n">
        <x:v>0.34</x:v>
      </x:c>
      <x:c r="L34" s="82" t="n">
        <x:v>232976556000</x:v>
      </x:c>
      <x:c r="M34" s="82" t="n">
        <x:v>284749124000</x:v>
      </x:c>
      <x:c r="N34" s="82" t="n">
        <x:v>362407976000</x:v>
      </x:c>
      <x:c r="O34" s="63" t="str">
        <x:v>ZAR</x:v>
      </x:c>
      <x:c r="P34" s="81" t="n">
        <x:v>0.15300000000000002</x:v>
      </x:c>
      <x:c r="Q34" s="81" t="n">
        <x:v>0.255</x:v>
      </x:c>
      <x:c r="R34" s="63" t="n">
        <x:v>0.34</x:v>
      </x:c>
    </x:row>
    <x:row r="35">
      <x:c r="A35" s="63" t="str">
        <x:v>E02</x:v>
      </x:c>
      <x:c r="B35" s="63" t="str">
        <x:v>Glencore</x:v>
      </x:c>
      <x:c r="C35" s="63" t="str">
        <x:v>TRADE_FINANCE</x:v>
      </x:c>
      <x:c r="D35" s="63" t="str">
        <x:v>Trade finance</x:v>
      </x:c>
      <x:c r="E35" s="63" t="str">
        <x:v>TRADE_AND_WORKING_CAPITAL</x:v>
      </x:c>
      <x:c r="F35" s="63" t="str">
        <x:v>ELIGIBLE_FLOW</x:v>
      </x:c>
      <x:c r="G35" s="64" t="b">
        <x:v>1</x:v>
      </x:c>
      <x:c r="H35" s="63" t="str">
        <x:v>SHADOW_ELIGIBLE_REPRESENTATIVE</x:v>
      </x:c>
      <x:c r="I35" s="63" t="str">
        <x:v>POSTERIOR</x:v>
      </x:c>
      <x:c r="J35" s="63" t="str">
        <x:v>E1</x:v>
      </x:c>
      <x:c r="K35" s="81" t="n">
        <x:v>1</x:v>
      </x:c>
      <x:c r="L35" s="82" t="n">
        <x:v>8603362329.77475</x:v>
      </x:c>
      <x:c r="M35" s="82" t="n">
        <x:v>14991302365.59539</x:v>
      </x:c>
      <x:c r="N35" s="82" t="n">
        <x:v>36007930394.76311</x:v>
      </x:c>
      <x:c r="O35" s="63" t="str">
        <x:v>ZAR</x:v>
      </x:c>
      <x:c r="P35" s="81" t="n">
        <x:v>0.1555880958123651</x:v>
      </x:c>
      <x:c r="Q35" s="81" t="n">
        <x:v>0.28696853606621253</x:v>
      </x:c>
      <x:c r="R35" s="63" t="n">
        <x:v>0.39790774379397365</x:v>
      </x:c>
    </x:row>
    <x:row r="36">
      <x:c r="A36" s="63" t="str">
        <x:v>E02</x:v>
      </x:c>
      <x:c r="B36" s="63" t="str">
        <x:v>Glencore</x:v>
      </x:c>
      <x:c r="C36" s="63" t="str">
        <x:v>WORKING_CAPITAL_REVOLVING</x:v>
      </x:c>
      <x:c r="D36" s="63" t="str">
        <x:v>Working-capital/revolving credit</x:v>
      </x:c>
      <x:c r="E36" s="63" t="str">
        <x:v>LENDING</x:v>
      </x:c>
      <x:c r="F36" s="63" t="str">
        <x:v>FACILITY_SIZE</x:v>
      </x:c>
      <x:c r="G36" s="64" t="b">
        <x:v>0</x:v>
      </x:c>
      <x:c r="H36" s="63" t="str">
        <x:v>FAIL_CLOSED_REQUIRED_INPUT_UNAVAILABLE</x:v>
      </x:c>
      <x:c r="I36" s="63" t="str">
        <x:v>SCENARIO</x:v>
      </x:c>
      <x:c r="J36" s="63" t="str">
        <x:v>E0</x:v>
      </x:c>
      <x:c r="K36" s="81"/>
      <x:c r="L36" s="82"/>
      <x:c r="M36" s="82"/>
      <x:c r="N36" s="82"/>
      <x:c r="O36" s="63"/>
      <x:c r="P36" s="81"/>
      <x:c r="Q36" s="81"/>
      <x:c r="R36" s="63" t="str">
        <x:v>No positive working-capital gap can be computed from reviewed evidence, so a revolving facility cannot be sized.</x:v>
      </x:c>
    </x:row>
    <x:row r="37">
      <x:c r="A37" s="63" t="str">
        <x:v>E03</x:v>
      </x:c>
      <x:c r="B37" s="63" t="str">
        <x:v>Anglo American</x:v>
      </x:c>
      <x:c r="C37" s="63" t="str">
        <x:v>COLLECTIONS</x:v>
      </x:c>
      <x:c r="D37" s="63" t="str">
        <x:v>Collections</x:v>
      </x:c>
      <x:c r="E37" s="63" t="str">
        <x:v>TRANSACTION_BANKING</x:v>
      </x:c>
      <x:c r="F37" s="63" t="str">
        <x:v>TRANSACTION_WALLET</x:v>
      </x:c>
      <x:c r="G37" s="64" t="b">
        <x:v>1</x:v>
      </x:c>
      <x:c r="H37" s="63" t="str">
        <x:v>SHADOW_ELIGIBLE_REPRESENTATIVE</x:v>
      </x:c>
      <x:c r="I37" s="63" t="str">
        <x:v>POSTERIOR</x:v>
      </x:c>
      <x:c r="J37" s="63" t="str">
        <x:v>E1</x:v>
      </x:c>
      <x:c r="K37" s="81" t="n">
        <x:v>0.9039215473189036</x:v>
      </x:c>
      <x:c r="L37" s="82" t="n">
        <x:v>27528156079.96296</x:v>
      </x:c>
      <x:c r="M37" s="82" t="n">
        <x:v>38693800219.123695</x:v>
      </x:c>
      <x:c r="N37" s="82" t="n">
        <x:v>64981759048.944916</x:v>
      </x:c>
      <x:c r="O37" s="63" t="str">
        <x:v>ZAR</x:v>
      </x:c>
      <x:c r="P37" s="81" t="n">
        <x:v>0.09844623031899447</x:v>
      </x:c>
      <x:c r="Q37" s="81" t="n">
        <x:v>0.18720080037396836</x:v>
      </x:c>
      <x:c r="R37" s="63" t="n">
        <x:v>0.267217817583447</x:v>
      </x:c>
    </x:row>
    <x:row r="38">
      <x:c r="A38" s="63" t="str">
        <x:v>E03</x:v>
      </x:c>
      <x:c r="B38" s="63" t="str">
        <x:v>Anglo American</x:v>
      </x:c>
      <x:c r="C38" s="63" t="str">
        <x:v>COMMODITY_RISK_MANAGEMENT</x:v>
      </x:c>
      <x:c r="D38" s="63" t="str">
        <x:v>Commodity risk management</x:v>
      </x:c>
      <x:c r="E38" s="63" t="str">
        <x:v>RISK_MANAGEMENT</x:v>
      </x:c>
      <x:c r="F38" s="63" t="str">
        <x:v>EXPOSURE_NOTIONAL</x:v>
      </x:c>
      <x:c r="G38" s="64" t="b">
        <x:v>1</x:v>
      </x:c>
      <x:c r="H38" s="63" t="str">
        <x:v>SCENARIO_BLOCKED_PENDING_CALIBRATION</x:v>
      </x:c>
      <x:c r="I38" s="63" t="str">
        <x:v>SCENARIO</x:v>
      </x:c>
      <x:c r="J38" s="63" t="str">
        <x:v>E0</x:v>
      </x:c>
      <x:c r="K38" s="81" t="n">
        <x:v>0.4775000000000001</x:v>
      </x:c>
      <x:c r="L38" s="82" t="n">
        <x:v>644174913.4065756</x:v>
      </x:c>
      <x:c r="M38" s="82" t="n">
        <x:v>1503074797.9486763</x:v>
      </x:c>
      <x:c r="N38" s="82" t="n">
        <x:v>2576699653.6263022</x:v>
      </x:c>
      <x:c r="O38" s="63" t="str">
        <x:v>ZAR</x:v>
      </x:c>
      <x:c r="P38" s="81" t="n">
        <x:v>0.21487500000000004</x:v>
      </x:c>
      <x:c r="Q38" s="81" t="n">
        <x:v>0.3581250000000001</x:v>
      </x:c>
      <x:c r="R38" s="63" t="n">
        <x:v>0.4775000000000001</x:v>
      </x:c>
    </x:row>
    <x:row r="39">
      <x:c r="A39" s="63" t="str">
        <x:v>E03</x:v>
      </x:c>
      <x:c r="B39" s="63" t="str">
        <x:v>Anglo American</x:v>
      </x:c>
      <x:c r="C39" s="63" t="str">
        <x:v>CROSS_BORDER_FX</x:v>
      </x:c>
      <x:c r="D39" s="63" t="str">
        <x:v>Cross-border FX</x:v>
      </x:c>
      <x:c r="E39" s="63" t="str">
        <x:v>RISK_MANAGEMENT</x:v>
      </x:c>
      <x:c r="F39" s="63" t="str">
        <x:v>EXPOSURE_NOTIONAL</x:v>
      </x:c>
      <x:c r="G39" s="64" t="b">
        <x:v>1</x:v>
      </x:c>
      <x:c r="H39" s="63" t="str">
        <x:v>SHADOW_ELIGIBLE_REPRESENTATIVE</x:v>
      </x:c>
      <x:c r="I39" s="63" t="str">
        <x:v>POSTERIOR</x:v>
      </x:c>
      <x:c r="J39" s="63" t="str">
        <x:v>E1</x:v>
      </x:c>
      <x:c r="K39" s="81" t="n">
        <x:v>0.2050481595122502</x:v>
      </x:c>
      <x:c r="L39" s="82" t="n">
        <x:v>9550546566.431402</x:v>
      </x:c>
      <x:c r="M39" s="82" t="n">
        <x:v>15078659797.583256</x:v>
      </x:c>
      <x:c r="N39" s="82" t="n">
        <x:v>31209692102.471184</x:v>
      </x:c>
      <x:c r="O39" s="63" t="str">
        <x:v>ZAR</x:v>
      </x:c>
      <x:c r="P39" s="81" t="n">
        <x:v>0.09895676709135193</x:v>
      </x:c>
      <x:c r="Q39" s="81" t="n">
        <x:v>0.1881210924295318</x:v>
      </x:c>
      <x:c r="R39" s="63" t="n">
        <x:v>0.2684620043923638</x:v>
      </x:c>
    </x:row>
    <x:row r="40">
      <x:c r="A40" s="63" t="str">
        <x:v>E03</x:v>
      </x:c>
      <x:c r="B40" s="63" t="str">
        <x:v>Anglo American</x:v>
      </x:c>
      <x:c r="C40" s="63" t="str">
        <x:v>DEBT_CAPITAL_MARKETS</x:v>
      </x:c>
      <x:c r="D40" s="63" t="str">
        <x:v>Debt capital markets</x:v>
      </x:c>
      <x:c r="E40" s="63" t="str">
        <x:v>CAPITAL_MARKETS</x:v>
      </x:c>
      <x:c r="F40" s="63" t="str">
        <x:v>FINANCING_REQUIREMENT</x:v>
      </x:c>
      <x:c r="G40" s="64" t="b">
        <x:v>1</x:v>
      </x:c>
      <x:c r="H40" s="63" t="str">
        <x:v>SCENARIO_BLOCKED_PENDING_CALIBRATION</x:v>
      </x:c>
      <x:c r="I40" s="63" t="str">
        <x:v>SCENARIO</x:v>
      </x:c>
      <x:c r="J40" s="63" t="str">
        <x:v>E1</x:v>
      </x:c>
      <x:c r="K40" s="81" t="n">
        <x:v>0.1375</x:v>
      </x:c>
      <x:c r="L40" s="82" t="n">
        <x:v>860</x:v>
      </x:c>
      <x:c r="M40" s="82" t="n">
        <x:v>1075</x:v>
      </x:c>
      <x:c r="N40" s="82" t="n">
        <x:v>1397.5</x:v>
      </x:c>
      <x:c r="O40" s="63" t="str">
        <x:v>ZAR</x:v>
      </x:c>
      <x:c r="P40" s="81" t="n">
        <x:v>0.061875000000000006</x:v>
      </x:c>
      <x:c r="Q40" s="81" t="n">
        <x:v>0.10312500000000001</x:v>
      </x:c>
      <x:c r="R40" s="63" t="n">
        <x:v>0.1375</x:v>
      </x:c>
    </x:row>
    <x:row r="41">
      <x:c r="A41" s="63" t="str">
        <x:v>E03</x:v>
      </x:c>
      <x:c r="B41" s="63" t="str">
        <x:v>Anglo American</x:v>
      </x:c>
      <x:c r="C41" s="63" t="str">
        <x:v>ESCROW_AND_AGENCY</x:v>
      </x:c>
      <x:c r="D41" s="63" t="str">
        <x:v>Escrow and agency services</x:v>
      </x:c>
      <x:c r="E41" s="63" t="str">
        <x:v>ADVISORY_AND_AGENCY</x:v>
      </x:c>
      <x:c r="F41" s="63" t="str">
        <x:v>EVENT_LINKED_FLOW</x:v>
      </x:c>
      <x:c r="G41" s="64" t="b">
        <x:v>0</x:v>
      </x:c>
      <x:c r="H41" s="63" t="str">
        <x:v>FAIL_CLOSED_REQUIRED_INPUT_UNAVAILABLE</x:v>
      </x:c>
      <x:c r="I41" s="63" t="str">
        <x:v>SCENARIO</x:v>
      </x:c>
      <x:c r="J41" s="63" t="str">
        <x:v>E0</x:v>
      </x:c>
      <x:c r="K41" s="81"/>
      <x:c r="L41" s="82"/>
      <x:c r="M41" s="82"/>
      <x:c r="N41" s="82"/>
      <x:c r="O41" s="63"/>
      <x:c r="P41" s="81"/>
      <x:c r="Q41" s="81"/>
      <x:c r="R41" s="63" t="str">
        <x:v>Escrow and agency flow is event-linked, and no reviewed corporate action or capital-structure event exists for this client.</x:v>
      </x:c>
    </x:row>
    <x:row r="42">
      <x:c r="A42" s="63" t="str">
        <x:v>E03</x:v>
      </x:c>
      <x:c r="B42" s="63" t="str">
        <x:v>Anglo American</x:v>
      </x:c>
      <x:c r="C42" s="63" t="str">
        <x:v>GUARANTEES_AND_LC</x:v>
      </x:c>
      <x:c r="D42" s="63" t="str">
        <x:v>Guarantees and letters of credit</x:v>
      </x:c>
      <x:c r="E42" s="63" t="str">
        <x:v>TRADE_AND_WORKING_CAPITAL</x:v>
      </x:c>
      <x:c r="F42" s="63" t="str">
        <x:v>CONTINGENT_EXPOSURE</x:v>
      </x:c>
      <x:c r="G42" s="64" t="b">
        <x:v>1</x:v>
      </x:c>
      <x:c r="H42" s="63" t="str">
        <x:v>SCENARIO_BLOCKED_PENDING_CALIBRATION</x:v>
      </x:c>
      <x:c r="I42" s="63" t="str">
        <x:v>SCENARIO</x:v>
      </x:c>
      <x:c r="J42" s="63" t="str">
        <x:v>E0</x:v>
      </x:c>
      <x:c r="K42" s="81" t="n">
        <x:v>0.24250000000000002</x:v>
      </x:c>
      <x:c r="L42" s="82" t="n">
        <x:v>10164940.336000001</x:v>
      </x:c>
      <x:c r="M42" s="82" t="n">
        <x:v>20329880.672000002</x:v>
      </x:c>
      <x:c r="N42" s="82" t="n">
        <x:v>30494821.007999998</x:v>
      </x:c>
      <x:c r="O42" s="63" t="str">
        <x:v>ZAR</x:v>
      </x:c>
      <x:c r="P42" s="81" t="n">
        <x:v>0.10912500000000001</x:v>
      </x:c>
      <x:c r="Q42" s="81" t="n">
        <x:v>0.181875</x:v>
      </x:c>
      <x:c r="R42" s="63" t="n">
        <x:v>0.24250000000000002</x:v>
      </x:c>
    </x:row>
    <x:row r="43">
      <x:c r="A43" s="63" t="str">
        <x:v>E03</x:v>
      </x:c>
      <x:c r="B43" s="63" t="str">
        <x:v>Anglo American</x:v>
      </x:c>
      <x:c r="C43" s="63" t="str">
        <x:v>INTEREST_RATE_RISK_MANAGEMENT</x:v>
      </x:c>
      <x:c r="D43" s="63" t="str">
        <x:v>Interest-rate risk management</x:v>
      </x:c>
      <x:c r="E43" s="63" t="str">
        <x:v>RISK_MANAGEMENT</x:v>
      </x:c>
      <x:c r="F43" s="63" t="str">
        <x:v>EXPOSURE_NOTIONAL</x:v>
      </x:c>
      <x:c r="G43" s="64" t="b">
        <x:v>1</x:v>
      </x:c>
      <x:c r="H43" s="63" t="str">
        <x:v>SCENARIO_BLOCKED_PENDING_CALIBRATION</x:v>
      </x:c>
      <x:c r="I43" s="63" t="str">
        <x:v>SCENARIO</x:v>
      </x:c>
      <x:c r="J43" s="63" t="str">
        <x:v>E1</x:v>
      </x:c>
      <x:c r="K43" s="81" t="n">
        <x:v>0.29999999999999993</x:v>
      </x:c>
      <x:c r="L43" s="82" t="n">
        <x:v>5759850000</x:v>
      </x:c>
      <x:c r="M43" s="82" t="n">
        <x:v>10559725000</x:v>
      </x:c>
      <x:c r="N43" s="82" t="n">
        <x:v>15359600000</x:v>
      </x:c>
      <x:c r="O43" s="63" t="str">
        <x:v>ZAR</x:v>
      </x:c>
      <x:c r="P43" s="81" t="n">
        <x:v>0.13499999999999998</x:v>
      </x:c>
      <x:c r="Q43" s="81" t="n">
        <x:v>0.22499999999999995</x:v>
      </x:c>
      <x:c r="R43" s="63" t="n">
        <x:v>0.29999999999999993</x:v>
      </x:c>
    </x:row>
    <x:row r="44">
      <x:c r="A44" s="63" t="str">
        <x:v>E03</x:v>
      </x:c>
      <x:c r="B44" s="63" t="str">
        <x:v>Anglo American</x:v>
      </x:c>
      <x:c r="C44" s="63" t="str">
        <x:v>LIQUIDITY_CASH_MANAGEMENT</x:v>
      </x:c>
      <x:c r="D44" s="63" t="str">
        <x:v>Liquidity and cash management</x:v>
      </x:c>
      <x:c r="E44" s="63" t="str">
        <x:v>TRANSACTION_BANKING</x:v>
      </x:c>
      <x:c r="F44" s="63" t="str">
        <x:v>CASH_WALLET</x:v>
      </x:c>
      <x:c r="G44" s="64" t="b">
        <x:v>1</x:v>
      </x:c>
      <x:c r="H44" s="63" t="str">
        <x:v>SHADOW_ELIGIBLE_REPRESENTATIVE</x:v>
      </x:c>
      <x:c r="I44" s="63" t="str">
        <x:v>POSTERIOR</x:v>
      </x:c>
      <x:c r="J44" s="63" t="str">
        <x:v>E1</x:v>
      </x:c>
      <x:c r="K44" s="81" t="n">
        <x:v>0.8003249981747812</x:v>
      </x:c>
      <x:c r="L44" s="82" t="n">
        <x:v>19953261919.797794</x:v>
      </x:c>
      <x:c r="M44" s="82" t="n">
        <x:v>32283083455.37706</x:v>
      </x:c>
      <x:c r="N44" s="82" t="n">
        <x:v>70827976202.01736</x:v>
      </x:c>
      <x:c r="O44" s="63" t="str">
        <x:v>ZAR</x:v>
      </x:c>
      <x:c r="P44" s="81" t="n">
        <x:v>0.09739481461298227</x:v>
      </x:c>
      <x:c r="Q44" s="81" t="n">
        <x:v>0.1853038793124674</x:v>
      </x:c>
      <x:c r="R44" s="63" t="n">
        <x:v>0.2646510569527455</x:v>
      </x:c>
    </x:row>
    <x:row r="45">
      <x:c r="A45" s="63" t="str">
        <x:v>E03</x:v>
      </x:c>
      <x:c r="B45" s="63" t="str">
        <x:v>Anglo American</x:v>
      </x:c>
      <x:c r="C45" s="63" t="str">
        <x:v>MA_AND_STRATEGIC_ADVISORY</x:v>
      </x:c>
      <x:c r="D45" s="63" t="str">
        <x:v>M&amp;A and strategic advisory</x:v>
      </x:c>
      <x:c r="E45" s="63" t="str">
        <x:v>ADVISORY_AND_AGENCY</x:v>
      </x:c>
      <x:c r="F45" s="63" t="str">
        <x:v>TRANSACTION_SIZE</x:v>
      </x:c>
      <x:c r="G45" s="64" t="b">
        <x:v>0</x:v>
      </x:c>
      <x:c r="H45" s="63" t="str">
        <x:v>FAIL_CLOSED_REQUIRED_INPUT_UNAVAILABLE</x:v>
      </x:c>
      <x:c r="I45" s="63" t="str">
        <x:v>SCENARIO</x:v>
      </x:c>
      <x:c r="J45" s="63" t="str">
        <x:v>E0</x:v>
      </x:c>
      <x:c r="K45" s="81"/>
      <x:c r="L45" s="82"/>
      <x:c r="M45" s="82"/>
      <x:c r="N45" s="82"/>
      <x:c r="O45" s="63"/>
      <x:c r="P45" s="81"/>
      <x:c r="Q45" s="81"/>
      <x:c r="R45" s="63" t="str">
        <x:v>No announced or reviewed transaction evidence exists, so no mandate probability or transaction size can be estimated.</x:v>
      </x:c>
    </x:row>
    <x:row r="46">
      <x:c r="A46" s="63" t="str">
        <x:v>E03</x:v>
      </x:c>
      <x:c r="B46" s="63" t="str">
        <x:v>Anglo American</x:v>
      </x:c>
      <x:c r="C46" s="63" t="str">
        <x:v>PAYMENTS</x:v>
      </x:c>
      <x:c r="D46" s="63" t="str">
        <x:v>Payments</x:v>
      </x:c>
      <x:c r="E46" s="63" t="str">
        <x:v>TRANSACTION_BANKING</x:v>
      </x:c>
      <x:c r="F46" s="63" t="str">
        <x:v>TRANSACTION_WALLET</x:v>
      </x:c>
      <x:c r="G46" s="64" t="b">
        <x:v>1</x:v>
      </x:c>
      <x:c r="H46" s="63" t="str">
        <x:v>SHADOW_ELIGIBLE_REPRESENTATIVE</x:v>
      </x:c>
      <x:c r="I46" s="63" t="str">
        <x:v>POSTERIOR</x:v>
      </x:c>
      <x:c r="J46" s="63" t="str">
        <x:v>E1</x:v>
      </x:c>
      <x:c r="K46" s="81" t="n">
        <x:v>0.6712558461300261</x:v>
      </x:c>
      <x:c r="L46" s="82" t="n">
        <x:v>19333897551.514423</x:v>
      </x:c>
      <x:c r="M46" s="82" t="n">
        <x:v>27671289890.46678</x:v>
      </x:c>
      <x:c r="N46" s="82" t="n">
        <x:v>49627492598.83911</x:v>
      </x:c>
      <x:c r="O46" s="63" t="str">
        <x:v>ZAR</x:v>
      </x:c>
      <x:c r="P46" s="81" t="n">
        <x:v>0.09603268024973133</x:v>
      </x:c>
      <x:c r="Q46" s="81" t="n">
        <x:v>0.18284308482351552</x:v>
      </x:c>
      <x:c r="R46" s="63" t="n">
        <x:v>0.26131685357251566</x:v>
      </x:c>
    </x:row>
    <x:row r="47">
      <x:c r="A47" s="63" t="str">
        <x:v>E03</x:v>
      </x:c>
      <x:c r="B47" s="63" t="str">
        <x:v>Anglo American</x:v>
      </x:c>
      <x:c r="C47" s="63" t="str">
        <x:v>PROJECT_FINANCE</x:v>
      </x:c>
      <x:c r="D47" s="63" t="str">
        <x:v>Project finance</x:v>
      </x:c>
      <x:c r="E47" s="63" t="str">
        <x:v>LENDING</x:v>
      </x:c>
      <x:c r="F47" s="63" t="str">
        <x:v>PROJECT_FUNDING_REQUIREMENT</x:v>
      </x:c>
      <x:c r="G47" s="64" t="b">
        <x:v>0</x:v>
      </x:c>
      <x:c r="H47" s="63" t="str">
        <x:v>FAIL_CLOSED_REQUIRED_INPUT_UNAVAILABLE</x:v>
      </x:c>
      <x:c r="I47" s="63" t="str">
        <x:v>SCENARIO</x:v>
      </x:c>
      <x:c r="J47" s="63" t="str">
        <x:v>E0</x:v>
      </x:c>
      <x:c r="K47" s="81"/>
      <x:c r="L47" s="82"/>
      <x:c r="M47" s="82"/>
      <x:c r="N47" s="82"/>
      <x:c r="O47" s="63"/>
      <x:c r="P47" s="81"/>
      <x:c r="Q47" s="81"/>
      <x:c r="R47" s="63" t="str">
        <x:v>No reviewed project, SPV or ring-fenced cash-flow evidence exists for this client. Project finance cannot be sized from a sector assumption, and SPV ownership is never inferred from name similarity.</x:v>
      </x:c>
    </x:row>
    <x:row r="48">
      <x:c r="A48" s="63" t="str">
        <x:v>E03</x:v>
      </x:c>
      <x:c r="B48" s="63" t="str">
        <x:v>Anglo American</x:v>
      </x:c>
      <x:c r="C48" s="63" t="str">
        <x:v>SUPPLY_CHAIN_FINANCE</x:v>
      </x:c>
      <x:c r="D48" s="63" t="str">
        <x:v>Supply-chain finance</x:v>
      </x:c>
      <x:c r="E48" s="63" t="str">
        <x:v>TRADE_AND_WORKING_CAPITAL</x:v>
      </x:c>
      <x:c r="F48" s="63" t="str">
        <x:v>ELIGIBLE_FLOW</x:v>
      </x:c>
      <x:c r="G48" s="64" t="b">
        <x:v>1</x:v>
      </x:c>
      <x:c r="H48" s="63" t="str">
        <x:v>SCENARIO_BLOCKED_PENDING_CALIBRATION</x:v>
      </x:c>
      <x:c r="I48" s="63" t="str">
        <x:v>SCENARIO</x:v>
      </x:c>
      <x:c r="J48" s="63" t="str">
        <x:v>E0</x:v>
      </x:c>
      <x:c r="K48" s="81" t="n">
        <x:v>0.4275</x:v>
      </x:c>
      <x:c r="L48" s="82" t="n">
        <x:v>461237313.8489999</x:v>
      </x:c>
      <x:c r="M48" s="82" t="n">
        <x:v>922474627.6979998</x:v>
      </x:c>
      <x:c r="N48" s="82" t="n">
        <x:v>1383711941.5469997</x:v>
      </x:c>
      <x:c r="O48" s="63" t="str">
        <x:v>ZAR</x:v>
      </x:c>
      <x:c r="P48" s="81" t="n">
        <x:v>0.192375</x:v>
      </x:c>
      <x:c r="Q48" s="81" t="n">
        <x:v>0.320625</x:v>
      </x:c>
      <x:c r="R48" s="63" t="n">
        <x:v>0.4275</x:v>
      </x:c>
    </x:row>
    <x:row r="49">
      <x:c r="A49" s="63" t="str">
        <x:v>E03</x:v>
      </x:c>
      <x:c r="B49" s="63" t="str">
        <x:v>Anglo American</x:v>
      </x:c>
      <x:c r="C49" s="63" t="str">
        <x:v>SUSTAINABLE_FINANCE</x:v>
      </x:c>
      <x:c r="D49" s="63" t="str">
        <x:v>Sustainable finance</x:v>
      </x:c>
      <x:c r="E49" s="63" t="str">
        <x:v>CAPITAL_MARKETS</x:v>
      </x:c>
      <x:c r="F49" s="63" t="str">
        <x:v>ELIGIBLE_CAPEX</x:v>
      </x:c>
      <x:c r="G49" s="64" t="b">
        <x:v>0</x:v>
      </x:c>
      <x:c r="H49" s="63" t="str">
        <x:v>FAIL_CLOSED_REQUIRED_INPUT_UNAVAILABLE</x:v>
      </x:c>
      <x:c r="I49" s="63" t="str">
        <x:v>SCENARIO</x:v>
      </x:c>
      <x:c r="J49" s="63" t="str">
        <x:v>E0</x:v>
      </x:c>
      <x:c r="K49" s="81"/>
      <x:c r="L49" s="82"/>
      <x:c r="M49" s="82"/>
      <x:c r="N49" s="82"/>
      <x:c r="O49" s="63"/>
      <x:c r="P49" s="81"/>
      <x:c r="Q49" s="81"/>
      <x:c r="R49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50">
      <x:c r="A50" s="63" t="str">
        <x:v>E03</x:v>
      </x:c>
      <x:c r="B50" s="63" t="str">
        <x:v>Anglo American</x:v>
      </x:c>
      <x:c r="C50" s="63" t="str">
        <x:v>TERM_AND_SYNDICATED_LENDING</x:v>
      </x:c>
      <x:c r="D50" s="63" t="str">
        <x:v>Term and syndicated lending</x:v>
      </x:c>
      <x:c r="E50" s="63" t="str">
        <x:v>LENDING</x:v>
      </x:c>
      <x:c r="F50" s="63" t="str">
        <x:v>FACILITY_SIZE</x:v>
      </x:c>
      <x:c r="G50" s="64" t="b">
        <x:v>1</x:v>
      </x:c>
      <x:c r="H50" s="63" t="str">
        <x:v>SCENARIO_BLOCKED_PENDING_CALIBRATION</x:v>
      </x:c>
      <x:c r="I50" s="63" t="str">
        <x:v>SCENARIO</x:v>
      </x:c>
      <x:c r="J50" s="63" t="str">
        <x:v>E1</x:v>
      </x:c>
      <x:c r="K50" s="81" t="n">
        <x:v>0.1375</x:v>
      </x:c>
      <x:c r="L50" s="82" t="n">
        <x:v>967.5</x:v>
      </x:c>
      <x:c r="M50" s="82" t="n">
        <x:v>1182.5</x:v>
      </x:c>
      <x:c r="N50" s="82" t="n">
        <x:v>1505</x:v>
      </x:c>
      <x:c r="O50" s="63" t="str">
        <x:v>ZAR</x:v>
      </x:c>
      <x:c r="P50" s="81" t="n">
        <x:v>0.061875000000000006</x:v>
      </x:c>
      <x:c r="Q50" s="81" t="n">
        <x:v>0.10312500000000001</x:v>
      </x:c>
      <x:c r="R50" s="63" t="n">
        <x:v>0.1375</x:v>
      </x:c>
    </x:row>
    <x:row r="51">
      <x:c r="A51" s="63" t="str">
        <x:v>E03</x:v>
      </x:c>
      <x:c r="B51" s="63" t="str">
        <x:v>Anglo American</x:v>
      </x:c>
      <x:c r="C51" s="63" t="str">
        <x:v>TRADE_FINANCE</x:v>
      </x:c>
      <x:c r="D51" s="63" t="str">
        <x:v>Trade finance</x:v>
      </x:c>
      <x:c r="E51" s="63" t="str">
        <x:v>TRADE_AND_WORKING_CAPITAL</x:v>
      </x:c>
      <x:c r="F51" s="63" t="str">
        <x:v>ELIGIBLE_FLOW</x:v>
      </x:c>
      <x:c r="G51" s="64" t="b">
        <x:v>1</x:v>
      </x:c>
      <x:c r="H51" s="63" t="str">
        <x:v>SHADOW_ELIGIBLE_REPRESENTATIVE</x:v>
      </x:c>
      <x:c r="I51" s="63" t="str">
        <x:v>POSTERIOR</x:v>
      </x:c>
      <x:c r="J51" s="63" t="str">
        <x:v>E1</x:v>
      </x:c>
      <x:c r="K51" s="81" t="n">
        <x:v>0.22135373522132143</x:v>
      </x:c>
      <x:c r="L51" s="82" t="n">
        <x:v>2424351059.422106</x:v>
      </x:c>
      <x:c r="M51" s="82" t="n">
        <x:v>4290590289.832327</x:v>
      </x:c>
      <x:c r="N51" s="82" t="n">
        <x:v>11108672339.849754</x:v>
      </x:c>
      <x:c r="O51" s="63" t="str">
        <x:v>ZAR</x:v>
      </x:c>
      <x:c r="P51" s="81" t="n">
        <x:v>0.11467392351777927</x:v>
      </x:c>
      <x:c r="Q51" s="81" t="n">
        <x:v>0.21619773830059696</x:v>
      </x:c>
      <x:c r="R51" s="63" t="n">
        <x:v>0.3060794189117767</x:v>
      </x:c>
    </x:row>
    <x:row r="52">
      <x:c r="A52" s="63" t="str">
        <x:v>E03</x:v>
      </x:c>
      <x:c r="B52" s="63" t="str">
        <x:v>Anglo American</x:v>
      </x:c>
      <x:c r="C52" s="63" t="str">
        <x:v>WORKING_CAPITAL_REVOLVING</x:v>
      </x:c>
      <x:c r="D52" s="63" t="str">
        <x:v>Working-capital/revolving credit</x:v>
      </x:c>
      <x:c r="E52" s="63" t="str">
        <x:v>LENDING</x:v>
      </x:c>
      <x:c r="F52" s="63" t="str">
        <x:v>FACILITY_SIZE</x:v>
      </x:c>
      <x:c r="G52" s="64" t="b">
        <x:v>0</x:v>
      </x:c>
      <x:c r="H52" s="63" t="str">
        <x:v>FAIL_CLOSED_REQUIRED_INPUT_UNAVAILABLE</x:v>
      </x:c>
      <x:c r="I52" s="63" t="str">
        <x:v>SCENARIO</x:v>
      </x:c>
      <x:c r="J52" s="63" t="str">
        <x:v>E0</x:v>
      </x:c>
      <x:c r="K52" s="81"/>
      <x:c r="L52" s="82"/>
      <x:c r="M52" s="82"/>
      <x:c r="N52" s="82"/>
      <x:c r="O52" s="63"/>
      <x:c r="P52" s="81"/>
      <x:c r="Q52" s="81"/>
      <x:c r="R52" s="63" t="str">
        <x:v>No positive working-capital gap can be computed from reviewed evidence, so a revolving facility cannot be sized.</x:v>
      </x:c>
    </x:row>
    <x:row r="53">
      <x:c r="A53" s="63" t="str">
        <x:v>E04</x:v>
      </x:c>
      <x:c r="B53" s="63" t="str">
        <x:v>AngloGold Ashanti</x:v>
      </x:c>
      <x:c r="C53" s="63" t="str">
        <x:v>COLLECTIONS</x:v>
      </x:c>
      <x:c r="D53" s="63" t="str">
        <x:v>Collections</x:v>
      </x:c>
      <x:c r="E53" s="63" t="str">
        <x:v>TRANSACTION_BANKING</x:v>
      </x:c>
      <x:c r="F53" s="63" t="str">
        <x:v>TRANSACTION_WALLET</x:v>
      </x:c>
      <x:c r="G53" s="64" t="b">
        <x:v>1</x:v>
      </x:c>
      <x:c r="H53" s="63" t="str">
        <x:v>SHADOW_ELIGIBLE_REPRESENTATIVE</x:v>
      </x:c>
      <x:c r="I53" s="63" t="str">
        <x:v>POSTERIOR</x:v>
      </x:c>
      <x:c r="J53" s="63" t="str">
        <x:v>E1</x:v>
      </x:c>
      <x:c r="K53" s="81" t="n">
        <x:v>0.24028077783276444</x:v>
      </x:c>
      <x:c r="L53" s="82" t="n">
        <x:v>8704195341.575825</x:v>
      </x:c>
      <x:c r="M53" s="82" t="n">
        <x:v>12334588778.459572</x:v>
      </x:c>
      <x:c r="N53" s="82" t="n">
        <x:v>20877123682.163376</x:v>
      </x:c>
      <x:c r="O53" s="63" t="str">
        <x:v>ZAR</x:v>
      </x:c>
      <x:c r="P53" s="81" t="n">
        <x:v>0.10220703001255571</x:v>
      </x:c>
      <x:c r="Q53" s="81" t="n">
        <x:v>0.19396778304112394</x:v>
      </x:c>
      <x:c r="R53" s="63" t="n">
        <x:v>0.27634994203092667</x:v>
      </x:c>
    </x:row>
    <x:row r="54">
      <x:c r="A54" s="63" t="str">
        <x:v>E04</x:v>
      </x:c>
      <x:c r="B54" s="63" t="str">
        <x:v>AngloGold Ashanti</x:v>
      </x:c>
      <x:c r="C54" s="63" t="str">
        <x:v>COMMODITY_RISK_MANAGEMENT</x:v>
      </x:c>
      <x:c r="D54" s="63" t="str">
        <x:v>Commodity risk management</x:v>
      </x:c>
      <x:c r="E54" s="63" t="str">
        <x:v>RISK_MANAGEMENT</x:v>
      </x:c>
      <x:c r="F54" s="63" t="str">
        <x:v>EXPOSURE_NOTIONAL</x:v>
      </x:c>
      <x:c r="G54" s="64" t="b">
        <x:v>1</x:v>
      </x:c>
      <x:c r="H54" s="63" t="str">
        <x:v>SCENARIO_BLOCKED_PENDING_CALIBRATION</x:v>
      </x:c>
      <x:c r="I54" s="63" t="str">
        <x:v>SCENARIO</x:v>
      </x:c>
      <x:c r="J54" s="63" t="str">
        <x:v>E0</x:v>
      </x:c>
      <x:c r="K54" s="81" t="n">
        <x:v>0.4775000000000001</x:v>
      </x:c>
      <x:c r="L54" s="82" t="n">
        <x:v>154125318.5946449</x:v>
      </x:c>
      <x:c r="M54" s="82" t="n">
        <x:v>359625743.38750476</x:v>
      </x:c>
      <x:c r="N54" s="82" t="n">
        <x:v>616501274.3785796</x:v>
      </x:c>
      <x:c r="O54" s="63" t="str">
        <x:v>ZAR</x:v>
      </x:c>
      <x:c r="P54" s="81" t="n">
        <x:v>0.21487500000000004</x:v>
      </x:c>
      <x:c r="Q54" s="81" t="n">
        <x:v>0.3581250000000001</x:v>
      </x:c>
      <x:c r="R54" s="63" t="n">
        <x:v>0.4775000000000001</x:v>
      </x:c>
    </x:row>
    <x:row r="55">
      <x:c r="A55" s="63" t="str">
        <x:v>E04</x:v>
      </x:c>
      <x:c r="B55" s="63" t="str">
        <x:v>AngloGold Ashanti</x:v>
      </x:c>
      <x:c r="C55" s="63" t="str">
        <x:v>CROSS_BORDER_FX</x:v>
      </x:c>
      <x:c r="D55" s="63" t="str">
        <x:v>Cross-border FX</x:v>
      </x:c>
      <x:c r="E55" s="63" t="str">
        <x:v>RISK_MANAGEMENT</x:v>
      </x:c>
      <x:c r="F55" s="63" t="str">
        <x:v>EXPOSURE_NOTIONAL</x:v>
      </x:c>
      <x:c r="G55" s="64" t="b">
        <x:v>1</x:v>
      </x:c>
      <x:c r="H55" s="63" t="str">
        <x:v>SHADOW_ELIGIBLE_REPRESENTATIVE</x:v>
      </x:c>
      <x:c r="I55" s="63" t="str">
        <x:v>POSTERIOR</x:v>
      </x:c>
      <x:c r="J55" s="63" t="str">
        <x:v>E1</x:v>
      </x:c>
      <x:c r="K55" s="81" t="n">
        <x:v>0.22125687971399555</x:v>
      </x:c>
      <x:c r="L55" s="82" t="n">
        <x:v>6977982104.608653</x:v>
      </x:c>
      <x:c r="M55" s="82" t="n">
        <x:v>10971300306.477848</x:v>
      </x:c>
      <x:c r="N55" s="82" t="n">
        <x:v>22598308415.419735</x:v>
      </x:c>
      <x:c r="O55" s="63" t="str">
        <x:v>ZAR</x:v>
      </x:c>
      <x:c r="P55" s="81" t="n">
        <x:v>0.10602999401908808</x:v>
      </x:c>
      <x:c r="Q55" s="81" t="n">
        <x:v>0.2008176284064883</x:v>
      </x:c>
      <x:c r="R55" s="63" t="n">
        <x:v>0.2855549304867089</x:v>
      </x:c>
    </x:row>
    <x:row r="56">
      <x:c r="A56" s="63" t="str">
        <x:v>E04</x:v>
      </x:c>
      <x:c r="B56" s="63" t="str">
        <x:v>AngloGold Ashanti</x:v>
      </x:c>
      <x:c r="C56" s="63" t="str">
        <x:v>DEBT_CAPITAL_MARKETS</x:v>
      </x:c>
      <x:c r="D56" s="63" t="str">
        <x:v>Debt capital markets</x:v>
      </x:c>
      <x:c r="E56" s="63" t="str">
        <x:v>CAPITAL_MARKETS</x:v>
      </x:c>
      <x:c r="F56" s="63" t="str">
        <x:v>FINANCING_REQUIREMENT</x:v>
      </x:c>
      <x:c r="G56" s="64" t="b">
        <x:v>1</x:v>
      </x:c>
      <x:c r="H56" s="63" t="str">
        <x:v>SCENARIO_BLOCKED_PENDING_CALIBRATION</x:v>
      </x:c>
      <x:c r="I56" s="63" t="str">
        <x:v>SCENARIO</x:v>
      </x:c>
      <x:c r="J56" s="63" t="str">
        <x:v>E1</x:v>
      </x:c>
      <x:c r="K56" s="81" t="n">
        <x:v>0.1375</x:v>
      </x:c>
      <x:c r="L56" s="82" t="n">
        <x:v>15.200000000000001</x:v>
      </x:c>
      <x:c r="M56" s="82" t="n">
        <x:v>19</x:v>
      </x:c>
      <x:c r="N56" s="82" t="n">
        <x:v>24.7</x:v>
      </x:c>
      <x:c r="O56" s="63" t="str">
        <x:v>ZAR</x:v>
      </x:c>
      <x:c r="P56" s="81" t="n">
        <x:v>0.061875000000000006</x:v>
      </x:c>
      <x:c r="Q56" s="81" t="n">
        <x:v>0.10312500000000001</x:v>
      </x:c>
      <x:c r="R56" s="63" t="n">
        <x:v>0.1375</x:v>
      </x:c>
    </x:row>
    <x:row r="57">
      <x:c r="A57" s="63" t="str">
        <x:v>E04</x:v>
      </x:c>
      <x:c r="B57" s="63" t="str">
        <x:v>AngloGold Ashanti</x:v>
      </x:c>
      <x:c r="C57" s="63" t="str">
        <x:v>ESCROW_AND_AGENCY</x:v>
      </x:c>
      <x:c r="D57" s="63" t="str">
        <x:v>Escrow and agency services</x:v>
      </x:c>
      <x:c r="E57" s="63" t="str">
        <x:v>ADVISORY_AND_AGENCY</x:v>
      </x:c>
      <x:c r="F57" s="63" t="str">
        <x:v>EVENT_LINKED_FLOW</x:v>
      </x:c>
      <x:c r="G57" s="64" t="b">
        <x:v>0</x:v>
      </x:c>
      <x:c r="H57" s="63" t="str">
        <x:v>FAIL_CLOSED_REQUIRED_INPUT_UNAVAILABLE</x:v>
      </x:c>
      <x:c r="I57" s="63" t="str">
        <x:v>SCENARIO</x:v>
      </x:c>
      <x:c r="J57" s="63" t="str">
        <x:v>E0</x:v>
      </x:c>
      <x:c r="K57" s="81"/>
      <x:c r="L57" s="82"/>
      <x:c r="M57" s="82"/>
      <x:c r="N57" s="82"/>
      <x:c r="O57" s="63"/>
      <x:c r="P57" s="81"/>
      <x:c r="Q57" s="81"/>
      <x:c r="R57" s="63" t="str">
        <x:v>Escrow and agency flow is event-linked, and no reviewed corporate action or capital-structure event exists for this client.</x:v>
      </x:c>
    </x:row>
    <x:row r="58">
      <x:c r="A58" s="63" t="str">
        <x:v>E04</x:v>
      </x:c>
      <x:c r="B58" s="63" t="str">
        <x:v>AngloGold Ashanti</x:v>
      </x:c>
      <x:c r="C58" s="63" t="str">
        <x:v>GUARANTEES_AND_LC</x:v>
      </x:c>
      <x:c r="D58" s="63" t="str">
        <x:v>Guarantees and letters of credit</x:v>
      </x:c>
      <x:c r="E58" s="63" t="str">
        <x:v>TRADE_AND_WORKING_CAPITAL</x:v>
      </x:c>
      <x:c r="F58" s="63" t="str">
        <x:v>CONTINGENT_EXPOSURE</x:v>
      </x:c>
      <x:c r="G58" s="64" t="b">
        <x:v>1</x:v>
      </x:c>
      <x:c r="H58" s="63" t="str">
        <x:v>SCENARIO_BLOCKED_PENDING_CALIBRATION</x:v>
      </x:c>
      <x:c r="I58" s="63" t="str">
        <x:v>SCENARIO</x:v>
      </x:c>
      <x:c r="J58" s="63" t="str">
        <x:v>E0</x:v>
      </x:c>
      <x:c r="K58" s="81" t="n">
        <x:v>0.24250000000000002</x:v>
      </x:c>
      <x:c r="L58" s="82" t="n">
        <x:v>14259755.211000003</x:v>
      </x:c>
      <x:c r="M58" s="82" t="n">
        <x:v>28519510.422000006</x:v>
      </x:c>
      <x:c r="N58" s="82" t="n">
        <x:v>42779265.633</x:v>
      </x:c>
      <x:c r="O58" s="63" t="str">
        <x:v>ZAR</x:v>
      </x:c>
      <x:c r="P58" s="81" t="n">
        <x:v>0.10912500000000001</x:v>
      </x:c>
      <x:c r="Q58" s="81" t="n">
        <x:v>0.181875</x:v>
      </x:c>
      <x:c r="R58" s="63" t="n">
        <x:v>0.24250000000000002</x:v>
      </x:c>
    </x:row>
    <x:row r="59">
      <x:c r="A59" s="63" t="str">
        <x:v>E04</x:v>
      </x:c>
      <x:c r="B59" s="63" t="str">
        <x:v>AngloGold Ashanti</x:v>
      </x:c>
      <x:c r="C59" s="63" t="str">
        <x:v>INTEREST_RATE_RISK_MANAGEMENT</x:v>
      </x:c>
      <x:c r="D59" s="63" t="str">
        <x:v>Interest-rate risk management</x:v>
      </x:c>
      <x:c r="E59" s="63" t="str">
        <x:v>RISK_MANAGEMENT</x:v>
      </x:c>
      <x:c r="F59" s="63" t="str">
        <x:v>EXPOSURE_NOTIONAL</x:v>
      </x:c>
      <x:c r="G59" s="64" t="b">
        <x:v>1</x:v>
      </x:c>
      <x:c r="H59" s="63" t="str">
        <x:v>SCENARIO_BLOCKED_PENDING_CALIBRATION</x:v>
      </x:c>
      <x:c r="I59" s="63" t="str">
        <x:v>SCENARIO</x:v>
      </x:c>
      <x:c r="J59" s="63" t="str">
        <x:v>E1</x:v>
      </x:c>
      <x:c r="K59" s="81" t="n">
        <x:v>0.29999999999999993</x:v>
      </x:c>
      <x:c r="L59" s="82" t="n">
        <x:v>101802000</x:v>
      </x:c>
      <x:c r="M59" s="82" t="n">
        <x:v>186637000.00000003</x:v>
      </x:c>
      <x:c r="N59" s="82" t="n">
        <x:v>271472000</x:v>
      </x:c>
      <x:c r="O59" s="63" t="str">
        <x:v>ZAR</x:v>
      </x:c>
      <x:c r="P59" s="81" t="n">
        <x:v>0.13499999999999998</x:v>
      </x:c>
      <x:c r="Q59" s="81" t="n">
        <x:v>0.22499999999999995</x:v>
      </x:c>
      <x:c r="R59" s="63" t="n">
        <x:v>0.29999999999999993</x:v>
      </x:c>
    </x:row>
    <x:row r="60">
      <x:c r="A60" s="63" t="str">
        <x:v>E04</x:v>
      </x:c>
      <x:c r="B60" s="63" t="str">
        <x:v>AngloGold Ashanti</x:v>
      </x:c>
      <x:c r="C60" s="63" t="str">
        <x:v>LIQUIDITY_CASH_MANAGEMENT</x:v>
      </x:c>
      <x:c r="D60" s="63" t="str">
        <x:v>Liquidity and cash management</x:v>
      </x:c>
      <x:c r="E60" s="63" t="str">
        <x:v>TRANSACTION_BANKING</x:v>
      </x:c>
      <x:c r="F60" s="63" t="str">
        <x:v>CASH_WALLET</x:v>
      </x:c>
      <x:c r="G60" s="64" t="b">
        <x:v>1</x:v>
      </x:c>
      <x:c r="H60" s="63" t="str">
        <x:v>SHADOW_ELIGIBLE_REPRESENTATIVE</x:v>
      </x:c>
      <x:c r="I60" s="63" t="str">
        <x:v>POSTERIOR</x:v>
      </x:c>
      <x:c r="J60" s="63" t="str">
        <x:v>E1</x:v>
      </x:c>
      <x:c r="K60" s="81" t="n">
        <x:v>0.1881332350762803</x:v>
      </x:c>
      <x:c r="L60" s="82" t="n">
        <x:v>5899040046.276055</x:v>
      </x:c>
      <x:c r="M60" s="82" t="n">
        <x:v>9722262873.726162</x:v>
      </x:c>
      <x:c r="N60" s="82" t="n">
        <x:v>20580333369.587532</x:v>
      </x:c>
      <x:c r="O60" s="63" t="str">
        <x:v>ZAR</x:v>
      </x:c>
      <x:c r="P60" s="81" t="n">
        <x:v>0.09864400168452969</x:v>
      </x:c>
      <x:c r="Q60" s="81" t="n">
        <x:v>0.18755736430072178</x:v>
      </x:c>
      <x:c r="R60" s="63" t="n">
        <x:v>0.2676999570252251</x:v>
      </x:c>
    </x:row>
    <x:row r="61">
      <x:c r="A61" s="63" t="str">
        <x:v>E04</x:v>
      </x:c>
      <x:c r="B61" s="63" t="str">
        <x:v>AngloGold Ashanti</x:v>
      </x:c>
      <x:c r="C61" s="63" t="str">
        <x:v>MA_AND_STRATEGIC_ADVISORY</x:v>
      </x:c>
      <x:c r="D61" s="63" t="str">
        <x:v>M&amp;A and strategic advisory</x:v>
      </x:c>
      <x:c r="E61" s="63" t="str">
        <x:v>ADVISORY_AND_AGENCY</x:v>
      </x:c>
      <x:c r="F61" s="63" t="str">
        <x:v>TRANSACTION_SIZE</x:v>
      </x:c>
      <x:c r="G61" s="64" t="b">
        <x:v>0</x:v>
      </x:c>
      <x:c r="H61" s="63" t="str">
        <x:v>FAIL_CLOSED_REQUIRED_INPUT_UNAVAILABLE</x:v>
      </x:c>
      <x:c r="I61" s="63" t="str">
        <x:v>SCENARIO</x:v>
      </x:c>
      <x:c r="J61" s="63" t="str">
        <x:v>E0</x:v>
      </x:c>
      <x:c r="K61" s="81"/>
      <x:c r="L61" s="82"/>
      <x:c r="M61" s="82"/>
      <x:c r="N61" s="82"/>
      <x:c r="O61" s="63"/>
      <x:c r="P61" s="81"/>
      <x:c r="Q61" s="81"/>
      <x:c r="R61" s="63" t="str">
        <x:v>No announced or reviewed transaction evidence exists, so no mandate probability or transaction size can be estimated.</x:v>
      </x:c>
    </x:row>
    <x:row r="62">
      <x:c r="A62" s="63" t="str">
        <x:v>E04</x:v>
      </x:c>
      <x:c r="B62" s="63" t="str">
        <x:v>AngloGold Ashanti</x:v>
      </x:c>
      <x:c r="C62" s="63" t="str">
        <x:v>PAYMENTS</x:v>
      </x:c>
      <x:c r="D62" s="63" t="str">
        <x:v>Payments</x:v>
      </x:c>
      <x:c r="E62" s="63" t="str">
        <x:v>TRANSACTION_BANKING</x:v>
      </x:c>
      <x:c r="F62" s="63" t="str">
        <x:v>TRANSACTION_WALLET</x:v>
      </x:c>
      <x:c r="G62" s="64" t="b">
        <x:v>1</x:v>
      </x:c>
      <x:c r="H62" s="63" t="str">
        <x:v>SHADOW_ELIGIBLE_REPRESENTATIVE</x:v>
      </x:c>
      <x:c r="I62" s="63" t="str">
        <x:v>POSTERIOR</x:v>
      </x:c>
      <x:c r="J62" s="63" t="str">
        <x:v>E1</x:v>
      </x:c>
      <x:c r="K62" s="81" t="n">
        <x:v>0.1435278706063157</x:v>
      </x:c>
      <x:c r="L62" s="82" t="n">
        <x:v>7004271454.716204</x:v>
      </x:c>
      <x:c r="M62" s="82" t="n">
        <x:v>10161614846.234365</x:v>
      </x:c>
      <x:c r="N62" s="82" t="n">
        <x:v>17629480095.58009</x:v>
      </x:c>
      <x:c r="O62" s="63" t="str">
        <x:v>ZAR</x:v>
      </x:c>
      <x:c r="P62" s="81" t="n">
        <x:v>0.09484765799081607</x:v>
      </x:c>
      <x:c r="Q62" s="81" t="n">
        <x:v>0.1806992377552893</x:v>
      </x:c>
      <x:c r="R62" s="63" t="n">
        <x:v>0.25840799624429045</x:v>
      </x:c>
    </x:row>
    <x:row r="63">
      <x:c r="A63" s="63" t="str">
        <x:v>E04</x:v>
      </x:c>
      <x:c r="B63" s="63" t="str">
        <x:v>AngloGold Ashanti</x:v>
      </x:c>
      <x:c r="C63" s="63" t="str">
        <x:v>PROJECT_FINANCE</x:v>
      </x:c>
      <x:c r="D63" s="63" t="str">
        <x:v>Project finance</x:v>
      </x:c>
      <x:c r="E63" s="63" t="str">
        <x:v>LENDING</x:v>
      </x:c>
      <x:c r="F63" s="63" t="str">
        <x:v>PROJECT_FUNDING_REQUIREMENT</x:v>
      </x:c>
      <x:c r="G63" s="64" t="b">
        <x:v>0</x:v>
      </x:c>
      <x:c r="H63" s="63" t="str">
        <x:v>FAIL_CLOSED_REQUIRED_INPUT_UNAVAILABLE</x:v>
      </x:c>
      <x:c r="I63" s="63" t="str">
        <x:v>SCENARIO</x:v>
      </x:c>
      <x:c r="J63" s="63" t="str">
        <x:v>E0</x:v>
      </x:c>
      <x:c r="K63" s="81"/>
      <x:c r="L63" s="82"/>
      <x:c r="M63" s="82"/>
      <x:c r="N63" s="82"/>
      <x:c r="O63" s="63"/>
      <x:c r="P63" s="81"/>
      <x:c r="Q63" s="81"/>
      <x:c r="R63" s="63" t="str">
        <x:v>No reviewed project, SPV or ring-fenced cash-flow evidence exists for this client. Project finance cannot be sized from a sector assumption, and SPV ownership is never inferred from name similarity.</x:v>
      </x:c>
    </x:row>
    <x:row r="64">
      <x:c r="A64" s="63" t="str">
        <x:v>E04</x:v>
      </x:c>
      <x:c r="B64" s="63" t="str">
        <x:v>AngloGold Ashanti</x:v>
      </x:c>
      <x:c r="C64" s="63" t="str">
        <x:v>SUPPLY_CHAIN_FINANCE</x:v>
      </x:c>
      <x:c r="D64" s="63" t="str">
        <x:v>Supply-chain finance</x:v>
      </x:c>
      <x:c r="E64" s="63" t="str">
        <x:v>TRADE_AND_WORKING_CAPITAL</x:v>
      </x:c>
      <x:c r="F64" s="63" t="str">
        <x:v>ELIGIBLE_FLOW</x:v>
      </x:c>
      <x:c r="G64" s="64" t="b">
        <x:v>1</x:v>
      </x:c>
      <x:c r="H64" s="63" t="str">
        <x:v>SCENARIO_BLOCKED_PENDING_CALIBRATION</x:v>
      </x:c>
      <x:c r="I64" s="63" t="str">
        <x:v>SCENARIO</x:v>
      </x:c>
      <x:c r="J64" s="63" t="str">
        <x:v>E0</x:v>
      </x:c>
      <x:c r="K64" s="81" t="n">
        <x:v>0.4275</x:v>
      </x:c>
      <x:c r="L64" s="82" t="n">
        <x:v>136038178.91849995</x:v>
      </x:c>
      <x:c r="M64" s="82" t="n">
        <x:v>272076357.8369999</x:v>
      </x:c>
      <x:c r="N64" s="82" t="n">
        <x:v>408114536.7554999</x:v>
      </x:c>
      <x:c r="O64" s="63" t="str">
        <x:v>ZAR</x:v>
      </x:c>
      <x:c r="P64" s="81" t="n">
        <x:v>0.192375</x:v>
      </x:c>
      <x:c r="Q64" s="81" t="n">
        <x:v>0.320625</x:v>
      </x:c>
      <x:c r="R64" s="63" t="n">
        <x:v>0.4275</x:v>
      </x:c>
    </x:row>
    <x:row r="65">
      <x:c r="A65" s="63" t="str">
        <x:v>E04</x:v>
      </x:c>
      <x:c r="B65" s="63" t="str">
        <x:v>AngloGold Ashanti</x:v>
      </x:c>
      <x:c r="C65" s="63" t="str">
        <x:v>SUSTAINABLE_FINANCE</x:v>
      </x:c>
      <x:c r="D65" s="63" t="str">
        <x:v>Sustainable finance</x:v>
      </x:c>
      <x:c r="E65" s="63" t="str">
        <x:v>CAPITAL_MARKETS</x:v>
      </x:c>
      <x:c r="F65" s="63" t="str">
        <x:v>ELIGIBLE_CAPEX</x:v>
      </x:c>
      <x:c r="G65" s="64" t="b">
        <x:v>0</x:v>
      </x:c>
      <x:c r="H65" s="63" t="str">
        <x:v>FAIL_CLOSED_REQUIRED_INPUT_UNAVAILABLE</x:v>
      </x:c>
      <x:c r="I65" s="63" t="str">
        <x:v>SCENARIO</x:v>
      </x:c>
      <x:c r="J65" s="63" t="str">
        <x:v>E0</x:v>
      </x:c>
      <x:c r="K65" s="81"/>
      <x:c r="L65" s="82"/>
      <x:c r="M65" s="82"/>
      <x:c r="N65" s="82"/>
      <x:c r="O65" s="63"/>
      <x:c r="P65" s="81"/>
      <x:c r="Q65" s="81"/>
      <x:c r="R65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66">
      <x:c r="A66" s="63" t="str">
        <x:v>E04</x:v>
      </x:c>
      <x:c r="B66" s="63" t="str">
        <x:v>AngloGold Ashanti</x:v>
      </x:c>
      <x:c r="C66" s="63" t="str">
        <x:v>TERM_AND_SYNDICATED_LENDING</x:v>
      </x:c>
      <x:c r="D66" s="63" t="str">
        <x:v>Term and syndicated lending</x:v>
      </x:c>
      <x:c r="E66" s="63" t="str">
        <x:v>LENDING</x:v>
      </x:c>
      <x:c r="F66" s="63" t="str">
        <x:v>FACILITY_SIZE</x:v>
      </x:c>
      <x:c r="G66" s="64" t="b">
        <x:v>1</x:v>
      </x:c>
      <x:c r="H66" s="63" t="str">
        <x:v>SCENARIO_BLOCKED_PENDING_CALIBRATION</x:v>
      </x:c>
      <x:c r="I66" s="63" t="str">
        <x:v>SCENARIO</x:v>
      </x:c>
      <x:c r="J66" s="63" t="str">
        <x:v>E1</x:v>
      </x:c>
      <x:c r="K66" s="81" t="n">
        <x:v>0.1375</x:v>
      </x:c>
      <x:c r="L66" s="82" t="n">
        <x:v>17.1</x:v>
      </x:c>
      <x:c r="M66" s="82" t="n">
        <x:v>20.900000000000002</x:v>
      </x:c>
      <x:c r="N66" s="82" t="n">
        <x:v>26.599999999999998</x:v>
      </x:c>
      <x:c r="O66" s="63" t="str">
        <x:v>ZAR</x:v>
      </x:c>
      <x:c r="P66" s="81" t="n">
        <x:v>0.061875000000000006</x:v>
      </x:c>
      <x:c r="Q66" s="81" t="n">
        <x:v>0.10312500000000001</x:v>
      </x:c>
      <x:c r="R66" s="63" t="n">
        <x:v>0.1375</x:v>
      </x:c>
    </x:row>
    <x:row r="67">
      <x:c r="A67" s="63" t="str">
        <x:v>E04</x:v>
      </x:c>
      <x:c r="B67" s="63" t="str">
        <x:v>AngloGold Ashanti</x:v>
      </x:c>
      <x:c r="C67" s="63" t="str">
        <x:v>TRADE_FINANCE</x:v>
      </x:c>
      <x:c r="D67" s="63" t="str">
        <x:v>Trade finance</x:v>
      </x:c>
      <x:c r="E67" s="63" t="str">
        <x:v>TRADE_AND_WORKING_CAPITAL</x:v>
      </x:c>
      <x:c r="F67" s="63" t="str">
        <x:v>ELIGIBLE_FLOW</x:v>
      </x:c>
      <x:c r="G67" s="64" t="b">
        <x:v>1</x:v>
      </x:c>
      <x:c r="H67" s="63" t="str">
        <x:v>SHADOW_ELIGIBLE_REPRESENTATIVE</x:v>
      </x:c>
      <x:c r="I67" s="63" t="str">
        <x:v>POSTERIOR</x:v>
      </x:c>
      <x:c r="J67" s="63" t="str">
        <x:v>E1</x:v>
      </x:c>
      <x:c r="K67" s="81" t="n">
        <x:v>0.21254151346694972</x:v>
      </x:c>
      <x:c r="L67" s="82" t="n">
        <x:v>1727826765.512259</x:v>
      </x:c>
      <x:c r="M67" s="82" t="n">
        <x:v>3019709709.3877225</x:v>
      </x:c>
      <x:c r="N67" s="82" t="n">
        <x:v>7596801772.007671</x:v>
      </x:c>
      <x:c r="O67" s="63" t="str">
        <x:v>ZAR</x:v>
      </x:c>
      <x:c r="P67" s="81" t="n">
        <x:v>0.12071744509148252</x:v>
      </x:c>
      <x:c r="Q67" s="81" t="n">
        <x:v>0.22686218863355</x:v>
      </x:c>
      <x:c r="R67" s="63" t="n">
        <x:v>0.3201934099253284</x:v>
      </x:c>
    </x:row>
    <x:row r="68">
      <x:c r="A68" s="63" t="str">
        <x:v>E04</x:v>
      </x:c>
      <x:c r="B68" s="63" t="str">
        <x:v>AngloGold Ashanti</x:v>
      </x:c>
      <x:c r="C68" s="63" t="str">
        <x:v>WORKING_CAPITAL_REVOLVING</x:v>
      </x:c>
      <x:c r="D68" s="63" t="str">
        <x:v>Working-capital/revolving credit</x:v>
      </x:c>
      <x:c r="E68" s="63" t="str">
        <x:v>LENDING</x:v>
      </x:c>
      <x:c r="F68" s="63" t="str">
        <x:v>FACILITY_SIZE</x:v>
      </x:c>
      <x:c r="G68" s="64" t="b">
        <x:v>0</x:v>
      </x:c>
      <x:c r="H68" s="63" t="str">
        <x:v>FAIL_CLOSED_REQUIRED_INPUT_UNAVAILABLE</x:v>
      </x:c>
      <x:c r="I68" s="63" t="str">
        <x:v>SCENARIO</x:v>
      </x:c>
      <x:c r="J68" s="63" t="str">
        <x:v>E0</x:v>
      </x:c>
      <x:c r="K68" s="81"/>
      <x:c r="L68" s="82"/>
      <x:c r="M68" s="82"/>
      <x:c r="N68" s="82"/>
      <x:c r="O68" s="63"/>
      <x:c r="P68" s="81"/>
      <x:c r="Q68" s="81"/>
      <x:c r="R68" s="63" t="str">
        <x:v>No positive working-capital gap can be computed from reviewed evidence, so a revolving facility cannot be sized.</x:v>
      </x:c>
    </x:row>
    <x:row r="69">
      <x:c r="A69" s="63" t="str">
        <x:v>E05</x:v>
      </x:c>
      <x:c r="B69" s="63" t="str">
        <x:v>Gold Fields</x:v>
      </x:c>
      <x:c r="C69" s="63" t="str">
        <x:v>COLLECTIONS</x:v>
      </x:c>
      <x:c r="D69" s="63" t="str">
        <x:v>Collections</x:v>
      </x:c>
      <x:c r="E69" s="63" t="str">
        <x:v>TRANSACTION_BANKING</x:v>
      </x:c>
      <x:c r="F69" s="63" t="str">
        <x:v>TRANSACTION_WALLET</x:v>
      </x:c>
      <x:c r="G69" s="64" t="b">
        <x:v>1</x:v>
      </x:c>
      <x:c r="H69" s="63" t="str">
        <x:v>SHADOW_ELIGIBLE_REPRESENTATIVE</x:v>
      </x:c>
      <x:c r="I69" s="63" t="str">
        <x:v>POSTERIOR</x:v>
      </x:c>
      <x:c r="J69" s="63" t="str">
        <x:v>E1</x:v>
      </x:c>
      <x:c r="K69" s="81" t="n">
        <x:v>0.23730821238417574</x:v>
      </x:c>
      <x:c r="L69" s="82" t="n">
        <x:v>7665836323.8018055</x:v>
      </x:c>
      <x:c r="M69" s="82" t="n">
        <x:v>10906930485.038206</x:v>
      </x:c>
      <x:c r="N69" s="82" t="n">
        <x:v>19090306411.553913</x:v>
      </x:c>
      <x:c r="O69" s="63" t="str">
        <x:v>ZAR</x:v>
      </x:c>
      <x:c r="P69" s="81" t="n">
        <x:v>0.10588460984763215</x:v>
      </x:c>
      <x:c r="Q69" s="81" t="n">
        <x:v>0.20055766909267903</x:v>
      </x:c>
      <x:c r="R69" s="63" t="n">
        <x:v>0.2852063083964823</x:v>
      </x:c>
    </x:row>
    <x:row r="70">
      <x:c r="A70" s="63" t="str">
        <x:v>E05</x:v>
      </x:c>
      <x:c r="B70" s="63" t="str">
        <x:v>Gold Fields</x:v>
      </x:c>
      <x:c r="C70" s="63" t="str">
        <x:v>COMMODITY_RISK_MANAGEMENT</x:v>
      </x:c>
      <x:c r="D70" s="63" t="str">
        <x:v>Commodity risk management</x:v>
      </x:c>
      <x:c r="E70" s="63" t="str">
        <x:v>RISK_MANAGEMENT</x:v>
      </x:c>
      <x:c r="F70" s="63" t="str">
        <x:v>EXPOSURE_NOTIONAL</x:v>
      </x:c>
      <x:c r="G70" s="64" t="b">
        <x:v>1</x:v>
      </x:c>
      <x:c r="H70" s="63" t="str">
        <x:v>SCENARIO_BLOCKED_PENDING_CALIBRATION</x:v>
      </x:c>
      <x:c r="I70" s="63" t="str">
        <x:v>SCENARIO</x:v>
      </x:c>
      <x:c r="J70" s="63" t="str">
        <x:v>E0</x:v>
      </x:c>
      <x:c r="K70" s="81" t="n">
        <x:v>0.4775000000000001</x:v>
      </x:c>
      <x:c r="L70" s="82" t="n">
        <x:v>135810709.04053843</x:v>
      </x:c>
      <x:c r="M70" s="82" t="n">
        <x:v>316891654.427923</x:v>
      </x:c>
      <x:c r="N70" s="82" t="n">
        <x:v>543242836.1621537</x:v>
      </x:c>
      <x:c r="O70" s="63" t="str">
        <x:v>ZAR</x:v>
      </x:c>
      <x:c r="P70" s="81" t="n">
        <x:v>0.21487500000000004</x:v>
      </x:c>
      <x:c r="Q70" s="81" t="n">
        <x:v>0.3581250000000001</x:v>
      </x:c>
      <x:c r="R70" s="63" t="n">
        <x:v>0.4775000000000001</x:v>
      </x:c>
    </x:row>
    <x:row r="71">
      <x:c r="A71" s="63" t="str">
        <x:v>E05</x:v>
      </x:c>
      <x:c r="B71" s="63" t="str">
        <x:v>Gold Fields</x:v>
      </x:c>
      <x:c r="C71" s="63" t="str">
        <x:v>CROSS_BORDER_FX</x:v>
      </x:c>
      <x:c r="D71" s="63" t="str">
        <x:v>Cross-border FX</x:v>
      </x:c>
      <x:c r="E71" s="63" t="str">
        <x:v>RISK_MANAGEMENT</x:v>
      </x:c>
      <x:c r="F71" s="63" t="str">
        <x:v>EXPOSURE_NOTIONAL</x:v>
      </x:c>
      <x:c r="G71" s="64" t="b">
        <x:v>1</x:v>
      </x:c>
      <x:c r="H71" s="63" t="str">
        <x:v>SHADOW_ELIGIBLE_REPRESENTATIVE</x:v>
      </x:c>
      <x:c r="I71" s="63" t="str">
        <x:v>POSTERIOR</x:v>
      </x:c>
      <x:c r="J71" s="63" t="str">
        <x:v>E1</x:v>
      </x:c>
      <x:c r="K71" s="81" t="n">
        <x:v>0.16814882607866752</x:v>
      </x:c>
      <x:c r="L71" s="82" t="n">
        <x:v>6883454743.559756</x:v>
      </x:c>
      <x:c r="M71" s="82" t="n">
        <x:v>10879472869.037884</x:v>
      </x:c>
      <x:c r="N71" s="82" t="n">
        <x:v>22327962697.981358</x:v>
      </x:c>
      <x:c r="O71" s="63" t="str">
        <x:v>ZAR</x:v>
      </x:c>
      <x:c r="P71" s="81" t="n">
        <x:v>0.09822803073504882</x:v>
      </x:c>
      <x:c r="Q71" s="81" t="n">
        <x:v>0.186807315448012</x:v>
      </x:c>
      <x:c r="R71" s="63" t="n">
        <x:v>0.2666856314597015</x:v>
      </x:c>
    </x:row>
    <x:row r="72">
      <x:c r="A72" s="63" t="str">
        <x:v>E05</x:v>
      </x:c>
      <x:c r="B72" s="63" t="str">
        <x:v>Gold Fields</x:v>
      </x:c>
      <x:c r="C72" s="63" t="str">
        <x:v>DEBT_CAPITAL_MARKETS</x:v>
      </x:c>
      <x:c r="D72" s="63" t="str">
        <x:v>Debt capital markets</x:v>
      </x:c>
      <x:c r="E72" s="63" t="str">
        <x:v>CAPITAL_MARKETS</x:v>
      </x:c>
      <x:c r="F72" s="63" t="str">
        <x:v>FINANCING_REQUIREMENT</x:v>
      </x:c>
      <x:c r="G72" s="64" t="b">
        <x:v>1</x:v>
      </x:c>
      <x:c r="H72" s="63" t="str">
        <x:v>SCENARIO_BLOCKED_PENDING_CALIBRATION</x:v>
      </x:c>
      <x:c r="I72" s="63" t="str">
        <x:v>SCENARIO</x:v>
      </x:c>
      <x:c r="J72" s="63" t="str">
        <x:v>E1</x:v>
      </x:c>
      <x:c r="K72" s="81" t="n">
        <x:v>0.1375</x:v>
      </x:c>
      <x:c r="L72" s="82" t="n">
        <x:v>142.96</x:v>
      </x:c>
      <x:c r="M72" s="82" t="n">
        <x:v>178.7</x:v>
      </x:c>
      <x:c r="N72" s="82" t="n">
        <x:v>232.31</x:v>
      </x:c>
      <x:c r="O72" s="63" t="str">
        <x:v>ZAR</x:v>
      </x:c>
      <x:c r="P72" s="81" t="n">
        <x:v>0.061875000000000006</x:v>
      </x:c>
      <x:c r="Q72" s="81" t="n">
        <x:v>0.10312500000000001</x:v>
      </x:c>
      <x:c r="R72" s="63" t="n">
        <x:v>0.1375</x:v>
      </x:c>
    </x:row>
    <x:row r="73">
      <x:c r="A73" s="63" t="str">
        <x:v>E05</x:v>
      </x:c>
      <x:c r="B73" s="63" t="str">
        <x:v>Gold Fields</x:v>
      </x:c>
      <x:c r="C73" s="63" t="str">
        <x:v>ESCROW_AND_AGENCY</x:v>
      </x:c>
      <x:c r="D73" s="63" t="str">
        <x:v>Escrow and agency services</x:v>
      </x:c>
      <x:c r="E73" s="63" t="str">
        <x:v>ADVISORY_AND_AGENCY</x:v>
      </x:c>
      <x:c r="F73" s="63" t="str">
        <x:v>EVENT_LINKED_FLOW</x:v>
      </x:c>
      <x:c r="G73" s="64" t="b">
        <x:v>0</x:v>
      </x:c>
      <x:c r="H73" s="63" t="str">
        <x:v>FAIL_CLOSED_REQUIRED_INPUT_UNAVAILABLE</x:v>
      </x:c>
      <x:c r="I73" s="63" t="str">
        <x:v>SCENARIO</x:v>
      </x:c>
      <x:c r="J73" s="63" t="str">
        <x:v>E0</x:v>
      </x:c>
      <x:c r="K73" s="81"/>
      <x:c r="L73" s="82"/>
      <x:c r="M73" s="82"/>
      <x:c r="N73" s="82"/>
      <x:c r="O73" s="63"/>
      <x:c r="P73" s="81"/>
      <x:c r="Q73" s="81"/>
      <x:c r="R73" s="63" t="str">
        <x:v>Escrow and agency flow is event-linked, and no reviewed corporate action or capital-structure event exists for this client.</x:v>
      </x:c>
    </x:row>
    <x:row r="74">
      <x:c r="A74" s="63" t="str">
        <x:v>E05</x:v>
      </x:c>
      <x:c r="B74" s="63" t="str">
        <x:v>Gold Fields</x:v>
      </x:c>
      <x:c r="C74" s="63" t="str">
        <x:v>GUARANTEES_AND_LC</x:v>
      </x:c>
      <x:c r="D74" s="63" t="str">
        <x:v>Guarantees and letters of credit</x:v>
      </x:c>
      <x:c r="E74" s="63" t="str">
        <x:v>TRADE_AND_WORKING_CAPITAL</x:v>
      </x:c>
      <x:c r="F74" s="63" t="str">
        <x:v>CONTINGENT_EXPOSURE</x:v>
      </x:c>
      <x:c r="G74" s="64" t="b">
        <x:v>1</x:v>
      </x:c>
      <x:c r="H74" s="63" t="str">
        <x:v>SCENARIO_BLOCKED_PENDING_CALIBRATION</x:v>
      </x:c>
      <x:c r="I74" s="63" t="str">
        <x:v>SCENARIO</x:v>
      </x:c>
      <x:c r="J74" s="63" t="str">
        <x:v>E0</x:v>
      </x:c>
      <x:c r="K74" s="81" t="n">
        <x:v>0.24250000000000002</x:v>
      </x:c>
      <x:c r="L74" s="82" t="n">
        <x:v>20037327.511000004</x:v>
      </x:c>
      <x:c r="M74" s="82" t="n">
        <x:v>40074655.02200001</x:v>
      </x:c>
      <x:c r="N74" s="82" t="n">
        <x:v>60111982.533</x:v>
      </x:c>
      <x:c r="O74" s="63" t="str">
        <x:v>ZAR</x:v>
      </x:c>
      <x:c r="P74" s="81" t="n">
        <x:v>0.10912500000000001</x:v>
      </x:c>
      <x:c r="Q74" s="81" t="n">
        <x:v>0.181875</x:v>
      </x:c>
      <x:c r="R74" s="63" t="n">
        <x:v>0.24250000000000002</x:v>
      </x:c>
    </x:row>
    <x:row r="75">
      <x:c r="A75" s="63" t="str">
        <x:v>E05</x:v>
      </x:c>
      <x:c r="B75" s="63" t="str">
        <x:v>Gold Fields</x:v>
      </x:c>
      <x:c r="C75" s="63" t="str">
        <x:v>INTEREST_RATE_RISK_MANAGEMENT</x:v>
      </x:c>
      <x:c r="D75" s="63" t="str">
        <x:v>Interest-rate risk management</x:v>
      </x:c>
      <x:c r="E75" s="63" t="str">
        <x:v>RISK_MANAGEMENT</x:v>
      </x:c>
      <x:c r="F75" s="63" t="str">
        <x:v>EXPOSURE_NOTIONAL</x:v>
      </x:c>
      <x:c r="G75" s="64" t="b">
        <x:v>1</x:v>
      </x:c>
      <x:c r="H75" s="63" t="str">
        <x:v>SCENARIO_BLOCKED_PENDING_CALIBRATION</x:v>
      </x:c>
      <x:c r="I75" s="63" t="str">
        <x:v>SCENARIO</x:v>
      </x:c>
      <x:c r="J75" s="63" t="str">
        <x:v>E1</x:v>
      </x:c>
      <x:c r="K75" s="81" t="n">
        <x:v>0.29999999999999993</x:v>
      </x:c>
      <x:c r="L75" s="82" t="n">
        <x:v>957474600</x:v>
      </x:c>
      <x:c r="M75" s="82" t="n">
        <x:v>1755370100.0000002</x:v>
      </x:c>
      <x:c r="N75" s="82" t="n">
        <x:v>2553265600</x:v>
      </x:c>
      <x:c r="O75" s="63" t="str">
        <x:v>ZAR</x:v>
      </x:c>
      <x:c r="P75" s="81" t="n">
        <x:v>0.13499999999999998</x:v>
      </x:c>
      <x:c r="Q75" s="81" t="n">
        <x:v>0.22499999999999995</x:v>
      </x:c>
      <x:c r="R75" s="63" t="n">
        <x:v>0.29999999999999993</x:v>
      </x:c>
    </x:row>
    <x:row r="76">
      <x:c r="A76" s="63" t="str">
        <x:v>E05</x:v>
      </x:c>
      <x:c r="B76" s="63" t="str">
        <x:v>Gold Fields</x:v>
      </x:c>
      <x:c r="C76" s="63" t="str">
        <x:v>LIQUIDITY_CASH_MANAGEMENT</x:v>
      </x:c>
      <x:c r="D76" s="63" t="str">
        <x:v>Liquidity and cash management</x:v>
      </x:c>
      <x:c r="E76" s="63" t="str">
        <x:v>TRANSACTION_BANKING</x:v>
      </x:c>
      <x:c r="F76" s="63" t="str">
        <x:v>CASH_WALLET</x:v>
      </x:c>
      <x:c r="G76" s="64" t="b">
        <x:v>1</x:v>
      </x:c>
      <x:c r="H76" s="63" t="str">
        <x:v>SHADOW_ELIGIBLE_REPRESENTATIVE</x:v>
      </x:c>
      <x:c r="I76" s="63" t="str">
        <x:v>POSTERIOR</x:v>
      </x:c>
      <x:c r="J76" s="63" t="str">
        <x:v>E1</x:v>
      </x:c>
      <x:c r="K76" s="81" t="n">
        <x:v>0.16775106007670013</x:v>
      </x:c>
      <x:c r="L76" s="82" t="n">
        <x:v>4704504471.787661</x:v>
      </x:c>
      <x:c r="M76" s="82" t="n">
        <x:v>7594197500.848316</x:v>
      </x:c>
      <x:c r="N76" s="82" t="n">
        <x:v>16635049754.206587</x:v>
      </x:c>
      <x:c r="O76" s="63" t="str">
        <x:v>ZAR</x:v>
      </x:c>
      <x:c r="P76" s="81" t="n">
        <x:v>0.10051171929617897</x:v>
      </x:c>
      <x:c r="Q76" s="81" t="n">
        <x:v>0.19092083287648398</x:v>
      </x:c>
      <x:c r="R76" s="63" t="n">
        <x:v>0.2722427710107891</x:v>
      </x:c>
    </x:row>
    <x:row r="77">
      <x:c r="A77" s="63" t="str">
        <x:v>E05</x:v>
      </x:c>
      <x:c r="B77" s="63" t="str">
        <x:v>Gold Fields</x:v>
      </x:c>
      <x:c r="C77" s="63" t="str">
        <x:v>MA_AND_STRATEGIC_ADVISORY</x:v>
      </x:c>
      <x:c r="D77" s="63" t="str">
        <x:v>M&amp;A and strategic advisory</x:v>
      </x:c>
      <x:c r="E77" s="63" t="str">
        <x:v>ADVISORY_AND_AGENCY</x:v>
      </x:c>
      <x:c r="F77" s="63" t="str">
        <x:v>TRANSACTION_SIZE</x:v>
      </x:c>
      <x:c r="G77" s="64" t="b">
        <x:v>0</x:v>
      </x:c>
      <x:c r="H77" s="63" t="str">
        <x:v>FAIL_CLOSED_REQUIRED_INPUT_UNAVAILABLE</x:v>
      </x:c>
      <x:c r="I77" s="63" t="str">
        <x:v>SCENARIO</x:v>
      </x:c>
      <x:c r="J77" s="63" t="str">
        <x:v>E0</x:v>
      </x:c>
      <x:c r="K77" s="81"/>
      <x:c r="L77" s="82"/>
      <x:c r="M77" s="82"/>
      <x:c r="N77" s="82"/>
      <x:c r="O77" s="63"/>
      <x:c r="P77" s="81"/>
      <x:c r="Q77" s="81"/>
      <x:c r="R77" s="63" t="str">
        <x:v>No announced or reviewed transaction evidence exists, so no mandate probability or transaction size can be estimated.</x:v>
      </x:c>
    </x:row>
    <x:row r="78">
      <x:c r="A78" s="63" t="str">
        <x:v>E05</x:v>
      </x:c>
      <x:c r="B78" s="63" t="str">
        <x:v>Gold Fields</x:v>
      </x:c>
      <x:c r="C78" s="63" t="str">
        <x:v>PAYMENTS</x:v>
      </x:c>
      <x:c r="D78" s="63" t="str">
        <x:v>Payments</x:v>
      </x:c>
      <x:c r="E78" s="63" t="str">
        <x:v>TRANSACTION_BANKING</x:v>
      </x:c>
      <x:c r="F78" s="63" t="str">
        <x:v>TRANSACTION_WALLET</x:v>
      </x:c>
      <x:c r="G78" s="64" t="b">
        <x:v>1</x:v>
      </x:c>
      <x:c r="H78" s="63" t="str">
        <x:v>SHADOW_ELIGIBLE_REPRESENTATIVE</x:v>
      </x:c>
      <x:c r="I78" s="63" t="str">
        <x:v>POSTERIOR</x:v>
      </x:c>
      <x:c r="J78" s="63" t="str">
        <x:v>E1</x:v>
      </x:c>
      <x:c r="K78" s="81" t="n">
        <x:v>0.1132922066446357</x:v>
      </x:c>
      <x:c r="L78" s="82" t="n">
        <x:v>6054716712.839308</x:v>
      </x:c>
      <x:c r="M78" s="82" t="n">
        <x:v>8742003215.492252</x:v>
      </x:c>
      <x:c r="N78" s="82" t="n">
        <x:v>15205666145.520561</x:v>
      </x:c>
      <x:c r="O78" s="63" t="str">
        <x:v>ZAR</x:v>
      </x:c>
      <x:c r="P78" s="81" t="n">
        <x:v>0.09470067716760644</x:v>
      </x:c>
      <x:c r="Q78" s="81" t="n">
        <x:v>0.18043313607920952</x:v>
      </x:c>
      <x:c r="R78" s="63" t="n">
        <x:v>0.25804667307664</x:v>
      </x:c>
    </x:row>
    <x:row r="79">
      <x:c r="A79" s="63" t="str">
        <x:v>E05</x:v>
      </x:c>
      <x:c r="B79" s="63" t="str">
        <x:v>Gold Fields</x:v>
      </x:c>
      <x:c r="C79" s="63" t="str">
        <x:v>PROJECT_FINANCE</x:v>
      </x:c>
      <x:c r="D79" s="63" t="str">
        <x:v>Project finance</x:v>
      </x:c>
      <x:c r="E79" s="63" t="str">
        <x:v>LENDING</x:v>
      </x:c>
      <x:c r="F79" s="63" t="str">
        <x:v>PROJECT_FUNDING_REQUIREMENT</x:v>
      </x:c>
      <x:c r="G79" s="64" t="b">
        <x:v>0</x:v>
      </x:c>
      <x:c r="H79" s="63" t="str">
        <x:v>FAIL_CLOSED_REQUIRED_INPUT_UNAVAILABLE</x:v>
      </x:c>
      <x:c r="I79" s="63" t="str">
        <x:v>SCENARIO</x:v>
      </x:c>
      <x:c r="J79" s="63" t="str">
        <x:v>E0</x:v>
      </x:c>
      <x:c r="K79" s="81"/>
      <x:c r="L79" s="82"/>
      <x:c r="M79" s="82"/>
      <x:c r="N79" s="82"/>
      <x:c r="O79" s="63"/>
      <x:c r="P79" s="81"/>
      <x:c r="Q79" s="81"/>
      <x:c r="R79" s="63" t="str">
        <x:v>No reviewed project, SPV or ring-fenced cash-flow evidence exists for this client. Project finance cannot be sized from a sector assumption, and SPV ownership is never inferred from name similarity.</x:v>
      </x:c>
    </x:row>
    <x:row r="80">
      <x:c r="A80" s="63" t="str">
        <x:v>E05</x:v>
      </x:c>
      <x:c r="B80" s="63" t="str">
        <x:v>Gold Fields</x:v>
      </x:c>
      <x:c r="C80" s="63" t="str">
        <x:v>SUPPLY_CHAIN_FINANCE</x:v>
      </x:c>
      <x:c r="D80" s="63" t="str">
        <x:v>Supply-chain finance</x:v>
      </x:c>
      <x:c r="E80" s="63" t="str">
        <x:v>TRADE_AND_WORKING_CAPITAL</x:v>
      </x:c>
      <x:c r="F80" s="63" t="str">
        <x:v>ELIGIBLE_FLOW</x:v>
      </x:c>
      <x:c r="G80" s="64" t="b">
        <x:v>1</x:v>
      </x:c>
      <x:c r="H80" s="63" t="str">
        <x:v>SCENARIO_BLOCKED_PENDING_CALIBRATION</x:v>
      </x:c>
      <x:c r="I80" s="63" t="str">
        <x:v>SCENARIO</x:v>
      </x:c>
      <x:c r="J80" s="63" t="str">
        <x:v>E0</x:v>
      </x:c>
      <x:c r="K80" s="81" t="n">
        <x:v>0.6200000000000001</x:v>
      </x:c>
      <x:c r="L80" s="82" t="n">
        <x:v>116631757.60949998</x:v>
      </x:c>
      <x:c r="M80" s="82" t="n">
        <x:v>233263515.21899995</x:v>
      </x:c>
      <x:c r="N80" s="82" t="n">
        <x:v>349895272.8285</x:v>
      </x:c>
      <x:c r="O80" s="63" t="str">
        <x:v>ZAR</x:v>
      </x:c>
      <x:c r="P80" s="81" t="n">
        <x:v>0.2790000000000001</x:v>
      </x:c>
      <x:c r="Q80" s="81" t="n">
        <x:v>0.4650000000000001</x:v>
      </x:c>
      <x:c r="R80" s="63" t="n">
        <x:v>0.6200000000000001</x:v>
      </x:c>
    </x:row>
    <x:row r="81">
      <x:c r="A81" s="63" t="str">
        <x:v>E05</x:v>
      </x:c>
      <x:c r="B81" s="63" t="str">
        <x:v>Gold Fields</x:v>
      </x:c>
      <x:c r="C81" s="63" t="str">
        <x:v>SUSTAINABLE_FINANCE</x:v>
      </x:c>
      <x:c r="D81" s="63" t="str">
        <x:v>Sustainable finance</x:v>
      </x:c>
      <x:c r="E81" s="63" t="str">
        <x:v>CAPITAL_MARKETS</x:v>
      </x:c>
      <x:c r="F81" s="63" t="str">
        <x:v>ELIGIBLE_CAPEX</x:v>
      </x:c>
      <x:c r="G81" s="64" t="b">
        <x:v>0</x:v>
      </x:c>
      <x:c r="H81" s="63" t="str">
        <x:v>FAIL_CLOSED_REQUIRED_INPUT_UNAVAILABLE</x:v>
      </x:c>
      <x:c r="I81" s="63" t="str">
        <x:v>SCENARIO</x:v>
      </x:c>
      <x:c r="J81" s="63" t="str">
        <x:v>E0</x:v>
      </x:c>
      <x:c r="K81" s="81"/>
      <x:c r="L81" s="82"/>
      <x:c r="M81" s="82"/>
      <x:c r="N81" s="82"/>
      <x:c r="O81" s="63"/>
      <x:c r="P81" s="81"/>
      <x:c r="Q81" s="81"/>
      <x:c r="R81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82">
      <x:c r="A82" s="63" t="str">
        <x:v>E05</x:v>
      </x:c>
      <x:c r="B82" s="63" t="str">
        <x:v>Gold Fields</x:v>
      </x:c>
      <x:c r="C82" s="63" t="str">
        <x:v>TERM_AND_SYNDICATED_LENDING</x:v>
      </x:c>
      <x:c r="D82" s="63" t="str">
        <x:v>Term and syndicated lending</x:v>
      </x:c>
      <x:c r="E82" s="63" t="str">
        <x:v>LENDING</x:v>
      </x:c>
      <x:c r="F82" s="63" t="str">
        <x:v>FACILITY_SIZE</x:v>
      </x:c>
      <x:c r="G82" s="64" t="b">
        <x:v>1</x:v>
      </x:c>
      <x:c r="H82" s="63" t="str">
        <x:v>SCENARIO_BLOCKED_PENDING_CALIBRATION</x:v>
      </x:c>
      <x:c r="I82" s="63" t="str">
        <x:v>SCENARIO</x:v>
      </x:c>
      <x:c r="J82" s="63" t="str">
        <x:v>E1</x:v>
      </x:c>
      <x:c r="K82" s="81" t="n">
        <x:v>0.1375</x:v>
      </x:c>
      <x:c r="L82" s="82" t="n">
        <x:v>160.82999999999998</x:v>
      </x:c>
      <x:c r="M82" s="82" t="n">
        <x:v>196.57</x:v>
      </x:c>
      <x:c r="N82" s="82" t="n">
        <x:v>250.17999999999998</x:v>
      </x:c>
      <x:c r="O82" s="63" t="str">
        <x:v>ZAR</x:v>
      </x:c>
      <x:c r="P82" s="81" t="n">
        <x:v>0.061875000000000006</x:v>
      </x:c>
      <x:c r="Q82" s="81" t="n">
        <x:v>0.10312500000000001</x:v>
      </x:c>
      <x:c r="R82" s="63" t="n">
        <x:v>0.1375</x:v>
      </x:c>
    </x:row>
    <x:row r="83">
      <x:c r="A83" s="63" t="str">
        <x:v>E05</x:v>
      </x:c>
      <x:c r="B83" s="63" t="str">
        <x:v>Gold Fields</x:v>
      </x:c>
      <x:c r="C83" s="63" t="str">
        <x:v>TRADE_FINANCE</x:v>
      </x:c>
      <x:c r="D83" s="63" t="str">
        <x:v>Trade finance</x:v>
      </x:c>
      <x:c r="E83" s="63" t="str">
        <x:v>TRADE_AND_WORKING_CAPITAL</x:v>
      </x:c>
      <x:c r="F83" s="63" t="str">
        <x:v>ELIGIBLE_FLOW</x:v>
      </x:c>
      <x:c r="G83" s="64" t="b">
        <x:v>1</x:v>
      </x:c>
      <x:c r="H83" s="63" t="str">
        <x:v>SHADOW_ELIGIBLE_REPRESENTATIVE</x:v>
      </x:c>
      <x:c r="I83" s="63" t="str">
        <x:v>POSTERIOR</x:v>
      </x:c>
      <x:c r="J83" s="63" t="str">
        <x:v>E1</x:v>
      </x:c>
      <x:c r="K83" s="81" t="n">
        <x:v>0.3028183100320137</x:v>
      </x:c>
      <x:c r="L83" s="82" t="n">
        <x:v>1999416842.8440535</x:v>
      </x:c>
      <x:c r="M83" s="82" t="n">
        <x:v>3473252697.268052</x:v>
      </x:c>
      <x:c r="N83" s="82" t="n">
        <x:v>8895188203.301046</x:v>
      </x:c>
      <x:c r="O83" s="63" t="str">
        <x:v>ZAR</x:v>
      </x:c>
      <x:c r="P83" s="81" t="n">
        <x:v>0.12064361147223135</x:v>
      </x:c>
      <x:c r="Q83" s="81" t="n">
        <x:v>0.22673234195539993</x:v>
      </x:c>
      <x:c r="R83" s="63" t="n">
        <x:v>0.3200221448565749</x:v>
      </x:c>
    </x:row>
    <x:row r="84">
      <x:c r="A84" s="63" t="str">
        <x:v>E05</x:v>
      </x:c>
      <x:c r="B84" s="63" t="str">
        <x:v>Gold Fields</x:v>
      </x:c>
      <x:c r="C84" s="63" t="str">
        <x:v>WORKING_CAPITAL_REVOLVING</x:v>
      </x:c>
      <x:c r="D84" s="63" t="str">
        <x:v>Working-capital/revolving credit</x:v>
      </x:c>
      <x:c r="E84" s="63" t="str">
        <x:v>LENDING</x:v>
      </x:c>
      <x:c r="F84" s="63" t="str">
        <x:v>FACILITY_SIZE</x:v>
      </x:c>
      <x:c r="G84" s="64" t="b">
        <x:v>0</x:v>
      </x:c>
      <x:c r="H84" s="63" t="str">
        <x:v>FAIL_CLOSED_REQUIRED_INPUT_UNAVAILABLE</x:v>
      </x:c>
      <x:c r="I84" s="63" t="str">
        <x:v>SCENARIO</x:v>
      </x:c>
      <x:c r="J84" s="63" t="str">
        <x:v>E0</x:v>
      </x:c>
      <x:c r="K84" s="81"/>
      <x:c r="L84" s="82"/>
      <x:c r="M84" s="82"/>
      <x:c r="N84" s="82"/>
      <x:c r="O84" s="63"/>
      <x:c r="P84" s="81"/>
      <x:c r="Q84" s="81"/>
      <x:c r="R84" s="63" t="str">
        <x:v>No positive working-capital gap can be computed from reviewed evidence, so a revolving facility cannot be sized.</x:v>
      </x:c>
    </x:row>
    <x:row r="85">
      <x:c r="A85" s="63" t="str">
        <x:v>E06</x:v>
      </x:c>
      <x:c r="B85" s="63" t="str">
        <x:v>Valterra Platinum</x:v>
      </x:c>
      <x:c r="C85" s="63" t="str">
        <x:v>COLLECTIONS</x:v>
      </x:c>
      <x:c r="D85" s="63" t="str">
        <x:v>Collections</x:v>
      </x:c>
      <x:c r="E85" s="63" t="str">
        <x:v>TRANSACTION_BANKING</x:v>
      </x:c>
      <x:c r="F85" s="63" t="str">
        <x:v>TRANSACTION_WALLET</x:v>
      </x:c>
      <x:c r="G85" s="64" t="b">
        <x:v>1</x:v>
      </x:c>
      <x:c r="H85" s="63" t="str">
        <x:v>SHADOW_ELIGIBLE_REPRESENTATIVE</x:v>
      </x:c>
      <x:c r="I85" s="63" t="str">
        <x:v>POSTERIOR</x:v>
      </x:c>
      <x:c r="J85" s="63" t="str">
        <x:v>E1</x:v>
      </x:c>
      <x:c r="K85" s="81" t="n">
        <x:v>0.00019974249490243898</x:v>
      </x:c>
      <x:c r="L85" s="82" t="n">
        <x:v>804086431.4306871</x:v>
      </x:c>
      <x:c r="M85" s="82" t="n">
        <x:v>1122186984.3410254</x:v>
      </x:c>
      <x:c r="N85" s="82" t="n">
        <x:v>1968594082.1688304</x:v>
      </x:c>
      <x:c r="O85" s="63" t="str">
        <x:v>ZAR</x:v>
      </x:c>
      <x:c r="P85" s="81" t="n">
        <x:v>0.06936072241842661</x:v>
      </x:c>
      <x:c r="Q85" s="81" t="n">
        <x:v>0.1339105350224472</x:v>
      </x:c>
      <x:c r="R85" s="63" t="n">
        <x:v>0.19398312599227885</x:v>
      </x:c>
    </x:row>
    <x:row r="86">
      <x:c r="A86" s="63" t="str">
        <x:v>E06</x:v>
      </x:c>
      <x:c r="B86" s="63" t="str">
        <x:v>Valterra Platinum</x:v>
      </x:c>
      <x:c r="C86" s="63" t="str">
        <x:v>COMMODITY_RISK_MANAGEMENT</x:v>
      </x:c>
      <x:c r="D86" s="63" t="str">
        <x:v>Commodity risk management</x:v>
      </x:c>
      <x:c r="E86" s="63" t="str">
        <x:v>RISK_MANAGEMENT</x:v>
      </x:c>
      <x:c r="F86" s="63" t="str">
        <x:v>EXPOSURE_NOTIONAL</x:v>
      </x:c>
      <x:c r="G86" s="64" t="b">
        <x:v>1</x:v>
      </x:c>
      <x:c r="H86" s="63" t="str">
        <x:v>SCENARIO_BLOCKED_PENDING_CALIBRATION</x:v>
      </x:c>
      <x:c r="I86" s="63" t="str">
        <x:v>SCENARIO</x:v>
      </x:c>
      <x:c r="J86" s="63" t="str">
        <x:v>E0</x:v>
      </x:c>
      <x:c r="K86" s="81" t="n">
        <x:v>0.4775000000000001</x:v>
      </x:c>
      <x:c r="L86" s="82" t="n">
        <x:v>4894095.729757746</x:v>
      </x:c>
      <x:c r="M86" s="82" t="n">
        <x:v>11419556.702768074</x:v>
      </x:c>
      <x:c r="N86" s="82" t="n">
        <x:v>19576382.919030983</x:v>
      </x:c>
      <x:c r="O86" s="63" t="str">
        <x:v>ZAR</x:v>
      </x:c>
      <x:c r="P86" s="81" t="n">
        <x:v>0.21487500000000004</x:v>
      </x:c>
      <x:c r="Q86" s="81" t="n">
        <x:v>0.3581250000000001</x:v>
      </x:c>
      <x:c r="R86" s="63" t="n">
        <x:v>0.4775000000000001</x:v>
      </x:c>
    </x:row>
    <x:row r="87">
      <x:c r="A87" s="63" t="str">
        <x:v>E06</x:v>
      </x:c>
      <x:c r="B87" s="63" t="str">
        <x:v>Valterra Platinum</x:v>
      </x:c>
      <x:c r="C87" s="63" t="str">
        <x:v>CROSS_BORDER_FX</x:v>
      </x:c>
      <x:c r="D87" s="63" t="str">
        <x:v>Cross-border FX</x:v>
      </x:c>
      <x:c r="E87" s="63" t="str">
        <x:v>RISK_MANAGEMENT</x:v>
      </x:c>
      <x:c r="F87" s="63" t="str">
        <x:v>EXPOSURE_NOTIONAL</x:v>
      </x:c>
      <x:c r="G87" s="64" t="b">
        <x:v>1</x:v>
      </x:c>
      <x:c r="H87" s="63" t="str">
        <x:v>SHADOW_ELIGIBLE_REPRESENTATIVE</x:v>
      </x:c>
      <x:c r="I87" s="63" t="str">
        <x:v>POSTERIOR</x:v>
      </x:c>
      <x:c r="J87" s="63" t="str">
        <x:v>E1</x:v>
      </x:c>
      <x:c r="K87" s="81" t="n">
        <x:v>0.011645837973984599</x:v>
      </x:c>
      <x:c r="L87" s="82" t="n">
        <x:v>2372971889.2774</x:v>
      </x:c>
      <x:c r="M87" s="82" t="n">
        <x:v>3740282296.808243</x:v>
      </x:c>
      <x:c r="N87" s="82" t="n">
        <x:v>7503314115.378543</x:v>
      </x:c>
      <x:c r="O87" s="63" t="str">
        <x:v>ZAR</x:v>
      </x:c>
      <x:c r="P87" s="81" t="n">
        <x:v>0.09121648073109634</x:v>
      </x:c>
      <x:c r="Q87" s="81" t="n">
        <x:v>0.17411251510522618</x:v>
      </x:c>
      <x:c r="R87" s="63" t="n">
        <x:v>0.24944706495718394</x:v>
      </x:c>
    </x:row>
    <x:row r="88">
      <x:c r="A88" s="63" t="str">
        <x:v>E06</x:v>
      </x:c>
      <x:c r="B88" s="63" t="str">
        <x:v>Valterra Platinum</x:v>
      </x:c>
      <x:c r="C88" s="63" t="str">
        <x:v>DEBT_CAPITAL_MARKETS</x:v>
      </x:c>
      <x:c r="D88" s="63" t="str">
        <x:v>Debt capital markets</x:v>
      </x:c>
      <x:c r="E88" s="63" t="str">
        <x:v>CAPITAL_MARKETS</x:v>
      </x:c>
      <x:c r="F88" s="63" t="str">
        <x:v>FINANCING_REQUIREMENT</x:v>
      </x:c>
      <x:c r="G88" s="64" t="b">
        <x:v>1</x:v>
      </x:c>
      <x:c r="H88" s="63" t="str">
        <x:v>SCENARIO_BLOCKED_PENDING_CALIBRATION</x:v>
      </x:c>
      <x:c r="I88" s="63" t="str">
        <x:v>SCENARIO</x:v>
      </x:c>
      <x:c r="J88" s="63" t="str">
        <x:v>E1</x:v>
      </x:c>
      <x:c r="K88" s="81" t="n">
        <x:v>0.1375</x:v>
      </x:c>
      <x:c r="L88" s="82" t="n">
        <x:v>3236.8</x:v>
      </x:c>
      <x:c r="M88" s="82" t="n">
        <x:v>4046</x:v>
      </x:c>
      <x:c r="N88" s="82" t="n">
        <x:v>5259.8</x:v>
      </x:c>
      <x:c r="O88" s="63" t="str">
        <x:v>ZAR</x:v>
      </x:c>
      <x:c r="P88" s="81" t="n">
        <x:v>0.061875000000000006</x:v>
      </x:c>
      <x:c r="Q88" s="81" t="n">
        <x:v>0.10312500000000001</x:v>
      </x:c>
      <x:c r="R88" s="63" t="n">
        <x:v>0.1375</x:v>
      </x:c>
    </x:row>
    <x:row r="89">
      <x:c r="A89" s="63" t="str">
        <x:v>E06</x:v>
      </x:c>
      <x:c r="B89" s="63" t="str">
        <x:v>Valterra Platinum</x:v>
      </x:c>
      <x:c r="C89" s="63" t="str">
        <x:v>ESCROW_AND_AGENCY</x:v>
      </x:c>
      <x:c r="D89" s="63" t="str">
        <x:v>Escrow and agency services</x:v>
      </x:c>
      <x:c r="E89" s="63" t="str">
        <x:v>ADVISORY_AND_AGENCY</x:v>
      </x:c>
      <x:c r="F89" s="63" t="str">
        <x:v>EVENT_LINKED_FLOW</x:v>
      </x:c>
      <x:c r="G89" s="64" t="b">
        <x:v>0</x:v>
      </x:c>
      <x:c r="H89" s="63" t="str">
        <x:v>FAIL_CLOSED_REQUIRED_INPUT_UNAVAILABLE</x:v>
      </x:c>
      <x:c r="I89" s="63" t="str">
        <x:v>SCENARIO</x:v>
      </x:c>
      <x:c r="J89" s="63" t="str">
        <x:v>E0</x:v>
      </x:c>
      <x:c r="K89" s="81"/>
      <x:c r="L89" s="82"/>
      <x:c r="M89" s="82"/>
      <x:c r="N89" s="82"/>
      <x:c r="O89" s="63"/>
      <x:c r="P89" s="81"/>
      <x:c r="Q89" s="81"/>
      <x:c r="R89" s="63" t="str">
        <x:v>Escrow and agency flow is event-linked, and no reviewed corporate action or capital-structure event exists for this client.</x:v>
      </x:c>
    </x:row>
    <x:row r="90">
      <x:c r="A90" s="63" t="str">
        <x:v>E06</x:v>
      </x:c>
      <x:c r="B90" s="63" t="str">
        <x:v>Valterra Platinum</x:v>
      </x:c>
      <x:c r="C90" s="63" t="str">
        <x:v>GUARANTEES_AND_LC</x:v>
      </x:c>
      <x:c r="D90" s="63" t="str">
        <x:v>Guarantees and letters of credit</x:v>
      </x:c>
      <x:c r="E90" s="63" t="str">
        <x:v>TRADE_AND_WORKING_CAPITAL</x:v>
      </x:c>
      <x:c r="F90" s="63" t="str">
        <x:v>CONTINGENT_EXPOSURE</x:v>
      </x:c>
      <x:c r="G90" s="64" t="b">
        <x:v>1</x:v>
      </x:c>
      <x:c r="H90" s="63" t="str">
        <x:v>SCENARIO_BLOCKED_PENDING_CALIBRATION</x:v>
      </x:c>
      <x:c r="I90" s="63" t="str">
        <x:v>SCENARIO</x:v>
      </x:c>
      <x:c r="J90" s="63" t="str">
        <x:v>E0</x:v>
      </x:c>
      <x:c r="K90" s="81" t="n">
        <x:v>0.24250000000000002</x:v>
      </x:c>
      <x:c r="L90" s="82" t="n">
        <x:v>2929413.194</x:v>
      </x:c>
      <x:c r="M90" s="82" t="n">
        <x:v>5858826.388</x:v>
      </x:c>
      <x:c r="N90" s="82" t="n">
        <x:v>8788239.581999999</x:v>
      </x:c>
      <x:c r="O90" s="63" t="str">
        <x:v>ZAR</x:v>
      </x:c>
      <x:c r="P90" s="81" t="n">
        <x:v>0.10912500000000001</x:v>
      </x:c>
      <x:c r="Q90" s="81" t="n">
        <x:v>0.181875</x:v>
      </x:c>
      <x:c r="R90" s="63" t="n">
        <x:v>0.24250000000000002</x:v>
      </x:c>
    </x:row>
    <x:row r="91">
      <x:c r="A91" s="63" t="str">
        <x:v>E06</x:v>
      </x:c>
      <x:c r="B91" s="63" t="str">
        <x:v>Valterra Platinum</x:v>
      </x:c>
      <x:c r="C91" s="63" t="str">
        <x:v>INTEREST_RATE_RISK_MANAGEMENT</x:v>
      </x:c>
      <x:c r="D91" s="63" t="str">
        <x:v>Interest-rate risk management</x:v>
      </x:c>
      <x:c r="E91" s="63" t="str">
        <x:v>RISK_MANAGEMENT</x:v>
      </x:c>
      <x:c r="F91" s="63" t="str">
        <x:v>EXPOSURE_NOTIONAL</x:v>
      </x:c>
      <x:c r="G91" s="64" t="b">
        <x:v>1</x:v>
      </x:c>
      <x:c r="H91" s="63" t="str">
        <x:v>SCENARIO_BLOCKED_PENDING_CALIBRATION</x:v>
      </x:c>
      <x:c r="I91" s="63" t="str">
        <x:v>SCENARIO</x:v>
      </x:c>
      <x:c r="J91" s="63" t="str">
        <x:v>E1</x:v>
      </x:c>
      <x:c r="K91" s="81" t="n">
        <x:v>0.29999999999999993</x:v>
      </x:c>
      <x:c r="L91" s="82" t="n">
        <x:v>1213800000</x:v>
      </x:c>
      <x:c r="M91" s="82" t="n">
        <x:v>2225300000</x:v>
      </x:c>
      <x:c r="N91" s="82" t="n">
        <x:v>3236800000</x:v>
      </x:c>
      <x:c r="O91" s="63" t="str">
        <x:v>ZAR</x:v>
      </x:c>
      <x:c r="P91" s="81" t="n">
        <x:v>0.13499999999999998</x:v>
      </x:c>
      <x:c r="Q91" s="81" t="n">
        <x:v>0.22499999999999995</x:v>
      </x:c>
      <x:c r="R91" s="63" t="n">
        <x:v>0.29999999999999993</x:v>
      </x:c>
    </x:row>
    <x:row r="92">
      <x:c r="A92" s="63" t="str">
        <x:v>E06</x:v>
      </x:c>
      <x:c r="B92" s="63" t="str">
        <x:v>Valterra Platinum</x:v>
      </x:c>
      <x:c r="C92" s="63" t="str">
        <x:v>LIQUIDITY_CASH_MANAGEMENT</x:v>
      </x:c>
      <x:c r="D92" s="63" t="str">
        <x:v>Liquidity and cash management</x:v>
      </x:c>
      <x:c r="E92" s="63" t="str">
        <x:v>TRANSACTION_BANKING</x:v>
      </x:c>
      <x:c r="F92" s="63" t="str">
        <x:v>CASH_WALLET</x:v>
      </x:c>
      <x:c r="G92" s="64" t="b">
        <x:v>1</x:v>
      </x:c>
      <x:c r="H92" s="63" t="str">
        <x:v>SHADOW_ELIGIBLE_REPRESENTATIVE</x:v>
      </x:c>
      <x:c r="I92" s="63" t="str">
        <x:v>POSTERIOR</x:v>
      </x:c>
      <x:c r="J92" s="63" t="str">
        <x:v>E1</x:v>
      </x:c>
      <x:c r="K92" s="81" t="n">
        <x:v>0.0001731910936222035</x:v>
      </x:c>
      <x:c r="L92" s="82" t="n">
        <x:v>396347770.37580377</x:v>
      </x:c>
      <x:c r="M92" s="82" t="n">
        <x:v>651799134.9502738</x:v>
      </x:c>
      <x:c r="N92" s="82" t="n">
        <x:v>1395723906.0869794</x:v>
      </x:c>
      <x:c r="O92" s="63" t="str">
        <x:v>ZAR</x:v>
      </x:c>
      <x:c r="P92" s="81" t="n">
        <x:v>0.07520139231712253</x:v>
      </x:c>
      <x:c r="Q92" s="81" t="n">
        <x:v>0.14474753522781125</x:v>
      </x:c>
      <x:c r="R92" s="63" t="n">
        <x:v>0.20906371136133062</x:v>
      </x:c>
    </x:row>
    <x:row r="93">
      <x:c r="A93" s="63" t="str">
        <x:v>E06</x:v>
      </x:c>
      <x:c r="B93" s="63" t="str">
        <x:v>Valterra Platinum</x:v>
      </x:c>
      <x:c r="C93" s="63" t="str">
        <x:v>MA_AND_STRATEGIC_ADVISORY</x:v>
      </x:c>
      <x:c r="D93" s="63" t="str">
        <x:v>M&amp;A and strategic advisory</x:v>
      </x:c>
      <x:c r="E93" s="63" t="str">
        <x:v>ADVISORY_AND_AGENCY</x:v>
      </x:c>
      <x:c r="F93" s="63" t="str">
        <x:v>TRANSACTION_SIZE</x:v>
      </x:c>
      <x:c r="G93" s="64" t="b">
        <x:v>0</x:v>
      </x:c>
      <x:c r="H93" s="63" t="str">
        <x:v>FAIL_CLOSED_REQUIRED_INPUT_UNAVAILABLE</x:v>
      </x:c>
      <x:c r="I93" s="63" t="str">
        <x:v>SCENARIO</x:v>
      </x:c>
      <x:c r="J93" s="63" t="str">
        <x:v>E0</x:v>
      </x:c>
      <x:c r="K93" s="81"/>
      <x:c r="L93" s="82"/>
      <x:c r="M93" s="82"/>
      <x:c r="N93" s="82"/>
      <x:c r="O93" s="63"/>
      <x:c r="P93" s="81"/>
      <x:c r="Q93" s="81"/>
      <x:c r="R93" s="63" t="str">
        <x:v>No announced or reviewed transaction evidence exists, so no mandate probability or transaction size can be estimated.</x:v>
      </x:c>
    </x:row>
    <x:row r="94">
      <x:c r="A94" s="63" t="str">
        <x:v>E06</x:v>
      </x:c>
      <x:c r="B94" s="63" t="str">
        <x:v>Valterra Platinum</x:v>
      </x:c>
      <x:c r="C94" s="63" t="str">
        <x:v>PAYMENTS</x:v>
      </x:c>
      <x:c r="D94" s="63" t="str">
        <x:v>Payments</x:v>
      </x:c>
      <x:c r="E94" s="63" t="str">
        <x:v>TRANSACTION_BANKING</x:v>
      </x:c>
      <x:c r="F94" s="63" t="str">
        <x:v>TRANSACTION_WALLET</x:v>
      </x:c>
      <x:c r="G94" s="64" t="b">
        <x:v>1</x:v>
      </x:c>
      <x:c r="H94" s="63" t="str">
        <x:v>SHADOW_ELIGIBLE_REPRESENTATIVE</x:v>
      </x:c>
      <x:c r="I94" s="63" t="str">
        <x:v>POSTERIOR</x:v>
      </x:c>
      <x:c r="J94" s="63" t="str">
        <x:v>E1</x:v>
      </x:c>
      <x:c r="K94" s="81" t="n">
        <x:v>0.00020053584904615953</x:v>
      </x:c>
      <x:c r="L94" s="82" t="n">
        <x:v>461017678.55118036</x:v>
      </x:c>
      <x:c r="M94" s="82" t="n">
        <x:v>667665543.6961656</x:v>
      </x:c>
      <x:c r="N94" s="82" t="n">
        <x:v>1171973149.8791301</x:v>
      </x:c>
      <x:c r="O94" s="63" t="str">
        <x:v>ZAR</x:v>
      </x:c>
      <x:c r="P94" s="81" t="n">
        <x:v>0.08984555709521624</x:v>
      </x:c>
      <x:c r="Q94" s="81" t="n">
        <x:v>0.17161889006068276</x:v>
      </x:c>
      <x:c r="R94" s="63" t="n">
        <x:v>0.24604525237033426</x:v>
      </x:c>
    </x:row>
    <x:row r="95">
      <x:c r="A95" s="63" t="str">
        <x:v>E06</x:v>
      </x:c>
      <x:c r="B95" s="63" t="str">
        <x:v>Valterra Platinum</x:v>
      </x:c>
      <x:c r="C95" s="63" t="str">
        <x:v>PROJECT_FINANCE</x:v>
      </x:c>
      <x:c r="D95" s="63" t="str">
        <x:v>Project finance</x:v>
      </x:c>
      <x:c r="E95" s="63" t="str">
        <x:v>LENDING</x:v>
      </x:c>
      <x:c r="F95" s="63" t="str">
        <x:v>PROJECT_FUNDING_REQUIREMENT</x:v>
      </x:c>
      <x:c r="G95" s="64" t="b">
        <x:v>0</x:v>
      </x:c>
      <x:c r="H95" s="63" t="str">
        <x:v>FAIL_CLOSED_REQUIRED_INPUT_UNAVAILABLE</x:v>
      </x:c>
      <x:c r="I95" s="63" t="str">
        <x:v>SCENARIO</x:v>
      </x:c>
      <x:c r="J95" s="63" t="str">
        <x:v>E0</x:v>
      </x:c>
      <x:c r="K95" s="81"/>
      <x:c r="L95" s="82"/>
      <x:c r="M95" s="82"/>
      <x:c r="N95" s="82"/>
      <x:c r="O95" s="63"/>
      <x:c r="P95" s="81"/>
      <x:c r="Q95" s="81"/>
      <x:c r="R95" s="63" t="str">
        <x:v>No reviewed project, SPV or ring-fenced cash-flow evidence exists for this client. Project finance cannot be sized from a sector assumption, and SPV ownership is never inferred from name similarity.</x:v>
      </x:c>
    </x:row>
    <x:row r="96">
      <x:c r="A96" s="63" t="str">
        <x:v>E06</x:v>
      </x:c>
      <x:c r="B96" s="63" t="str">
        <x:v>Valterra Platinum</x:v>
      </x:c>
      <x:c r="C96" s="63" t="str">
        <x:v>SUPPLY_CHAIN_FINANCE</x:v>
      </x:c>
      <x:c r="D96" s="63" t="str">
        <x:v>Supply-chain finance</x:v>
      </x:c>
      <x:c r="E96" s="63" t="str">
        <x:v>TRADE_AND_WORKING_CAPITAL</x:v>
      </x:c>
      <x:c r="F96" s="63" t="str">
        <x:v>ELIGIBLE_FLOW</x:v>
      </x:c>
      <x:c r="G96" s="64" t="b">
        <x:v>1</x:v>
      </x:c>
      <x:c r="H96" s="63" t="str">
        <x:v>SCENARIO_BLOCKED_PENDING_CALIBRATION</x:v>
      </x:c>
      <x:c r="I96" s="63" t="str">
        <x:v>SCENARIO</x:v>
      </x:c>
      <x:c r="J96" s="63" t="str">
        <x:v>E0</x:v>
      </x:c>
      <x:c r="K96" s="81" t="n">
        <x:v>0.4275</x:v>
      </x:c>
      <x:c r="L96" s="82" t="n">
        <x:v>2591917.0065</x:v>
      </x:c>
      <x:c r="M96" s="82" t="n">
        <x:v>5183834.013</x:v>
      </x:c>
      <x:c r="N96" s="82" t="n">
        <x:v>7775751.0195</x:v>
      </x:c>
      <x:c r="O96" s="63" t="str">
        <x:v>ZAR</x:v>
      </x:c>
      <x:c r="P96" s="81" t="n">
        <x:v>0.192375</x:v>
      </x:c>
      <x:c r="Q96" s="81" t="n">
        <x:v>0.320625</x:v>
      </x:c>
      <x:c r="R96" s="63" t="n">
        <x:v>0.4275</x:v>
      </x:c>
    </x:row>
    <x:row r="97">
      <x:c r="A97" s="63" t="str">
        <x:v>E06</x:v>
      </x:c>
      <x:c r="B97" s="63" t="str">
        <x:v>Valterra Platinum</x:v>
      </x:c>
      <x:c r="C97" s="63" t="str">
        <x:v>SUSTAINABLE_FINANCE</x:v>
      </x:c>
      <x:c r="D97" s="63" t="str">
        <x:v>Sustainable finance</x:v>
      </x:c>
      <x:c r="E97" s="63" t="str">
        <x:v>CAPITAL_MARKETS</x:v>
      </x:c>
      <x:c r="F97" s="63" t="str">
        <x:v>ELIGIBLE_CAPEX</x:v>
      </x:c>
      <x:c r="G97" s="64" t="b">
        <x:v>0</x:v>
      </x:c>
      <x:c r="H97" s="63" t="str">
        <x:v>FAIL_CLOSED_REQUIRED_INPUT_UNAVAILABLE</x:v>
      </x:c>
      <x:c r="I97" s="63" t="str">
        <x:v>SCENARIO</x:v>
      </x:c>
      <x:c r="J97" s="63" t="str">
        <x:v>E0</x:v>
      </x:c>
      <x:c r="K97" s="81"/>
      <x:c r="L97" s="82"/>
      <x:c r="M97" s="82"/>
      <x:c r="N97" s="82"/>
      <x:c r="O97" s="63"/>
      <x:c r="P97" s="81"/>
      <x:c r="Q97" s="81"/>
      <x:c r="R97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98">
      <x:c r="A98" s="63" t="str">
        <x:v>E06</x:v>
      </x:c>
      <x:c r="B98" s="63" t="str">
        <x:v>Valterra Platinum</x:v>
      </x:c>
      <x:c r="C98" s="63" t="str">
        <x:v>TERM_AND_SYNDICATED_LENDING</x:v>
      </x:c>
      <x:c r="D98" s="63" t="str">
        <x:v>Term and syndicated lending</x:v>
      </x:c>
      <x:c r="E98" s="63" t="str">
        <x:v>LENDING</x:v>
      </x:c>
      <x:c r="F98" s="63" t="str">
        <x:v>FACILITY_SIZE</x:v>
      </x:c>
      <x:c r="G98" s="64" t="b">
        <x:v>1</x:v>
      </x:c>
      <x:c r="H98" s="63" t="str">
        <x:v>SCENARIO_BLOCKED_PENDING_CALIBRATION</x:v>
      </x:c>
      <x:c r="I98" s="63" t="str">
        <x:v>SCENARIO</x:v>
      </x:c>
      <x:c r="J98" s="63" t="str">
        <x:v>E1</x:v>
      </x:c>
      <x:c r="K98" s="81" t="n">
        <x:v>0.1375</x:v>
      </x:c>
      <x:c r="L98" s="82" t="n">
        <x:v>3641.4</x:v>
      </x:c>
      <x:c r="M98" s="82" t="n">
        <x:v>4450.6</x:v>
      </x:c>
      <x:c r="N98" s="82" t="n">
        <x:v>5664.4</x:v>
      </x:c>
      <x:c r="O98" s="63" t="str">
        <x:v>ZAR</x:v>
      </x:c>
      <x:c r="P98" s="81" t="n">
        <x:v>0.061875000000000006</x:v>
      </x:c>
      <x:c r="Q98" s="81" t="n">
        <x:v>0.10312500000000001</x:v>
      </x:c>
      <x:c r="R98" s="63" t="n">
        <x:v>0.1375</x:v>
      </x:c>
    </x:row>
    <x:row r="99">
      <x:c r="A99" s="63" t="str">
        <x:v>E06</x:v>
      </x:c>
      <x:c r="B99" s="63" t="str">
        <x:v>Valterra Platinum</x:v>
      </x:c>
      <x:c r="C99" s="63" t="str">
        <x:v>TRADE_FINANCE</x:v>
      </x:c>
      <x:c r="D99" s="63" t="str">
        <x:v>Trade finance</x:v>
      </x:c>
      <x:c r="E99" s="63" t="str">
        <x:v>TRADE_AND_WORKING_CAPITAL</x:v>
      </x:c>
      <x:c r="F99" s="63" t="str">
        <x:v>ELIGIBLE_FLOW</x:v>
      </x:c>
      <x:c r="G99" s="64" t="b">
        <x:v>1</x:v>
      </x:c>
      <x:c r="H99" s="63" t="str">
        <x:v>SHADOW_ELIGIBLE_REPRESENTATIVE</x:v>
      </x:c>
      <x:c r="I99" s="63" t="str">
        <x:v>POSTERIOR</x:v>
      </x:c>
      <x:c r="J99" s="63" t="str">
        <x:v>E1</x:v>
      </x:c>
      <x:c r="K99" s="81" t="n">
        <x:v>0.1407661332084376</x:v>
      </x:c>
      <x:c r="L99" s="82" t="n">
        <x:v>561430171.1401772</x:v>
      </x:c>
      <x:c r="M99" s="82" t="n">
        <x:v>997004898.4243308</x:v>
      </x:c>
      <x:c r="N99" s="82" t="n">
        <x:v>2563193105.0171576</x:v>
      </x:c>
      <x:c r="O99" s="63" t="str">
        <x:v>ZAR</x:v>
      </x:c>
      <x:c r="P99" s="81" t="n">
        <x:v>0.15108235815520676</x:v>
      </x:c>
      <x:c r="Q99" s="81" t="n">
        <x:v>0.27933883736467546</x:v>
      </x:c>
      <x:c r="R99" s="63" t="n">
        <x:v>0.3882180252464933</x:v>
      </x:c>
    </x:row>
    <x:row r="100">
      <x:c r="A100" s="63" t="str">
        <x:v>E06</x:v>
      </x:c>
      <x:c r="B100" s="63" t="str">
        <x:v>Valterra Platinum</x:v>
      </x:c>
      <x:c r="C100" s="63" t="str">
        <x:v>WORKING_CAPITAL_REVOLVING</x:v>
      </x:c>
      <x:c r="D100" s="63" t="str">
        <x:v>Working-capital/revolving credit</x:v>
      </x:c>
      <x:c r="E100" s="63" t="str">
        <x:v>LENDING</x:v>
      </x:c>
      <x:c r="F100" s="63" t="str">
        <x:v>FACILITY_SIZE</x:v>
      </x:c>
      <x:c r="G100" s="64" t="b">
        <x:v>0</x:v>
      </x:c>
      <x:c r="H100" s="63" t="str">
        <x:v>FAIL_CLOSED_REQUIRED_INPUT_UNAVAILABLE</x:v>
      </x:c>
      <x:c r="I100" s="63" t="str">
        <x:v>SCENARIO</x:v>
      </x:c>
      <x:c r="J100" s="63" t="str">
        <x:v>E0</x:v>
      </x:c>
      <x:c r="K100" s="81"/>
      <x:c r="L100" s="82"/>
      <x:c r="M100" s="82"/>
      <x:c r="N100" s="82"/>
      <x:c r="O100" s="63"/>
      <x:c r="P100" s="81"/>
      <x:c r="Q100" s="81"/>
      <x:c r="R100" s="63" t="str">
        <x:v>No positive working-capital gap can be computed from reviewed evidence, so a revolving facility cannot be sized.</x:v>
      </x:c>
    </x:row>
    <x:row r="101">
      <x:c r="A101" s="63" t="str">
        <x:v>E07</x:v>
      </x:c>
      <x:c r="B101" s="63" t="str">
        <x:v>OUTsurance Group</x:v>
      </x:c>
      <x:c r="C101" s="63" t="str">
        <x:v>COLLECTIONS</x:v>
      </x:c>
      <x:c r="D101" s="63" t="str">
        <x:v>Collections</x:v>
      </x:c>
      <x:c r="E101" s="63" t="str">
        <x:v>TRANSACTION_BANKING</x:v>
      </x:c>
      <x:c r="F101" s="63" t="str">
        <x:v>TRANSACTION_WALLET</x:v>
      </x:c>
      <x:c r="G101" s="64" t="b">
        <x:v>1</x:v>
      </x:c>
      <x:c r="H101" s="63" t="str">
        <x:v>SHADOW_ELIGIBLE_REPRESENTATIVE</x:v>
      </x:c>
      <x:c r="I101" s="63" t="str">
        <x:v>POSTERIOR</x:v>
      </x:c>
      <x:c r="J101" s="63" t="str">
        <x:v>E1</x:v>
      </x:c>
      <x:c r="K101" s="81" t="n">
        <x:v>0.0052258841867625265</x:v>
      </x:c>
      <x:c r="L101" s="82" t="n">
        <x:v>1182440529.8656363</x:v>
      </x:c>
      <x:c r="M101" s="82" t="n">
        <x:v>1674319477.3315916</x:v>
      </x:c>
      <x:c r="N101" s="82" t="n">
        <x:v>2845547549.9313593</x:v>
      </x:c>
      <x:c r="O101" s="63" t="str">
        <x:v>ZAR</x:v>
      </x:c>
      <x:c r="P101" s="81" t="n">
        <x:v>0.09510432546222736</x:v>
      </x:c>
      <x:c r="Q101" s="81" t="n">
        <x:v>0.18116381820282945</x:v>
      </x:c>
      <x:c r="R101" s="63" t="n">
        <x:v>0.2590386809367151</x:v>
      </x:c>
    </x:row>
    <x:row r="102">
      <x:c r="A102" s="63" t="str">
        <x:v>E07</x:v>
      </x:c>
      <x:c r="B102" s="63" t="str">
        <x:v>OUTsurance Group</x:v>
      </x:c>
      <x:c r="C102" s="63" t="str">
        <x:v>COMMODITY_RISK_MANAGEMENT</x:v>
      </x:c>
      <x:c r="D102" s="63" t="str">
        <x:v>Commodity risk management</x:v>
      </x:c>
      <x:c r="E102" s="63" t="str">
        <x:v>RISK_MANAGEMENT</x:v>
      </x:c>
      <x:c r="F102" s="63" t="str">
        <x:v>EXPOSURE_NOTIONAL</x:v>
      </x:c>
      <x:c r="G102" s="64" t="b">
        <x:v>0</x:v>
      </x:c>
      <x:c r="H102" s="63" t="str">
        <x:v>FAIL_CLOSED_REQUIRED_INPUT_UNAVAILABLE</x:v>
      </x:c>
      <x:c r="I102" s="63" t="str">
        <x:v>SCENARIO</x:v>
      </x:c>
      <x:c r="J102" s="63" t="str">
        <x:v>E0</x:v>
      </x:c>
      <x:c r="K102" s="81"/>
      <x:c r="L102" s="82"/>
      <x:c r="M102" s="82"/>
      <x:c r="N102" s="82"/>
      <x:c r="O102" s="63"/>
      <x:c r="P102" s="81"/>
      <x:c r="Q102" s="81"/>
      <x:c r="R102" s="63" t="str">
        <x:v>The insurance sector carries no governed commodity price linkage, so a hedgeable commodity notional cannot be asserted.</x:v>
      </x:c>
    </x:row>
    <x:row r="103">
      <x:c r="A103" s="63" t="str">
        <x:v>E07</x:v>
      </x:c>
      <x:c r="B103" s="63" t="str">
        <x:v>OUTsurance Group</x:v>
      </x:c>
      <x:c r="C103" s="63" t="str">
        <x:v>CROSS_BORDER_FX</x:v>
      </x:c>
      <x:c r="D103" s="63" t="str">
        <x:v>Cross-border FX</x:v>
      </x:c>
      <x:c r="E103" s="63" t="str">
        <x:v>RISK_MANAGEMENT</x:v>
      </x:c>
      <x:c r="F103" s="63" t="str">
        <x:v>EXPOSURE_NOTIONAL</x:v>
      </x:c>
      <x:c r="G103" s="64" t="b">
        <x:v>1</x:v>
      </x:c>
      <x:c r="H103" s="63" t="str">
        <x:v>SHADOW_ELIGIBLE_REPRESENTATIVE</x:v>
      </x:c>
      <x:c r="I103" s="63" t="str">
        <x:v>POSTERIOR</x:v>
      </x:c>
      <x:c r="J103" s="63" t="str">
        <x:v>E1</x:v>
      </x:c>
      <x:c r="K103" s="81" t="n">
        <x:v>0.2388260830694665</x:v>
      </x:c>
      <x:c r="L103" s="82" t="n">
        <x:v>2853868409.2356515</x:v>
      </x:c>
      <x:c r="M103" s="82" t="n">
        <x:v>4677591449.951759</x:v>
      </x:c>
      <x:c r="N103" s="82" t="n">
        <x:v>9546467601.910973</x:v>
      </x:c>
      <x:c r="O103" s="63" t="str">
        <x:v>ZAR</x:v>
      </x:c>
      <x:c r="P103" s="81" t="n">
        <x:v>0.09959518130057943</x:v>
      </x:c>
      <x:c r="Q103" s="81" t="n">
        <x:v>0.18927116246286357</x:v>
      </x:c>
      <x:c r="R103" s="63" t="n">
        <x:v>0.27001584802298273</x:v>
      </x:c>
    </x:row>
    <x:row r="104">
      <x:c r="A104" s="63" t="str">
        <x:v>E07</x:v>
      </x:c>
      <x:c r="B104" s="63" t="str">
        <x:v>OUTsurance Group</x:v>
      </x:c>
      <x:c r="C104" s="63" t="str">
        <x:v>DEBT_CAPITAL_MARKETS</x:v>
      </x:c>
      <x:c r="D104" s="63" t="str">
        <x:v>Debt capital markets</x:v>
      </x:c>
      <x:c r="E104" s="63" t="str">
        <x:v>CAPITAL_MARKETS</x:v>
      </x:c>
      <x:c r="F104" s="63" t="str">
        <x:v>FINANCING_REQUIREMENT</x:v>
      </x:c>
      <x:c r="G104" s="64" t="b">
        <x:v>0</x:v>
      </x:c>
      <x:c r="H104" s="63" t="str">
        <x:v>FAIL_CLOSED_REQUIRED_INPUT_UNAVAILABLE</x:v>
      </x:c>
      <x:c r="I104" s="63" t="str">
        <x:v>SCENARIO</x:v>
      </x:c>
      <x:c r="J104" s="63" t="str">
        <x:v>E0</x:v>
      </x:c>
      <x:c r="K104" s="81"/>
      <x:c r="L104" s="82"/>
      <x:c r="M104" s="82"/>
      <x:c r="N104" s="82"/>
      <x:c r="O104" s="63"/>
      <x:c r="P104" s="81"/>
      <x:c r="Q104" s="81"/>
      <x:c r="R104" s="63" t="str">
        <x:v>No disclosed financing requirement exists, so a DCM mandate cannot be sized.</x:v>
      </x:c>
    </x:row>
    <x:row r="105">
      <x:c r="A105" s="63" t="str">
        <x:v>E07</x:v>
      </x:c>
      <x:c r="B105" s="63" t="str">
        <x:v>OUTsurance Group</x:v>
      </x:c>
      <x:c r="C105" s="63" t="str">
        <x:v>ESCROW_AND_AGENCY</x:v>
      </x:c>
      <x:c r="D105" s="63" t="str">
        <x:v>Escrow and agency services</x:v>
      </x:c>
      <x:c r="E105" s="63" t="str">
        <x:v>ADVISORY_AND_AGENCY</x:v>
      </x:c>
      <x:c r="F105" s="63" t="str">
        <x:v>EVENT_LINKED_FLOW</x:v>
      </x:c>
      <x:c r="G105" s="64" t="b">
        <x:v>0</x:v>
      </x:c>
      <x:c r="H105" s="63" t="str">
        <x:v>FAIL_CLOSED_REQUIRED_INPUT_UNAVAILABLE</x:v>
      </x:c>
      <x:c r="I105" s="63" t="str">
        <x:v>SCENARIO</x:v>
      </x:c>
      <x:c r="J105" s="63" t="str">
        <x:v>E0</x:v>
      </x:c>
      <x:c r="K105" s="81"/>
      <x:c r="L105" s="82"/>
      <x:c r="M105" s="82"/>
      <x:c r="N105" s="82"/>
      <x:c r="O105" s="63"/>
      <x:c r="P105" s="81"/>
      <x:c r="Q105" s="81"/>
      <x:c r="R105" s="63" t="str">
        <x:v>Escrow and agency flow is event-linked, and no reviewed corporate action or capital-structure event exists for this client.</x:v>
      </x:c>
    </x:row>
    <x:row r="106">
      <x:c r="A106" s="63" t="str">
        <x:v>E07</x:v>
      </x:c>
      <x:c r="B106" s="63" t="str">
        <x:v>OUTsurance Group</x:v>
      </x:c>
      <x:c r="C106" s="63" t="str">
        <x:v>GUARANTEES_AND_LC</x:v>
      </x:c>
      <x:c r="D106" s="63" t="str">
        <x:v>Guarantees and letters of credit</x:v>
      </x:c>
      <x:c r="E106" s="63" t="str">
        <x:v>TRADE_AND_WORKING_CAPITAL</x:v>
      </x:c>
      <x:c r="F106" s="63" t="str">
        <x:v>CONTINGENT_EXPOSURE</x:v>
      </x:c>
      <x:c r="G106" s="64" t="b">
        <x:v>1</x:v>
      </x:c>
      <x:c r="H106" s="63" t="str">
        <x:v>SCENARIO_BLOCKED_PENDING_CALIBRATION</x:v>
      </x:c>
      <x:c r="I106" s="63" t="str">
        <x:v>SCENARIO</x:v>
      </x:c>
      <x:c r="J106" s="63" t="str">
        <x:v>E0</x:v>
      </x:c>
      <x:c r="K106" s="81" t="n">
        <x:v>0.24250000000000002</x:v>
      </x:c>
      <x:c r="L106" s="82" t="n">
        <x:v>2563062.8430000003</x:v>
      </x:c>
      <x:c r="M106" s="82" t="n">
        <x:v>5126125.686000001</x:v>
      </x:c>
      <x:c r="N106" s="82" t="n">
        <x:v>7689188.528999999</x:v>
      </x:c>
      <x:c r="O106" s="63" t="str">
        <x:v>ZAR</x:v>
      </x:c>
      <x:c r="P106" s="81" t="n">
        <x:v>0.10912500000000001</x:v>
      </x:c>
      <x:c r="Q106" s="81" t="n">
        <x:v>0.181875</x:v>
      </x:c>
      <x:c r="R106" s="63" t="n">
        <x:v>0.24250000000000002</x:v>
      </x:c>
    </x:row>
    <x:row r="107">
      <x:c r="A107" s="63" t="str">
        <x:v>E07</x:v>
      </x:c>
      <x:c r="B107" s="63" t="str">
        <x:v>OUTsurance Group</x:v>
      </x:c>
      <x:c r="C107" s="63" t="str">
        <x:v>INTEREST_RATE_RISK_MANAGEMENT</x:v>
      </x:c>
      <x:c r="D107" s="63" t="str">
        <x:v>Interest-rate risk management</x:v>
      </x:c>
      <x:c r="E107" s="63" t="str">
        <x:v>RISK_MANAGEMENT</x:v>
      </x:c>
      <x:c r="F107" s="63" t="str">
        <x:v>EXPOSURE_NOTIONAL</x:v>
      </x:c>
      <x:c r="G107" s="64" t="b">
        <x:v>0</x:v>
      </x:c>
      <x:c r="H107" s="63" t="str">
        <x:v>FAIL_CLOSED_REQUIRED_INPUT_UNAVAILABLE</x:v>
      </x:c>
      <x:c r="I107" s="63" t="str">
        <x:v>SCENARIO</x:v>
      </x:c>
      <x:c r="J107" s="63" t="str">
        <x:v>E0</x:v>
      </x:c>
      <x:c r="K107" s="81"/>
      <x:c r="L107" s="82"/>
      <x:c r="M107" s="82"/>
      <x:c r="N107" s="82"/>
      <x:c r="O107" s="63"/>
      <x:c r="P107" s="81"/>
      <x:c r="Q107" s="81"/>
      <x:c r="R107" s="63" t="str">
        <x:v>No disclosed debt balance exists, so a hedgeable rate notional cannot be bounded.</x:v>
      </x:c>
    </x:row>
    <x:row r="108">
      <x:c r="A108" s="63" t="str">
        <x:v>E07</x:v>
      </x:c>
      <x:c r="B108" s="63" t="str">
        <x:v>OUTsurance Group</x:v>
      </x:c>
      <x:c r="C108" s="63" t="str">
        <x:v>LIQUIDITY_CASH_MANAGEMENT</x:v>
      </x:c>
      <x:c r="D108" s="63" t="str">
        <x:v>Liquidity and cash management</x:v>
      </x:c>
      <x:c r="E108" s="63" t="str">
        <x:v>TRANSACTION_BANKING</x:v>
      </x:c>
      <x:c r="F108" s="63" t="str">
        <x:v>CASH_WALLET</x:v>
      </x:c>
      <x:c r="G108" s="64" t="b">
        <x:v>1</x:v>
      </x:c>
      <x:c r="H108" s="63" t="str">
        <x:v>SHADOW_ELIGIBLE_REPRESENTATIVE</x:v>
      </x:c>
      <x:c r="I108" s="63" t="str">
        <x:v>POSTERIOR</x:v>
      </x:c>
      <x:c r="J108" s="63" t="str">
        <x:v>E1</x:v>
      </x:c>
      <x:c r="K108" s="81" t="n">
        <x:v>0.015055738863333785</x:v>
      </x:c>
      <x:c r="L108" s="82" t="n">
        <x:v>1295308861.4604504</x:v>
      </x:c>
      <x:c r="M108" s="82" t="n">
        <x:v>2060048058.7381887</x:v>
      </x:c>
      <x:c r="N108" s="82" t="n">
        <x:v>4678432599.072606</x:v>
      </x:c>
      <x:c r="O108" s="63" t="str">
        <x:v>ZAR</x:v>
      </x:c>
      <x:c r="P108" s="81" t="n">
        <x:v>0.10292114897675064</x:v>
      </x:c>
      <x:c r="Q108" s="81" t="n">
        <x:v>0.19524953504680687</x:v>
      </x:c>
      <x:c r="R108" s="63" t="n">
        <x:v>0.27807537753936384</x:v>
      </x:c>
    </x:row>
    <x:row r="109">
      <x:c r="A109" s="63" t="str">
        <x:v>E07</x:v>
      </x:c>
      <x:c r="B109" s="63" t="str">
        <x:v>OUTsurance Group</x:v>
      </x:c>
      <x:c r="C109" s="63" t="str">
        <x:v>MA_AND_STRATEGIC_ADVISORY</x:v>
      </x:c>
      <x:c r="D109" s="63" t="str">
        <x:v>M&amp;A and strategic advisory</x:v>
      </x:c>
      <x:c r="E109" s="63" t="str">
        <x:v>ADVISORY_AND_AGENCY</x:v>
      </x:c>
      <x:c r="F109" s="63" t="str">
        <x:v>TRANSACTION_SIZE</x:v>
      </x:c>
      <x:c r="G109" s="64" t="b">
        <x:v>0</x:v>
      </x:c>
      <x:c r="H109" s="63" t="str">
        <x:v>FAIL_CLOSED_REQUIRED_INPUT_UNAVAILABLE</x:v>
      </x:c>
      <x:c r="I109" s="63" t="str">
        <x:v>SCENARIO</x:v>
      </x:c>
      <x:c r="J109" s="63" t="str">
        <x:v>E0</x:v>
      </x:c>
      <x:c r="K109" s="81"/>
      <x:c r="L109" s="82"/>
      <x:c r="M109" s="82"/>
      <x:c r="N109" s="82"/>
      <x:c r="O109" s="63"/>
      <x:c r="P109" s="81"/>
      <x:c r="Q109" s="81"/>
      <x:c r="R109" s="63" t="str">
        <x:v>No announced or reviewed transaction evidence exists, so no mandate probability or transaction size can be estimated.</x:v>
      </x:c>
    </x:row>
    <x:row r="110">
      <x:c r="A110" s="63" t="str">
        <x:v>E07</x:v>
      </x:c>
      <x:c r="B110" s="63" t="str">
        <x:v>OUTsurance Group</x:v>
      </x:c>
      <x:c r="C110" s="63" t="str">
        <x:v>PAYMENTS</x:v>
      </x:c>
      <x:c r="D110" s="63" t="str">
        <x:v>Payments</x:v>
      </x:c>
      <x:c r="E110" s="63" t="str">
        <x:v>TRANSACTION_BANKING</x:v>
      </x:c>
      <x:c r="F110" s="63" t="str">
        <x:v>TRANSACTION_WALLET</x:v>
      </x:c>
      <x:c r="G110" s="64" t="b">
        <x:v>1</x:v>
      </x:c>
      <x:c r="H110" s="63" t="str">
        <x:v>SHADOW_ELIGIBLE_REPRESENTATIVE</x:v>
      </x:c>
      <x:c r="I110" s="63" t="str">
        <x:v>POSTERIOR</x:v>
      </x:c>
      <x:c r="J110" s="63" t="str">
        <x:v>E1</x:v>
      </x:c>
      <x:c r="K110" s="81" t="n">
        <x:v>0.02984340148004895</x:v>
      </x:c>
      <x:c r="L110" s="82" t="n">
        <x:v>1591450045.8361835</x:v>
      </x:c>
      <x:c r="M110" s="82" t="n">
        <x:v>2315434686.9740953</x:v>
      </x:c>
      <x:c r="N110" s="82" t="n">
        <x:v>4031698302.1357164</x:v>
      </x:c>
      <x:c r="O110" s="63" t="str">
        <x:v>ZAR</x:v>
      </x:c>
      <x:c r="P110" s="81" t="n">
        <x:v>0.10727112907832015</x:v>
      </x:c>
      <x:c r="Q110" s="81" t="n">
        <x:v>0.2030351630229027</x:v>
      </x:c>
      <x:c r="R110" s="63" t="n">
        <x:v>0.2885264809211553</x:v>
      </x:c>
    </x:row>
    <x:row r="111">
      <x:c r="A111" s="63" t="str">
        <x:v>E07</x:v>
      </x:c>
      <x:c r="B111" s="63" t="str">
        <x:v>OUTsurance Group</x:v>
      </x:c>
      <x:c r="C111" s="63" t="str">
        <x:v>PROJECT_FINANCE</x:v>
      </x:c>
      <x:c r="D111" s="63" t="str">
        <x:v>Project finance</x:v>
      </x:c>
      <x:c r="E111" s="63" t="str">
        <x:v>LENDING</x:v>
      </x:c>
      <x:c r="F111" s="63" t="str">
        <x:v>PROJECT_FUNDING_REQUIREMENT</x:v>
      </x:c>
      <x:c r="G111" s="64" t="b">
        <x:v>0</x:v>
      </x:c>
      <x:c r="H111" s="63" t="str">
        <x:v>FAIL_CLOSED_REQUIRED_INPUT_UNAVAILABLE</x:v>
      </x:c>
      <x:c r="I111" s="63" t="str">
        <x:v>SCENARIO</x:v>
      </x:c>
      <x:c r="J111" s="63" t="str">
        <x:v>E0</x:v>
      </x:c>
      <x:c r="K111" s="81"/>
      <x:c r="L111" s="82"/>
      <x:c r="M111" s="82"/>
      <x:c r="N111" s="82"/>
      <x:c r="O111" s="63"/>
      <x:c r="P111" s="81"/>
      <x:c r="Q111" s="81"/>
      <x:c r="R111" s="63" t="str">
        <x:v>No reviewed project, SPV or ring-fenced cash-flow evidence exists for this client. Project finance cannot be sized from a sector assumption, and SPV ownership is never inferred from name similarity.</x:v>
      </x:c>
    </x:row>
    <x:row r="112">
      <x:c r="A112" s="63" t="str">
        <x:v>E07</x:v>
      </x:c>
      <x:c r="B112" s="63" t="str">
        <x:v>OUTsurance Group</x:v>
      </x:c>
      <x:c r="C112" s="63" t="str">
        <x:v>SUPPLY_CHAIN_FINANCE</x:v>
      </x:c>
      <x:c r="D112" s="63" t="str">
        <x:v>Supply-chain finance</x:v>
      </x:c>
      <x:c r="E112" s="63" t="str">
        <x:v>TRADE_AND_WORKING_CAPITAL</x:v>
      </x:c>
      <x:c r="F112" s="63" t="str">
        <x:v>ELIGIBLE_FLOW</x:v>
      </x:c>
      <x:c r="G112" s="64" t="b">
        <x:v>1</x:v>
      </x:c>
      <x:c r="H112" s="63" t="str">
        <x:v>SCENARIO_BLOCKED_PENDING_CALIBRATION</x:v>
      </x:c>
      <x:c r="I112" s="63" t="str">
        <x:v>SCENARIO</x:v>
      </x:c>
      <x:c r="J112" s="63" t="str">
        <x:v>E0</x:v>
      </x:c>
      <x:c r="K112" s="81" t="n">
        <x:v>0.48250000000000015</x:v>
      </x:c>
      <x:c r="L112" s="82" t="n">
        <x:v>32973400.901999995</x:v>
      </x:c>
      <x:c r="M112" s="82" t="n">
        <x:v>65946801.80399999</x:v>
      </x:c>
      <x:c r="N112" s="82" t="n">
        <x:v>98920202.70599999</x:v>
      </x:c>
      <x:c r="O112" s="63" t="str">
        <x:v>ZAR</x:v>
      </x:c>
      <x:c r="P112" s="81" t="n">
        <x:v>0.21712500000000007</x:v>
      </x:c>
      <x:c r="Q112" s="81" t="n">
        <x:v>0.3618750000000001</x:v>
      </x:c>
      <x:c r="R112" s="63" t="n">
        <x:v>0.48250000000000015</x:v>
      </x:c>
    </x:row>
    <x:row r="113">
      <x:c r="A113" s="63" t="str">
        <x:v>E07</x:v>
      </x:c>
      <x:c r="B113" s="63" t="str">
        <x:v>OUTsurance Group</x:v>
      </x:c>
      <x:c r="C113" s="63" t="str">
        <x:v>SUSTAINABLE_FINANCE</x:v>
      </x:c>
      <x:c r="D113" s="63" t="str">
        <x:v>Sustainable finance</x:v>
      </x:c>
      <x:c r="E113" s="63" t="str">
        <x:v>CAPITAL_MARKETS</x:v>
      </x:c>
      <x:c r="F113" s="63" t="str">
        <x:v>ELIGIBLE_CAPEX</x:v>
      </x:c>
      <x:c r="G113" s="64" t="b">
        <x:v>0</x:v>
      </x:c>
      <x:c r="H113" s="63" t="str">
        <x:v>FAIL_CLOSED_REQUIRED_INPUT_UNAVAILABLE</x:v>
      </x:c>
      <x:c r="I113" s="63" t="str">
        <x:v>SCENARIO</x:v>
      </x:c>
      <x:c r="J113" s="63" t="str">
        <x:v>E0</x:v>
      </x:c>
      <x:c r="K113" s="81"/>
      <x:c r="L113" s="82"/>
      <x:c r="M113" s="82"/>
      <x:c r="N113" s="82"/>
      <x:c r="O113" s="63"/>
      <x:c r="P113" s="81"/>
      <x:c r="Q113" s="81"/>
      <x:c r="R113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14">
      <x:c r="A114" s="63" t="str">
        <x:v>E07</x:v>
      </x:c>
      <x:c r="B114" s="63" t="str">
        <x:v>OUTsurance Group</x:v>
      </x:c>
      <x:c r="C114" s="63" t="str">
        <x:v>TERM_AND_SYNDICATED_LENDING</x:v>
      </x:c>
      <x:c r="D114" s="63" t="str">
        <x:v>Term and syndicated lending</x:v>
      </x:c>
      <x:c r="E114" s="63" t="str">
        <x:v>LENDING</x:v>
      </x:c>
      <x:c r="F114" s="63" t="str">
        <x:v>FACILITY_SIZE</x:v>
      </x:c>
      <x:c r="G114" s="64" t="b">
        <x:v>0</x:v>
      </x:c>
      <x:c r="H114" s="63" t="str">
        <x:v>FAIL_CLOSED_REQUIRED_INPUT_UNAVAILABLE</x:v>
      </x:c>
      <x:c r="I114" s="63" t="str">
        <x:v>SCENARIO</x:v>
      </x:c>
      <x:c r="J114" s="63" t="str">
        <x:v>E0</x:v>
      </x:c>
      <x:c r="K114" s="81"/>
      <x:c r="L114" s="82"/>
      <x:c r="M114" s="82"/>
      <x:c r="N114" s="82"/>
      <x:c r="O114" s="63"/>
      <x:c r="P114" s="81"/>
      <x:c r="Q114" s="81"/>
      <x:c r="R114" s="63" t="str">
        <x:v>No maturing debt or refinancing exposure is disclosed, so a term facility cannot be sized.</x:v>
      </x:c>
    </x:row>
    <x:row r="115">
      <x:c r="A115" s="63" t="str">
        <x:v>E07</x:v>
      </x:c>
      <x:c r="B115" s="63" t="str">
        <x:v>OUTsurance Group</x:v>
      </x:c>
      <x:c r="C115" s="63" t="str">
        <x:v>TRADE_FINANCE</x:v>
      </x:c>
      <x:c r="D115" s="63" t="str">
        <x:v>Trade finance</x:v>
      </x:c>
      <x:c r="E115" s="63" t="str">
        <x:v>TRADE_AND_WORKING_CAPITAL</x:v>
      </x:c>
      <x:c r="F115" s="63" t="str">
        <x:v>ELIGIBLE_FLOW</x:v>
      </x:c>
      <x:c r="G115" s="64" t="b">
        <x:v>1</x:v>
      </x:c>
      <x:c r="H115" s="63" t="str">
        <x:v>SHADOW_ELIGIBLE_REPRESENTATIVE</x:v>
      </x:c>
      <x:c r="I115" s="63" t="str">
        <x:v>POSTERIOR</x:v>
      </x:c>
      <x:c r="J115" s="63" t="str">
        <x:v>E1</x:v>
      </x:c>
      <x:c r="K115" s="81" t="n">
        <x:v>0.005582327657240019</x:v>
      </x:c>
      <x:c r="L115" s="82" t="n">
        <x:v>161273963.94364962</x:v>
      </x:c>
      <x:c r="M115" s="82" t="n">
        <x:v>284497019.4335298</x:v>
      </x:c>
      <x:c r="N115" s="82" t="n">
        <x:v>745620353.9319158</x:v>
      </x:c>
      <x:c r="O115" s="63" t="str">
        <x:v>ZAR</x:v>
      </x:c>
      <x:c r="P115" s="81" t="n">
        <x:v>0.10619136787687966</x:v>
      </x:c>
      <x:c r="Q115" s="81" t="n">
        <x:v>0.2011061291421965</x:v>
      </x:c>
      <x:c r="R115" s="63" t="n">
        <x:v>0.2859417620770418</x:v>
      </x:c>
    </x:row>
    <x:row r="116">
      <x:c r="A116" s="63" t="str">
        <x:v>E07</x:v>
      </x:c>
      <x:c r="B116" s="63" t="str">
        <x:v>OUTsurance Group</x:v>
      </x:c>
      <x:c r="C116" s="63" t="str">
        <x:v>WORKING_CAPITAL_REVOLVING</x:v>
      </x:c>
      <x:c r="D116" s="63" t="str">
        <x:v>Working-capital/revolving credit</x:v>
      </x:c>
      <x:c r="E116" s="63" t="str">
        <x:v>LENDING</x:v>
      </x:c>
      <x:c r="F116" s="63" t="str">
        <x:v>FACILITY_SIZE</x:v>
      </x:c>
      <x:c r="G116" s="64" t="b">
        <x:v>0</x:v>
      </x:c>
      <x:c r="H116" s="63" t="str">
        <x:v>FAIL_CLOSED_REQUIRED_INPUT_UNAVAILABLE</x:v>
      </x:c>
      <x:c r="I116" s="63" t="str">
        <x:v>SCENARIO</x:v>
      </x:c>
      <x:c r="J116" s="63" t="str">
        <x:v>E0</x:v>
      </x:c>
      <x:c r="K116" s="81"/>
      <x:c r="L116" s="82"/>
      <x:c r="M116" s="82"/>
      <x:c r="N116" s="82"/>
      <x:c r="O116" s="63"/>
      <x:c r="P116" s="81"/>
      <x:c r="Q116" s="81"/>
      <x:c r="R116" s="63" t="str">
        <x:v>No positive working-capital gap can be computed from reviewed evidence, so a revolving facility cannot be sized.</x:v>
      </x:c>
    </x:row>
    <x:row r="117">
      <x:c r="A117" s="63" t="str">
        <x:v>E08</x:v>
      </x:c>
      <x:c r="B117" s="63" t="str">
        <x:v>Sanlam</x:v>
      </x:c>
      <x:c r="C117" s="63" t="str">
        <x:v>COLLECTIONS</x:v>
      </x:c>
      <x:c r="D117" s="63" t="str">
        <x:v>Collections</x:v>
      </x:c>
      <x:c r="E117" s="63" t="str">
        <x:v>TRANSACTION_BANKING</x:v>
      </x:c>
      <x:c r="F117" s="63" t="str">
        <x:v>TRANSACTION_WALLET</x:v>
      </x:c>
      <x:c r="G117" s="64" t="b">
        <x:v>1</x:v>
      </x:c>
      <x:c r="H117" s="63" t="str">
        <x:v>SHADOW_ELIGIBLE_REPRESENTATIVE</x:v>
      </x:c>
      <x:c r="I117" s="63" t="str">
        <x:v>POSTERIOR</x:v>
      </x:c>
      <x:c r="J117" s="63" t="str">
        <x:v>E1</x:v>
      </x:c>
      <x:c r="K117" s="81" t="n">
        <x:v>1</x:v>
      </x:c>
      <x:c r="L117" s="82" t="n">
        <x:v>20296991587.883163</x:v>
      </x:c>
      <x:c r="M117" s="82" t="n">
        <x:v>28549113412.041687</x:v>
      </x:c>
      <x:c r="N117" s="82" t="n">
        <x:v>49655358530.65684</x:v>
      </x:c>
      <x:c r="O117" s="63" t="str">
        <x:v>ZAR</x:v>
      </x:c>
      <x:c r="P117" s="81" t="n">
        <x:v>0.09755495079499976</x:v>
      </x:c>
      <x:c r="Q117" s="81" t="n">
        <x:v>0.1855929331653846</x:v>
      </x:c>
      <x:c r="R117" s="63" t="n">
        <x:v>0.26504237449753565</x:v>
      </x:c>
    </x:row>
    <x:row r="118">
      <x:c r="A118" s="63" t="str">
        <x:v>E08</x:v>
      </x:c>
      <x:c r="B118" s="63" t="str">
        <x:v>Sanlam</x:v>
      </x:c>
      <x:c r="C118" s="63" t="str">
        <x:v>COMMODITY_RISK_MANAGEMENT</x:v>
      </x:c>
      <x:c r="D118" s="63" t="str">
        <x:v>Commodity risk management</x:v>
      </x:c>
      <x:c r="E118" s="63" t="str">
        <x:v>RISK_MANAGEMENT</x:v>
      </x:c>
      <x:c r="F118" s="63" t="str">
        <x:v>EXPOSURE_NOTIONAL</x:v>
      </x:c>
      <x:c r="G118" s="64" t="b">
        <x:v>0</x:v>
      </x:c>
      <x:c r="H118" s="63" t="str">
        <x:v>FAIL_CLOSED_REQUIRED_INPUT_UNAVAILABLE</x:v>
      </x:c>
      <x:c r="I118" s="63" t="str">
        <x:v>SCENARIO</x:v>
      </x:c>
      <x:c r="J118" s="63" t="str">
        <x:v>E0</x:v>
      </x:c>
      <x:c r="K118" s="81"/>
      <x:c r="L118" s="82"/>
      <x:c r="M118" s="82"/>
      <x:c r="N118" s="82"/>
      <x:c r="O118" s="63"/>
      <x:c r="P118" s="81"/>
      <x:c r="Q118" s="81"/>
      <x:c r="R118" s="63" t="str">
        <x:v>The insurance sector carries no governed commodity price linkage, so a hedgeable commodity notional cannot be asserted.</x:v>
      </x:c>
    </x:row>
    <x:row r="119">
      <x:c r="A119" s="63" t="str">
        <x:v>E08</x:v>
      </x:c>
      <x:c r="B119" s="63" t="str">
        <x:v>Sanlam</x:v>
      </x:c>
      <x:c r="C119" s="63" t="str">
        <x:v>CROSS_BORDER_FX</x:v>
      </x:c>
      <x:c r="D119" s="63" t="str">
        <x:v>Cross-border FX</x:v>
      </x:c>
      <x:c r="E119" s="63" t="str">
        <x:v>RISK_MANAGEMENT</x:v>
      </x:c>
      <x:c r="F119" s="63" t="str">
        <x:v>EXPOSURE_NOTIONAL</x:v>
      </x:c>
      <x:c r="G119" s="64" t="b">
        <x:v>1</x:v>
      </x:c>
      <x:c r="H119" s="63" t="str">
        <x:v>SHADOW_ELIGIBLE_REPRESENTATIVE</x:v>
      </x:c>
      <x:c r="I119" s="63" t="str">
        <x:v>POSTERIOR</x:v>
      </x:c>
      <x:c r="J119" s="63" t="str">
        <x:v>E1</x:v>
      </x:c>
      <x:c r="K119" s="81" t="n">
        <x:v>0.6937682345057904</x:v>
      </x:c>
      <x:c r="L119" s="82" t="n">
        <x:v>6998575543.609166</x:v>
      </x:c>
      <x:c r="M119" s="82" t="n">
        <x:v>11388917525.427177</x:v>
      </x:c>
      <x:c r="N119" s="82" t="n">
        <x:v>23691774372.01037</x:v>
      </x:c>
      <x:c r="O119" s="63" t="str">
        <x:v>ZAR</x:v>
      </x:c>
      <x:c r="P119" s="81" t="n">
        <x:v>0.10189828124351852</x:v>
      </x:c>
      <x:c r="Q119" s="81" t="n">
        <x:v>0.19341330276665392</x:v>
      </x:c>
      <x:c r="R119" s="63" t="n">
        <x:v>0.27560310088861817</x:v>
      </x:c>
    </x:row>
    <x:row r="120">
      <x:c r="A120" s="63" t="str">
        <x:v>E08</x:v>
      </x:c>
      <x:c r="B120" s="63" t="str">
        <x:v>Sanlam</x:v>
      </x:c>
      <x:c r="C120" s="63" t="str">
        <x:v>DEBT_CAPITAL_MARKETS</x:v>
      </x:c>
      <x:c r="D120" s="63" t="str">
        <x:v>Debt capital markets</x:v>
      </x:c>
      <x:c r="E120" s="63" t="str">
        <x:v>CAPITAL_MARKETS</x:v>
      </x:c>
      <x:c r="F120" s="63" t="str">
        <x:v>FINANCING_REQUIREMENT</x:v>
      </x:c>
      <x:c r="G120" s="64" t="b">
        <x:v>0</x:v>
      </x:c>
      <x:c r="H120" s="63" t="str">
        <x:v>FAIL_CLOSED_REQUIRED_INPUT_UNAVAILABLE</x:v>
      </x:c>
      <x:c r="I120" s="63" t="str">
        <x:v>SCENARIO</x:v>
      </x:c>
      <x:c r="J120" s="63" t="str">
        <x:v>E0</x:v>
      </x:c>
      <x:c r="K120" s="81"/>
      <x:c r="L120" s="82"/>
      <x:c r="M120" s="82"/>
      <x:c r="N120" s="82"/>
      <x:c r="O120" s="63"/>
      <x:c r="P120" s="81"/>
      <x:c r="Q120" s="81"/>
      <x:c r="R120" s="63" t="str">
        <x:v>No disclosed financing requirement exists, so a DCM mandate cannot be sized.</x:v>
      </x:c>
    </x:row>
    <x:row r="121">
      <x:c r="A121" s="63" t="str">
        <x:v>E08</x:v>
      </x:c>
      <x:c r="B121" s="63" t="str">
        <x:v>Sanlam</x:v>
      </x:c>
      <x:c r="C121" s="63" t="str">
        <x:v>ESCROW_AND_AGENCY</x:v>
      </x:c>
      <x:c r="D121" s="63" t="str">
        <x:v>Escrow and agency services</x:v>
      </x:c>
      <x:c r="E121" s="63" t="str">
        <x:v>ADVISORY_AND_AGENCY</x:v>
      </x:c>
      <x:c r="F121" s="63" t="str">
        <x:v>EVENT_LINKED_FLOW</x:v>
      </x:c>
      <x:c r="G121" s="64" t="b">
        <x:v>0</x:v>
      </x:c>
      <x:c r="H121" s="63" t="str">
        <x:v>FAIL_CLOSED_REQUIRED_INPUT_UNAVAILABLE</x:v>
      </x:c>
      <x:c r="I121" s="63" t="str">
        <x:v>SCENARIO</x:v>
      </x:c>
      <x:c r="J121" s="63" t="str">
        <x:v>E0</x:v>
      </x:c>
      <x:c r="K121" s="81"/>
      <x:c r="L121" s="82"/>
      <x:c r="M121" s="82"/>
      <x:c r="N121" s="82"/>
      <x:c r="O121" s="63"/>
      <x:c r="P121" s="81"/>
      <x:c r="Q121" s="81"/>
      <x:c r="R121" s="63" t="str">
        <x:v>Escrow and agency flow is event-linked, and no reviewed corporate action or capital-structure event exists for this client.</x:v>
      </x:c>
    </x:row>
    <x:row r="122">
      <x:c r="A122" s="63" t="str">
        <x:v>E08</x:v>
      </x:c>
      <x:c r="B122" s="63" t="str">
        <x:v>Sanlam</x:v>
      </x:c>
      <x:c r="C122" s="63" t="str">
        <x:v>GUARANTEES_AND_LC</x:v>
      </x:c>
      <x:c r="D122" s="63" t="str">
        <x:v>Guarantees and letters of credit</x:v>
      </x:c>
      <x:c r="E122" s="63" t="str">
        <x:v>TRADE_AND_WORKING_CAPITAL</x:v>
      </x:c>
      <x:c r="F122" s="63" t="str">
        <x:v>CONTINGENT_EXPOSURE</x:v>
      </x:c>
      <x:c r="G122" s="64" t="b">
        <x:v>1</x:v>
      </x:c>
      <x:c r="H122" s="63" t="str">
        <x:v>SCENARIO_BLOCKED_PENDING_CALIBRATION</x:v>
      </x:c>
      <x:c r="I122" s="63" t="str">
        <x:v>SCENARIO</x:v>
      </x:c>
      <x:c r="J122" s="63" t="str">
        <x:v>E0</x:v>
      </x:c>
      <x:c r="K122" s="81" t="n">
        <x:v>0.24250000000000002</x:v>
      </x:c>
      <x:c r="L122" s="82" t="n">
        <x:v>2130107.572</x:v>
      </x:c>
      <x:c r="M122" s="82" t="n">
        <x:v>4260215.144</x:v>
      </x:c>
      <x:c r="N122" s="82" t="n">
        <x:v>6390322.715999999</x:v>
      </x:c>
      <x:c r="O122" s="63" t="str">
        <x:v>ZAR</x:v>
      </x:c>
      <x:c r="P122" s="81" t="n">
        <x:v>0.10912500000000001</x:v>
      </x:c>
      <x:c r="Q122" s="81" t="n">
        <x:v>0.181875</x:v>
      </x:c>
      <x:c r="R122" s="63" t="n">
        <x:v>0.24250000000000002</x:v>
      </x:c>
    </x:row>
    <x:row r="123">
      <x:c r="A123" s="63" t="str">
        <x:v>E08</x:v>
      </x:c>
      <x:c r="B123" s="63" t="str">
        <x:v>Sanlam</x:v>
      </x:c>
      <x:c r="C123" s="63" t="str">
        <x:v>INTEREST_RATE_RISK_MANAGEMENT</x:v>
      </x:c>
      <x:c r="D123" s="63" t="str">
        <x:v>Interest-rate risk management</x:v>
      </x:c>
      <x:c r="E123" s="63" t="str">
        <x:v>RISK_MANAGEMENT</x:v>
      </x:c>
      <x:c r="F123" s="63" t="str">
        <x:v>EXPOSURE_NOTIONAL</x:v>
      </x:c>
      <x:c r="G123" s="64" t="b">
        <x:v>1</x:v>
      </x:c>
      <x:c r="H123" s="63" t="str">
        <x:v>SCENARIO_BLOCKED_PENDING_CALIBRATION</x:v>
      </x:c>
      <x:c r="I123" s="63" t="str">
        <x:v>SCENARIO</x:v>
      </x:c>
      <x:c r="J123" s="63" t="str">
        <x:v>E1</x:v>
      </x:c>
      <x:c r="K123" s="81" t="n">
        <x:v>0.6275</x:v>
      </x:c>
      <x:c r="L123" s="82" t="n">
        <x:v>5930700000</x:v>
      </x:c>
      <x:c r="M123" s="82" t="n">
        <x:v>10872950000</x:v>
      </x:c>
      <x:c r="N123" s="82" t="n">
        <x:v>15815200000</x:v>
      </x:c>
      <x:c r="O123" s="63" t="str">
        <x:v>ZAR</x:v>
      </x:c>
      <x:c r="P123" s="81" t="n">
        <x:v>0.282375</x:v>
      </x:c>
      <x:c r="Q123" s="81" t="n">
        <x:v>0.47062499999999996</x:v>
      </x:c>
      <x:c r="R123" s="63" t="n">
        <x:v>0.6275</x:v>
      </x:c>
    </x:row>
    <x:row r="124">
      <x:c r="A124" s="63" t="str">
        <x:v>E08</x:v>
      </x:c>
      <x:c r="B124" s="63" t="str">
        <x:v>Sanlam</x:v>
      </x:c>
      <x:c r="C124" s="63" t="str">
        <x:v>LIQUIDITY_CASH_MANAGEMENT</x:v>
      </x:c>
      <x:c r="D124" s="63" t="str">
        <x:v>Liquidity and cash management</x:v>
      </x:c>
      <x:c r="E124" s="63" t="str">
        <x:v>TRANSACTION_BANKING</x:v>
      </x:c>
      <x:c r="F124" s="63" t="str">
        <x:v>CASH_WALLET</x:v>
      </x:c>
      <x:c r="G124" s="64" t="b">
        <x:v>1</x:v>
      </x:c>
      <x:c r="H124" s="63" t="str">
        <x:v>SHADOW_ELIGIBLE_REPRESENTATIVE</x:v>
      </x:c>
      <x:c r="I124" s="63" t="str">
        <x:v>POSTERIOR</x:v>
      </x:c>
      <x:c r="J124" s="63" t="str">
        <x:v>E1</x:v>
      </x:c>
      <x:c r="K124" s="81" t="n">
        <x:v>1</x:v>
      </x:c>
      <x:c r="L124" s="82" t="n">
        <x:v>26628956068.956432</x:v>
      </x:c>
      <x:c r="M124" s="82" t="n">
        <x:v>42711259304.7835</x:v>
      </x:c>
      <x:c r="N124" s="82" t="n">
        <x:v>94019918862.29227</x:v>
      </x:c>
      <x:c r="O124" s="63" t="str">
        <x:v>ZAR</x:v>
      </x:c>
      <x:c r="P124" s="81" t="n">
        <x:v>0.0999512099257629</x:v>
      </x:c>
      <x:c r="Q124" s="81" t="n">
        <x:v>0.18991217548590178</x:v>
      </x:c>
      <x:c r="R124" s="63" t="n">
        <x:v>0.27088143369221496</x:v>
      </x:c>
    </x:row>
    <x:row r="125">
      <x:c r="A125" s="63" t="str">
        <x:v>E08</x:v>
      </x:c>
      <x:c r="B125" s="63" t="str">
        <x:v>Sanlam</x:v>
      </x:c>
      <x:c r="C125" s="63" t="str">
        <x:v>MA_AND_STRATEGIC_ADVISORY</x:v>
      </x:c>
      <x:c r="D125" s="63" t="str">
        <x:v>M&amp;A and strategic advisory</x:v>
      </x:c>
      <x:c r="E125" s="63" t="str">
        <x:v>ADVISORY_AND_AGENCY</x:v>
      </x:c>
      <x:c r="F125" s="63" t="str">
        <x:v>TRANSACTION_SIZE</x:v>
      </x:c>
      <x:c r="G125" s="64" t="b">
        <x:v>0</x:v>
      </x:c>
      <x:c r="H125" s="63" t="str">
        <x:v>FAIL_CLOSED_REQUIRED_INPUT_UNAVAILABLE</x:v>
      </x:c>
      <x:c r="I125" s="63" t="str">
        <x:v>SCENARIO</x:v>
      </x:c>
      <x:c r="J125" s="63" t="str">
        <x:v>E0</x:v>
      </x:c>
      <x:c r="K125" s="81"/>
      <x:c r="L125" s="82"/>
      <x:c r="M125" s="82"/>
      <x:c r="N125" s="82"/>
      <x:c r="O125" s="63"/>
      <x:c r="P125" s="81"/>
      <x:c r="Q125" s="81"/>
      <x:c r="R125" s="63" t="str">
        <x:v>No announced or reviewed transaction evidence exists, so no mandate probability or transaction size can be estimated.</x:v>
      </x:c>
    </x:row>
    <x:row r="126">
      <x:c r="A126" s="63" t="str">
        <x:v>E08</x:v>
      </x:c>
      <x:c r="B126" s="63" t="str">
        <x:v>Sanlam</x:v>
      </x:c>
      <x:c r="C126" s="63" t="str">
        <x:v>PAYMENTS</x:v>
      </x:c>
      <x:c r="D126" s="63" t="str">
        <x:v>Payments</x:v>
      </x:c>
      <x:c r="E126" s="63" t="str">
        <x:v>TRANSACTION_BANKING</x:v>
      </x:c>
      <x:c r="F126" s="63" t="str">
        <x:v>TRANSACTION_WALLET</x:v>
      </x:c>
      <x:c r="G126" s="64" t="b">
        <x:v>1</x:v>
      </x:c>
      <x:c r="H126" s="63" t="str">
        <x:v>SHADOW_ELIGIBLE_REPRESENTATIVE</x:v>
      </x:c>
      <x:c r="I126" s="63" t="str">
        <x:v>POSTERIOR</x:v>
      </x:c>
      <x:c r="J126" s="63" t="str">
        <x:v>E1</x:v>
      </x:c>
      <x:c r="K126" s="81" t="n">
        <x:v>1</x:v>
      </x:c>
      <x:c r="L126" s="82" t="n">
        <x:v>32363858512.770927</x:v>
      </x:c>
      <x:c r="M126" s="82" t="n">
        <x:v>46779499549.13422</x:v>
      </x:c>
      <x:c r="N126" s="82" t="n">
        <x:v>83264563899.91599</x:v>
      </x:c>
      <x:c r="O126" s="63" t="str">
        <x:v>ZAR</x:v>
      </x:c>
      <x:c r="P126" s="81" t="n">
        <x:v>0.10115899095104719</x:v>
      </x:c>
      <x:c r="Q126" s="81" t="n">
        <x:v>0.19208484045186047</x:v>
      </x:c>
      <x:c r="R126" s="63" t="n">
        <x:v>0.2738127227658046</x:v>
      </x:c>
    </x:row>
    <x:row r="127">
      <x:c r="A127" s="63" t="str">
        <x:v>E08</x:v>
      </x:c>
      <x:c r="B127" s="63" t="str">
        <x:v>Sanlam</x:v>
      </x:c>
      <x:c r="C127" s="63" t="str">
        <x:v>PROJECT_FINANCE</x:v>
      </x:c>
      <x:c r="D127" s="63" t="str">
        <x:v>Project finance</x:v>
      </x:c>
      <x:c r="E127" s="63" t="str">
        <x:v>LENDING</x:v>
      </x:c>
      <x:c r="F127" s="63" t="str">
        <x:v>PROJECT_FUNDING_REQUIREMENT</x:v>
      </x:c>
      <x:c r="G127" s="64" t="b">
        <x:v>0</x:v>
      </x:c>
      <x:c r="H127" s="63" t="str">
        <x:v>FAIL_CLOSED_REQUIRED_INPUT_UNAVAILABLE</x:v>
      </x:c>
      <x:c r="I127" s="63" t="str">
        <x:v>SCENARIO</x:v>
      </x:c>
      <x:c r="J127" s="63" t="str">
        <x:v>E0</x:v>
      </x:c>
      <x:c r="K127" s="81"/>
      <x:c r="L127" s="82"/>
      <x:c r="M127" s="82"/>
      <x:c r="N127" s="82"/>
      <x:c r="O127" s="63"/>
      <x:c r="P127" s="81"/>
      <x:c r="Q127" s="81"/>
      <x:c r="R127" s="63" t="str">
        <x:v>No reviewed project, SPV or ring-fenced cash-flow evidence exists for this client. Project finance cannot be sized from a sector assumption, and SPV ownership is never inferred from name similarity.</x:v>
      </x:c>
    </x:row>
    <x:row r="128">
      <x:c r="A128" s="63" t="str">
        <x:v>E08</x:v>
      </x:c>
      <x:c r="B128" s="63" t="str">
        <x:v>Sanlam</x:v>
      </x:c>
      <x:c r="C128" s="63" t="str">
        <x:v>SUPPLY_CHAIN_FINANCE</x:v>
      </x:c>
      <x:c r="D128" s="63" t="str">
        <x:v>Supply-chain finance</x:v>
      </x:c>
      <x:c r="E128" s="63" t="str">
        <x:v>TRADE_AND_WORKING_CAPITAL</x:v>
      </x:c>
      <x:c r="F128" s="63" t="str">
        <x:v>ELIGIBLE_FLOW</x:v>
      </x:c>
      <x:c r="G128" s="64" t="b">
        <x:v>1</x:v>
      </x:c>
      <x:c r="H128" s="63" t="str">
        <x:v>SCENARIO_BLOCKED_PENDING_CALIBRATION</x:v>
      </x:c>
      <x:c r="I128" s="63" t="str">
        <x:v>SCENARIO</x:v>
      </x:c>
      <x:c r="J128" s="63" t="str">
        <x:v>E0</x:v>
      </x:c>
      <x:c r="K128" s="81" t="n">
        <x:v>0.29000000000000004</x:v>
      </x:c>
      <x:c r="L128" s="82" t="n">
        <x:v>2019872699.9339986</x:v>
      </x:c>
      <x:c r="M128" s="82" t="n">
        <x:v>4039745399.867997</x:v>
      </x:c>
      <x:c r="N128" s="82" t="n">
        <x:v>6059618099.801996</x:v>
      </x:c>
      <x:c r="O128" s="63" t="str">
        <x:v>ZAR</x:v>
      </x:c>
      <x:c r="P128" s="81" t="n">
        <x:v>0.13050000000000003</x:v>
      </x:c>
      <x:c r="Q128" s="81" t="n">
        <x:v>0.21750000000000003</x:v>
      </x:c>
      <x:c r="R128" s="63" t="n">
        <x:v>0.29000000000000004</x:v>
      </x:c>
    </x:row>
    <x:row r="129">
      <x:c r="A129" s="63" t="str">
        <x:v>E08</x:v>
      </x:c>
      <x:c r="B129" s="63" t="str">
        <x:v>Sanlam</x:v>
      </x:c>
      <x:c r="C129" s="63" t="str">
        <x:v>SUSTAINABLE_FINANCE</x:v>
      </x:c>
      <x:c r="D129" s="63" t="str">
        <x:v>Sustainable finance</x:v>
      </x:c>
      <x:c r="E129" s="63" t="str">
        <x:v>CAPITAL_MARKETS</x:v>
      </x:c>
      <x:c r="F129" s="63" t="str">
        <x:v>ELIGIBLE_CAPEX</x:v>
      </x:c>
      <x:c r="G129" s="64" t="b">
        <x:v>0</x:v>
      </x:c>
      <x:c r="H129" s="63" t="str">
        <x:v>FAIL_CLOSED_REQUIRED_INPUT_UNAVAILABLE</x:v>
      </x:c>
      <x:c r="I129" s="63" t="str">
        <x:v>SCENARIO</x:v>
      </x:c>
      <x:c r="J129" s="63" t="str">
        <x:v>E0</x:v>
      </x:c>
      <x:c r="K129" s="81"/>
      <x:c r="L129" s="82"/>
      <x:c r="M129" s="82"/>
      <x:c r="N129" s="82"/>
      <x:c r="O129" s="63"/>
      <x:c r="P129" s="81"/>
      <x:c r="Q129" s="81"/>
      <x:c r="R129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30">
      <x:c r="A130" s="63" t="str">
        <x:v>E08</x:v>
      </x:c>
      <x:c r="B130" s="63" t="str">
        <x:v>Sanlam</x:v>
      </x:c>
      <x:c r="C130" s="63" t="str">
        <x:v>TERM_AND_SYNDICATED_LENDING</x:v>
      </x:c>
      <x:c r="D130" s="63" t="str">
        <x:v>Term and syndicated lending</x:v>
      </x:c>
      <x:c r="E130" s="63" t="str">
        <x:v>LENDING</x:v>
      </x:c>
      <x:c r="F130" s="63" t="str">
        <x:v>FACILITY_SIZE</x:v>
      </x:c>
      <x:c r="G130" s="64" t="b">
        <x:v>0</x:v>
      </x:c>
      <x:c r="H130" s="63" t="str">
        <x:v>FAIL_CLOSED_REQUIRED_INPUT_UNAVAILABLE</x:v>
      </x:c>
      <x:c r="I130" s="63" t="str">
        <x:v>SCENARIO</x:v>
      </x:c>
      <x:c r="J130" s="63" t="str">
        <x:v>E0</x:v>
      </x:c>
      <x:c r="K130" s="81"/>
      <x:c r="L130" s="82"/>
      <x:c r="M130" s="82"/>
      <x:c r="N130" s="82"/>
      <x:c r="O130" s="63"/>
      <x:c r="P130" s="81"/>
      <x:c r="Q130" s="81"/>
      <x:c r="R130" s="63" t="str">
        <x:v>Disclosed liquidity already exceeds maturing debt, so no term financing requirement is identified.</x:v>
      </x:c>
    </x:row>
    <x:row r="131">
      <x:c r="A131" s="63" t="str">
        <x:v>E08</x:v>
      </x:c>
      <x:c r="B131" s="63" t="str">
        <x:v>Sanlam</x:v>
      </x:c>
      <x:c r="C131" s="63" t="str">
        <x:v>TRADE_FINANCE</x:v>
      </x:c>
      <x:c r="D131" s="63" t="str">
        <x:v>Trade finance</x:v>
      </x:c>
      <x:c r="E131" s="63" t="str">
        <x:v>TRADE_AND_WORKING_CAPITAL</x:v>
      </x:c>
      <x:c r="F131" s="63" t="str">
        <x:v>ELIGIBLE_FLOW</x:v>
      </x:c>
      <x:c r="G131" s="64" t="b">
        <x:v>1</x:v>
      </x:c>
      <x:c r="H131" s="63" t="str">
        <x:v>SHADOW_ELIGIBLE_REPRESENTATIVE</x:v>
      </x:c>
      <x:c r="I131" s="63" t="str">
        <x:v>POSTERIOR</x:v>
      </x:c>
      <x:c r="J131" s="63" t="str">
        <x:v>E1</x:v>
      </x:c>
      <x:c r="K131" s="81" t="n">
        <x:v>0.2278407088841696</x:v>
      </x:c>
      <x:c r="L131" s="82" t="n">
        <x:v>331410220.18838054</x:v>
      </x:c>
      <x:c r="M131" s="82" t="n">
        <x:v>594238724.9330498</x:v>
      </x:c>
      <x:c r="N131" s="82" t="n">
        <x:v>1555134498.0392828</x:v>
      </x:c>
      <x:c r="O131" s="63" t="str">
        <x:v>ZAR</x:v>
      </x:c>
      <x:c r="P131" s="81" t="n">
        <x:v>0.15800630982405783</x:v>
      </x:c>
      <x:c r="Q131" s="81" t="n">
        <x:v>0.2910466257038995</x:v>
      </x:c>
      <x:c r="R131" s="63" t="n">
        <x:v>0.4030657322137404</x:v>
      </x:c>
    </x:row>
    <x:row r="132">
      <x:c r="A132" s="63" t="str">
        <x:v>E08</x:v>
      </x:c>
      <x:c r="B132" s="63" t="str">
        <x:v>Sanlam</x:v>
      </x:c>
      <x:c r="C132" s="63" t="str">
        <x:v>WORKING_CAPITAL_REVOLVING</x:v>
      </x:c>
      <x:c r="D132" s="63" t="str">
        <x:v>Working-capital/revolving credit</x:v>
      </x:c>
      <x:c r="E132" s="63" t="str">
        <x:v>LENDING</x:v>
      </x:c>
      <x:c r="F132" s="63" t="str">
        <x:v>FACILITY_SIZE</x:v>
      </x:c>
      <x:c r="G132" s="64" t="b">
        <x:v>0</x:v>
      </x:c>
      <x:c r="H132" s="63" t="str">
        <x:v>FAIL_CLOSED_REQUIRED_INPUT_UNAVAILABLE</x:v>
      </x:c>
      <x:c r="I132" s="63" t="str">
        <x:v>SCENARIO</x:v>
      </x:c>
      <x:c r="J132" s="63" t="str">
        <x:v>E0</x:v>
      </x:c>
      <x:c r="K132" s="81"/>
      <x:c r="L132" s="82"/>
      <x:c r="M132" s="82"/>
      <x:c r="N132" s="82"/>
      <x:c r="O132" s="63"/>
      <x:c r="P132" s="81"/>
      <x:c r="Q132" s="81"/>
      <x:c r="R132" s="63" t="str">
        <x:v>No positive working-capital gap can be computed from reviewed evidence, so a revolving facility cannot be sized.</x:v>
      </x:c>
    </x:row>
    <x:row r="133">
      <x:c r="A133" s="63" t="str">
        <x:v>E09</x:v>
      </x:c>
      <x:c r="B133" s="63" t="str">
        <x:v>Shoprite Holdings</x:v>
      </x:c>
      <x:c r="C133" s="63" t="str">
        <x:v>COLLECTIONS</x:v>
      </x:c>
      <x:c r="D133" s="63" t="str">
        <x:v>Collections</x:v>
      </x:c>
      <x:c r="E133" s="63" t="str">
        <x:v>TRANSACTION_BANKING</x:v>
      </x:c>
      <x:c r="F133" s="63" t="str">
        <x:v>TRANSACTION_WALLET</x:v>
      </x:c>
      <x:c r="G133" s="64" t="b">
        <x:v>1</x:v>
      </x:c>
      <x:c r="H133" s="63" t="str">
        <x:v>SHADOW_ELIGIBLE_REPRESENTATIVE</x:v>
      </x:c>
      <x:c r="I133" s="63" t="str">
        <x:v>POSTERIOR</x:v>
      </x:c>
      <x:c r="J133" s="63" t="str">
        <x:v>E1</x:v>
      </x:c>
      <x:c r="K133" s="81" t="n">
        <x:v>0.671365028515638</x:v>
      </x:c>
      <x:c r="L133" s="82" t="n">
        <x:v>18471108571.689064</x:v>
      </x:c>
      <x:c r="M133" s="82" t="n">
        <x:v>26122091405.51284</x:v>
      </x:c>
      <x:c r="N133" s="82" t="n">
        <x:v>44181193145.29079</x:v>
      </x:c>
      <x:c r="O133" s="63" t="str">
        <x:v>ZAR</x:v>
      </x:c>
      <x:c r="P133" s="81" t="n">
        <x:v>0.10071874054147933</x:v>
      </x:c>
      <x:c r="Q133" s="81" t="n">
        <x:v>0.19129321638669683</x:v>
      </x:c>
      <x:c r="R133" s="63" t="n">
        <x:v>0.27274514509957937</x:v>
      </x:c>
    </x:row>
    <x:row r="134">
      <x:c r="A134" s="63" t="str">
        <x:v>E09</x:v>
      </x:c>
      <x:c r="B134" s="63" t="str">
        <x:v>Shoprite Holdings</x:v>
      </x:c>
      <x:c r="C134" s="63" t="str">
        <x:v>COMMODITY_RISK_MANAGEMENT</x:v>
      </x:c>
      <x:c r="D134" s="63" t="str">
        <x:v>Commodity risk management</x:v>
      </x:c>
      <x:c r="E134" s="63" t="str">
        <x:v>RISK_MANAGEMENT</x:v>
      </x:c>
      <x:c r="F134" s="63" t="str">
        <x:v>EXPOSURE_NOTIONAL</x:v>
      </x:c>
      <x:c r="G134" s="64" t="b">
        <x:v>0</x:v>
      </x:c>
      <x:c r="H134" s="63" t="str">
        <x:v>FAIL_CLOSED_REQUIRED_INPUT_UNAVAILABLE</x:v>
      </x:c>
      <x:c r="I134" s="63" t="str">
        <x:v>SCENARIO</x:v>
      </x:c>
      <x:c r="J134" s="63" t="str">
        <x:v>E0</x:v>
      </x:c>
      <x:c r="K134" s="81"/>
      <x:c r="L134" s="82"/>
      <x:c r="M134" s="82"/>
      <x:c r="N134" s="82"/>
      <x:c r="O134" s="63"/>
      <x:c r="P134" s="81"/>
      <x:c r="Q134" s="81"/>
      <x:c r="R134" s="63" t="str">
        <x:v>The consumer sector carries no governed commodity price linkage, so a hedgeable commodity notional cannot be asserted.</x:v>
      </x:c>
    </x:row>
    <x:row r="135">
      <x:c r="A135" s="63" t="str">
        <x:v>E09</x:v>
      </x:c>
      <x:c r="B135" s="63" t="str">
        <x:v>Shoprite Holdings</x:v>
      </x:c>
      <x:c r="C135" s="63" t="str">
        <x:v>CROSS_BORDER_FX</x:v>
      </x:c>
      <x:c r="D135" s="63" t="str">
        <x:v>Cross-border FX</x:v>
      </x:c>
      <x:c r="E135" s="63" t="str">
        <x:v>RISK_MANAGEMENT</x:v>
      </x:c>
      <x:c r="F135" s="63" t="str">
        <x:v>EXPOSURE_NOTIONAL</x:v>
      </x:c>
      <x:c r="G135" s="64" t="b">
        <x:v>1</x:v>
      </x:c>
      <x:c r="H135" s="63" t="str">
        <x:v>SHADOW_ELIGIBLE_REPRESENTATIVE</x:v>
      </x:c>
      <x:c r="I135" s="63" t="str">
        <x:v>POSTERIOR</x:v>
      </x:c>
      <x:c r="J135" s="63" t="str">
        <x:v>E1</x:v>
      </x:c>
      <x:c r="K135" s="81" t="n">
        <x:v>0.7891343419664559</x:v>
      </x:c>
      <x:c r="L135" s="82" t="n">
        <x:v>6535121414.969848</x:v>
      </x:c>
      <x:c r="M135" s="82" t="n">
        <x:v>10270557088.054775</x:v>
      </x:c>
      <x:c r="N135" s="82" t="n">
        <x:v>20831129579.54686</x:v>
      </x:c>
      <x:c r="O135" s="63" t="str">
        <x:v>ZAR</x:v>
      </x:c>
      <x:c r="P135" s="81" t="n">
        <x:v>0.0999378891589473</x:v>
      </x:c>
      <x:c r="Q135" s="81" t="n">
        <x:v>0.18988819662834866</x:v>
      </x:c>
      <x:c r="R135" s="63" t="n">
        <x:v>0.2708490602400597</x:v>
      </x:c>
    </x:row>
    <x:row r="136">
      <x:c r="A136" s="63" t="str">
        <x:v>E09</x:v>
      </x:c>
      <x:c r="B136" s="63" t="str">
        <x:v>Shoprite Holdings</x:v>
      </x:c>
      <x:c r="C136" s="63" t="str">
        <x:v>DEBT_CAPITAL_MARKETS</x:v>
      </x:c>
      <x:c r="D136" s="63" t="str">
        <x:v>Debt capital markets</x:v>
      </x:c>
      <x:c r="E136" s="63" t="str">
        <x:v>CAPITAL_MARKETS</x:v>
      </x:c>
      <x:c r="F136" s="63" t="str">
        <x:v>FINANCING_REQUIREMENT</x:v>
      </x:c>
      <x:c r="G136" s="64" t="b">
        <x:v>1</x:v>
      </x:c>
      <x:c r="H136" s="63" t="str">
        <x:v>SCENARIO_BLOCKED_PENDING_CALIBRATION</x:v>
      </x:c>
      <x:c r="I136" s="63" t="str">
        <x:v>SCENARIO</x:v>
      </x:c>
      <x:c r="J136" s="63" t="str">
        <x:v>E1</x:v>
      </x:c>
      <x:c r="K136" s="81" t="n">
        <x:v>0.34</x:v>
      </x:c>
      <x:c r="L136" s="82" t="n">
        <x:v>1881600000</x:v>
      </x:c>
      <x:c r="M136" s="82" t="n">
        <x:v>2352000000</x:v>
      </x:c>
      <x:c r="N136" s="82" t="n">
        <x:v>3057600000</x:v>
      </x:c>
      <x:c r="O136" s="63" t="str">
        <x:v>ZAR</x:v>
      </x:c>
      <x:c r="P136" s="81" t="n">
        <x:v>0.15300000000000002</x:v>
      </x:c>
      <x:c r="Q136" s="81" t="n">
        <x:v>0.255</x:v>
      </x:c>
      <x:c r="R136" s="63" t="n">
        <x:v>0.34</x:v>
      </x:c>
    </x:row>
    <x:row r="137">
      <x:c r="A137" s="63" t="str">
        <x:v>E09</x:v>
      </x:c>
      <x:c r="B137" s="63" t="str">
        <x:v>Shoprite Holdings</x:v>
      </x:c>
      <x:c r="C137" s="63" t="str">
        <x:v>ESCROW_AND_AGENCY</x:v>
      </x:c>
      <x:c r="D137" s="63" t="str">
        <x:v>Escrow and agency services</x:v>
      </x:c>
      <x:c r="E137" s="63" t="str">
        <x:v>ADVISORY_AND_AGENCY</x:v>
      </x:c>
      <x:c r="F137" s="63" t="str">
        <x:v>EVENT_LINKED_FLOW</x:v>
      </x:c>
      <x:c r="G137" s="64" t="b">
        <x:v>0</x:v>
      </x:c>
      <x:c r="H137" s="63" t="str">
        <x:v>FAIL_CLOSED_REQUIRED_INPUT_UNAVAILABLE</x:v>
      </x:c>
      <x:c r="I137" s="63" t="str">
        <x:v>SCENARIO</x:v>
      </x:c>
      <x:c r="J137" s="63" t="str">
        <x:v>E0</x:v>
      </x:c>
      <x:c r="K137" s="81"/>
      <x:c r="L137" s="82"/>
      <x:c r="M137" s="82"/>
      <x:c r="N137" s="82"/>
      <x:c r="O137" s="63"/>
      <x:c r="P137" s="81"/>
      <x:c r="Q137" s="81"/>
      <x:c r="R137" s="63" t="str">
        <x:v>Escrow and agency flow is event-linked, and no reviewed corporate action or capital-structure event exists for this client.</x:v>
      </x:c>
    </x:row>
    <x:row r="138">
      <x:c r="A138" s="63" t="str">
        <x:v>E09</x:v>
      </x:c>
      <x:c r="B138" s="63" t="str">
        <x:v>Shoprite Holdings</x:v>
      </x:c>
      <x:c r="C138" s="63" t="str">
        <x:v>GUARANTEES_AND_LC</x:v>
      </x:c>
      <x:c r="D138" s="63" t="str">
        <x:v>Guarantees and letters of credit</x:v>
      </x:c>
      <x:c r="E138" s="63" t="str">
        <x:v>TRADE_AND_WORKING_CAPITAL</x:v>
      </x:c>
      <x:c r="F138" s="63" t="str">
        <x:v>CONTINGENT_EXPOSURE</x:v>
      </x:c>
      <x:c r="G138" s="64" t="b">
        <x:v>1</x:v>
      </x:c>
      <x:c r="H138" s="63" t="str">
        <x:v>SCENARIO_BLOCKED_PENDING_CALIBRATION</x:v>
      </x:c>
      <x:c r="I138" s="63" t="str">
        <x:v>SCENARIO</x:v>
      </x:c>
      <x:c r="J138" s="63" t="str">
        <x:v>E0</x:v>
      </x:c>
      <x:c r="K138" s="81" t="n">
        <x:v>0.24250000000000002</x:v>
      </x:c>
      <x:c r="L138" s="82" t="n">
        <x:v>34297445.646</x:v>
      </x:c>
      <x:c r="M138" s="82" t="n">
        <x:v>68594891.292</x:v>
      </x:c>
      <x:c r="N138" s="82" t="n">
        <x:v>102892336.938</x:v>
      </x:c>
      <x:c r="O138" s="63" t="str">
        <x:v>ZAR</x:v>
      </x:c>
      <x:c r="P138" s="81" t="n">
        <x:v>0.10912500000000001</x:v>
      </x:c>
      <x:c r="Q138" s="81" t="n">
        <x:v>0.181875</x:v>
      </x:c>
      <x:c r="R138" s="63" t="n">
        <x:v>0.24250000000000002</x:v>
      </x:c>
    </x:row>
    <x:row r="139">
      <x:c r="A139" s="63" t="str">
        <x:v>E09</x:v>
      </x:c>
      <x:c r="B139" s="63" t="str">
        <x:v>Shoprite Holdings</x:v>
      </x:c>
      <x:c r="C139" s="63" t="str">
        <x:v>INTEREST_RATE_RISK_MANAGEMENT</x:v>
      </x:c>
      <x:c r="D139" s="63" t="str">
        <x:v>Interest-rate risk management</x:v>
      </x:c>
      <x:c r="E139" s="63" t="str">
        <x:v>RISK_MANAGEMENT</x:v>
      </x:c>
      <x:c r="F139" s="63" t="str">
        <x:v>EXPOSURE_NOTIONAL</x:v>
      </x:c>
      <x:c r="G139" s="64" t="b">
        <x:v>1</x:v>
      </x:c>
      <x:c r="H139" s="63" t="str">
        <x:v>SCENARIO_BLOCKED_PENDING_CALIBRATION</x:v>
      </x:c>
      <x:c r="I139" s="63" t="str">
        <x:v>SCENARIO</x:v>
      </x:c>
      <x:c r="J139" s="63" t="str">
        <x:v>E1</x:v>
      </x:c>
      <x:c r="K139" s="81" t="n">
        <x:v>0.29999999999999993</x:v>
      </x:c>
      <x:c r="L139" s="82" t="n">
        <x:v>146700000</x:v>
      </x:c>
      <x:c r="M139" s="82" t="n">
        <x:v>268950000</x:v>
      </x:c>
      <x:c r="N139" s="82" t="n">
        <x:v>391200000</x:v>
      </x:c>
      <x:c r="O139" s="63" t="str">
        <x:v>ZAR</x:v>
      </x:c>
      <x:c r="P139" s="81" t="n">
        <x:v>0.13499999999999998</x:v>
      </x:c>
      <x:c r="Q139" s="81" t="n">
        <x:v>0.22499999999999995</x:v>
      </x:c>
      <x:c r="R139" s="63" t="n">
        <x:v>0.29999999999999993</x:v>
      </x:c>
    </x:row>
    <x:row r="140">
      <x:c r="A140" s="63" t="str">
        <x:v>E09</x:v>
      </x:c>
      <x:c r="B140" s="63" t="str">
        <x:v>Shoprite Holdings</x:v>
      </x:c>
      <x:c r="C140" s="63" t="str">
        <x:v>LIQUIDITY_CASH_MANAGEMENT</x:v>
      </x:c>
      <x:c r="D140" s="63" t="str">
        <x:v>Liquidity and cash management</x:v>
      </x:c>
      <x:c r="E140" s="63" t="str">
        <x:v>TRANSACTION_BANKING</x:v>
      </x:c>
      <x:c r="F140" s="63" t="str">
        <x:v>CASH_WALLET</x:v>
      </x:c>
      <x:c r="G140" s="64" t="b">
        <x:v>1</x:v>
      </x:c>
      <x:c r="H140" s="63" t="str">
        <x:v>SHADOW_ELIGIBLE_REPRESENTATIVE</x:v>
      </x:c>
      <x:c r="I140" s="63" t="str">
        <x:v>POSTERIOR</x:v>
      </x:c>
      <x:c r="J140" s="63" t="str">
        <x:v>E1</x:v>
      </x:c>
      <x:c r="K140" s="81" t="n">
        <x:v>1</x:v>
      </x:c>
      <x:c r="L140" s="82" t="n">
        <x:v>7647661598.818124</x:v>
      </x:c>
      <x:c r="M140" s="82" t="n">
        <x:v>12336206718.158226</x:v>
      </x:c>
      <x:c r="N140" s="82" t="n">
        <x:v>26690474809.25068</x:v>
      </x:c>
      <x:c r="O140" s="63" t="str">
        <x:v>ZAR</x:v>
      </x:c>
      <x:c r="P140" s="81" t="n">
        <x:v>0.11592186529122495</x:v>
      </x:c>
      <x:c r="Q140" s="81" t="n">
        <x:v>0.21840585172985294</x:v>
      </x:c>
      <x:c r="R140" s="63" t="n">
        <x:v>0.30900970329803457</x:v>
      </x:c>
    </x:row>
    <x:row r="141">
      <x:c r="A141" s="63" t="str">
        <x:v>E09</x:v>
      </x:c>
      <x:c r="B141" s="63" t="str">
        <x:v>Shoprite Holdings</x:v>
      </x:c>
      <x:c r="C141" s="63" t="str">
        <x:v>MA_AND_STRATEGIC_ADVISORY</x:v>
      </x:c>
      <x:c r="D141" s="63" t="str">
        <x:v>M&amp;A and strategic advisory</x:v>
      </x:c>
      <x:c r="E141" s="63" t="str">
        <x:v>ADVISORY_AND_AGENCY</x:v>
      </x:c>
      <x:c r="F141" s="63" t="str">
        <x:v>TRANSACTION_SIZE</x:v>
      </x:c>
      <x:c r="G141" s="64" t="b">
        <x:v>0</x:v>
      </x:c>
      <x:c r="H141" s="63" t="str">
        <x:v>FAIL_CLOSED_REQUIRED_INPUT_UNAVAILABLE</x:v>
      </x:c>
      <x:c r="I141" s="63" t="str">
        <x:v>SCENARIO</x:v>
      </x:c>
      <x:c r="J141" s="63" t="str">
        <x:v>E0</x:v>
      </x:c>
      <x:c r="K141" s="81"/>
      <x:c r="L141" s="82"/>
      <x:c r="M141" s="82"/>
      <x:c r="N141" s="82"/>
      <x:c r="O141" s="63"/>
      <x:c r="P141" s="81"/>
      <x:c r="Q141" s="81"/>
      <x:c r="R141" s="63" t="str">
        <x:v>No announced or reviewed transaction evidence exists, so no mandate probability or transaction size can be estimated.</x:v>
      </x:c>
    </x:row>
    <x:row r="142">
      <x:c r="A142" s="63" t="str">
        <x:v>E09</x:v>
      </x:c>
      <x:c r="B142" s="63" t="str">
        <x:v>Shoprite Holdings</x:v>
      </x:c>
      <x:c r="C142" s="63" t="str">
        <x:v>PAYMENTS</x:v>
      </x:c>
      <x:c r="D142" s="63" t="str">
        <x:v>Payments</x:v>
      </x:c>
      <x:c r="E142" s="63" t="str">
        <x:v>TRANSACTION_BANKING</x:v>
      </x:c>
      <x:c r="F142" s="63" t="str">
        <x:v>TRANSACTION_WALLET</x:v>
      </x:c>
      <x:c r="G142" s="64" t="b">
        <x:v>1</x:v>
      </x:c>
      <x:c r="H142" s="63" t="str">
        <x:v>SHADOW_ELIGIBLE_REPRESENTATIVE</x:v>
      </x:c>
      <x:c r="I142" s="63" t="str">
        <x:v>POSTERIOR</x:v>
      </x:c>
      <x:c r="J142" s="63" t="str">
        <x:v>E1</x:v>
      </x:c>
      <x:c r="K142" s="81" t="n">
        <x:v>1</x:v>
      </x:c>
      <x:c r="L142" s="82" t="n">
        <x:v>34072005576.446346</x:v>
      </x:c>
      <x:c r="M142" s="82" t="n">
        <x:v>48573612754.680374</x:v>
      </x:c>
      <x:c r="N142" s="82" t="n">
        <x:v>85097319344.35126</x:v>
      </x:c>
      <x:c r="O142" s="63" t="str">
        <x:v>ZAR</x:v>
      </x:c>
      <x:c r="P142" s="81" t="n">
        <x:v>0.09945358118575642</x:v>
      </x:c>
      <x:c r="Q142" s="81" t="n">
        <x:v>0.18901614756084095</x:v>
      </x:c>
      <x:c r="R142" s="63" t="n">
        <x:v>0.2696713959697363</x:v>
      </x:c>
    </x:row>
    <x:row r="143">
      <x:c r="A143" s="63" t="str">
        <x:v>E09</x:v>
      </x:c>
      <x:c r="B143" s="63" t="str">
        <x:v>Shoprite Holdings</x:v>
      </x:c>
      <x:c r="C143" s="63" t="str">
        <x:v>PROJECT_FINANCE</x:v>
      </x:c>
      <x:c r="D143" s="63" t="str">
        <x:v>Project finance</x:v>
      </x:c>
      <x:c r="E143" s="63" t="str">
        <x:v>LENDING</x:v>
      </x:c>
      <x:c r="F143" s="63" t="str">
        <x:v>PROJECT_FUNDING_REQUIREMENT</x:v>
      </x:c>
      <x:c r="G143" s="64" t="b">
        <x:v>0</x:v>
      </x:c>
      <x:c r="H143" s="63" t="str">
        <x:v>FAIL_CLOSED_REQUIRED_INPUT_UNAVAILABLE</x:v>
      </x:c>
      <x:c r="I143" s="63" t="str">
        <x:v>SCENARIO</x:v>
      </x:c>
      <x:c r="J143" s="63" t="str">
        <x:v>E0</x:v>
      </x:c>
      <x:c r="K143" s="81"/>
      <x:c r="L143" s="82"/>
      <x:c r="M143" s="82"/>
      <x:c r="N143" s="82"/>
      <x:c r="O143" s="63"/>
      <x:c r="P143" s="81"/>
      <x:c r="Q143" s="81"/>
      <x:c r="R143" s="63" t="str">
        <x:v>No reviewed project, SPV or ring-fenced cash-flow evidence exists for this client. Project finance cannot be sized from a sector assumption, and SPV ownership is never inferred from name similarity.</x:v>
      </x:c>
    </x:row>
    <x:row r="144">
      <x:c r="A144" s="63" t="str">
        <x:v>E09</x:v>
      </x:c>
      <x:c r="B144" s="63" t="str">
        <x:v>Shoprite Holdings</x:v>
      </x:c>
      <x:c r="C144" s="63" t="str">
        <x:v>SUPPLY_CHAIN_FINANCE</x:v>
      </x:c>
      <x:c r="D144" s="63" t="str">
        <x:v>Supply-chain finance</x:v>
      </x:c>
      <x:c r="E144" s="63" t="str">
        <x:v>TRADE_AND_WORKING_CAPITAL</x:v>
      </x:c>
      <x:c r="F144" s="63" t="str">
        <x:v>ELIGIBLE_FLOW</x:v>
      </x:c>
      <x:c r="G144" s="64" t="b">
        <x:v>1</x:v>
      </x:c>
      <x:c r="H144" s="63" t="str">
        <x:v>SCENARIO_BLOCKED_PENDING_CALIBRATION</x:v>
      </x:c>
      <x:c r="I144" s="63" t="str">
        <x:v>SCENARIO</x:v>
      </x:c>
      <x:c r="J144" s="63" t="str">
        <x:v>E0</x:v>
      </x:c>
      <x:c r="K144" s="81" t="n">
        <x:v>0.4275</x:v>
      </x:c>
      <x:c r="L144" s="82" t="n">
        <x:v>1148687696.0415006</x:v>
      </x:c>
      <x:c r="M144" s="82" t="n">
        <x:v>2297375392.083001</x:v>
      </x:c>
      <x:c r="N144" s="82" t="n">
        <x:v>3446063088.124502</x:v>
      </x:c>
      <x:c r="O144" s="63" t="str">
        <x:v>ZAR</x:v>
      </x:c>
      <x:c r="P144" s="81" t="n">
        <x:v>0.192375</x:v>
      </x:c>
      <x:c r="Q144" s="81" t="n">
        <x:v>0.320625</x:v>
      </x:c>
      <x:c r="R144" s="63" t="n">
        <x:v>0.4275</x:v>
      </x:c>
    </x:row>
    <x:row r="145">
      <x:c r="A145" s="63" t="str">
        <x:v>E09</x:v>
      </x:c>
      <x:c r="B145" s="63" t="str">
        <x:v>Shoprite Holdings</x:v>
      </x:c>
      <x:c r="C145" s="63" t="str">
        <x:v>SUSTAINABLE_FINANCE</x:v>
      </x:c>
      <x:c r="D145" s="63" t="str">
        <x:v>Sustainable finance</x:v>
      </x:c>
      <x:c r="E145" s="63" t="str">
        <x:v>CAPITAL_MARKETS</x:v>
      </x:c>
      <x:c r="F145" s="63" t="str">
        <x:v>ELIGIBLE_CAPEX</x:v>
      </x:c>
      <x:c r="G145" s="64" t="b">
        <x:v>0</x:v>
      </x:c>
      <x:c r="H145" s="63" t="str">
        <x:v>FAIL_CLOSED_REQUIRED_INPUT_UNAVAILABLE</x:v>
      </x:c>
      <x:c r="I145" s="63" t="str">
        <x:v>SCENARIO</x:v>
      </x:c>
      <x:c r="J145" s="63" t="str">
        <x:v>E0</x:v>
      </x:c>
      <x:c r="K145" s="81"/>
      <x:c r="L145" s="82"/>
      <x:c r="M145" s="82"/>
      <x:c r="N145" s="82"/>
      <x:c r="O145" s="63"/>
      <x:c r="P145" s="81"/>
      <x:c r="Q145" s="81"/>
      <x:c r="R145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46">
      <x:c r="A146" s="63" t="str">
        <x:v>E09</x:v>
      </x:c>
      <x:c r="B146" s="63" t="str">
        <x:v>Shoprite Holdings</x:v>
      </x:c>
      <x:c r="C146" s="63" t="str">
        <x:v>TERM_AND_SYNDICATED_LENDING</x:v>
      </x:c>
      <x:c r="D146" s="63" t="str">
        <x:v>Term and syndicated lending</x:v>
      </x:c>
      <x:c r="E146" s="63" t="str">
        <x:v>LENDING</x:v>
      </x:c>
      <x:c r="F146" s="63" t="str">
        <x:v>FACILITY_SIZE</x:v>
      </x:c>
      <x:c r="G146" s="64" t="b">
        <x:v>1</x:v>
      </x:c>
      <x:c r="H146" s="63" t="str">
        <x:v>SCENARIO_BLOCKED_PENDING_CALIBRATION</x:v>
      </x:c>
      <x:c r="I146" s="63" t="str">
        <x:v>SCENARIO</x:v>
      </x:c>
      <x:c r="J146" s="63" t="str">
        <x:v>E1</x:v>
      </x:c>
      <x:c r="K146" s="81" t="n">
        <x:v>0.34</x:v>
      </x:c>
      <x:c r="L146" s="82" t="n">
        <x:v>2116800000</x:v>
      </x:c>
      <x:c r="M146" s="82" t="n">
        <x:v>2587200000</x:v>
      </x:c>
      <x:c r="N146" s="82" t="n">
        <x:v>3292800000</x:v>
      </x:c>
      <x:c r="O146" s="63" t="str">
        <x:v>ZAR</x:v>
      </x:c>
      <x:c r="P146" s="81" t="n">
        <x:v>0.15300000000000002</x:v>
      </x:c>
      <x:c r="Q146" s="81" t="n">
        <x:v>0.255</x:v>
      </x:c>
      <x:c r="R146" s="63" t="n">
        <x:v>0.34</x:v>
      </x:c>
    </x:row>
    <x:row r="147">
      <x:c r="A147" s="63" t="str">
        <x:v>E09</x:v>
      </x:c>
      <x:c r="B147" s="63" t="str">
        <x:v>Shoprite Holdings</x:v>
      </x:c>
      <x:c r="C147" s="63" t="str">
        <x:v>TRADE_FINANCE</x:v>
      </x:c>
      <x:c r="D147" s="63" t="str">
        <x:v>Trade finance</x:v>
      </x:c>
      <x:c r="E147" s="63" t="str">
        <x:v>TRADE_AND_WORKING_CAPITAL</x:v>
      </x:c>
      <x:c r="F147" s="63" t="str">
        <x:v>ELIGIBLE_FLOW</x:v>
      </x:c>
      <x:c r="G147" s="64" t="b">
        <x:v>1</x:v>
      </x:c>
      <x:c r="H147" s="63" t="str">
        <x:v>SHADOW_ELIGIBLE_REPRESENTATIVE</x:v>
      </x:c>
      <x:c r="I147" s="63" t="str">
        <x:v>POSTERIOR</x:v>
      </x:c>
      <x:c r="J147" s="63" t="str">
        <x:v>E1</x:v>
      </x:c>
      <x:c r="K147" s="81" t="n">
        <x:v>1</x:v>
      </x:c>
      <x:c r="L147" s="82" t="n">
        <x:v>3065470375.1822286</x:v>
      </x:c>
      <x:c r="M147" s="82" t="n">
        <x:v>5367490652.39546</x:v>
      </x:c>
      <x:c r="N147" s="82" t="n">
        <x:v>13590432589.283302</x:v>
      </x:c>
      <x:c r="O147" s="63" t="str">
        <x:v>ZAR</x:v>
      </x:c>
      <x:c r="P147" s="81" t="n">
        <x:v>0.1373983987559545</x:v>
      </x:c>
      <x:c r="Q147" s="81" t="n">
        <x:v>0.25591847753120867</x:v>
      </x:c>
      <x:c r="R147" s="63" t="n">
        <x:v>0.35815408726231335</x:v>
      </x:c>
    </x:row>
    <x:row r="148">
      <x:c r="A148" s="63" t="str">
        <x:v>E09</x:v>
      </x:c>
      <x:c r="B148" s="63" t="str">
        <x:v>Shoprite Holdings</x:v>
      </x:c>
      <x:c r="C148" s="63" t="str">
        <x:v>WORKING_CAPITAL_REVOLVING</x:v>
      </x:c>
      <x:c r="D148" s="63" t="str">
        <x:v>Working-capital/revolving credit</x:v>
      </x:c>
      <x:c r="E148" s="63" t="str">
        <x:v>LENDING</x:v>
      </x:c>
      <x:c r="F148" s="63" t="str">
        <x:v>FACILITY_SIZE</x:v>
      </x:c>
      <x:c r="G148" s="64" t="b">
        <x:v>1</x:v>
      </x:c>
      <x:c r="H148" s="63" t="str">
        <x:v>SCENARIO_BLOCKED_PENDING_CALIBRATION</x:v>
      </x:c>
      <x:c r="I148" s="63" t="str">
        <x:v>SCENARIO</x:v>
      </x:c>
      <x:c r="J148" s="63" t="str">
        <x:v>E1</x:v>
      </x:c>
      <x:c r="K148" s="81" t="n">
        <x:v>0.6375000000000001</x:v>
      </x:c>
      <x:c r="L148" s="82" t="n">
        <x:v>16000000</x:v>
      </x:c>
      <x:c r="M148" s="82" t="n">
        <x:v>20000000</x:v>
      </x:c>
      <x:c r="N148" s="82" t="n">
        <x:v>25600000</x:v>
      </x:c>
      <x:c r="O148" s="63" t="str">
        <x:v>ZAR</x:v>
      </x:c>
      <x:c r="P148" s="81" t="n">
        <x:v>0.28687500000000005</x:v>
      </x:c>
      <x:c r="Q148" s="81" t="n">
        <x:v>0.478125</x:v>
      </x:c>
      <x:c r="R148" s="63" t="n">
        <x:v>0.6375000000000001</x:v>
      </x:c>
    </x:row>
    <x:row r="149">
      <x:c r="A149" s="63" t="str">
        <x:v>E10</x:v>
      </x:c>
      <x:c r="B149" s="63" t="str">
        <x:v>Bid Corporation</x:v>
      </x:c>
      <x:c r="C149" s="63" t="str">
        <x:v>COLLECTIONS</x:v>
      </x:c>
      <x:c r="D149" s="63" t="str">
        <x:v>Collections</x:v>
      </x:c>
      <x:c r="E149" s="63" t="str">
        <x:v>TRANSACTION_BANKING</x:v>
      </x:c>
      <x:c r="F149" s="63" t="str">
        <x:v>TRANSACTION_WALLET</x:v>
      </x:c>
      <x:c r="G149" s="64" t="b">
        <x:v>1</x:v>
      </x:c>
      <x:c r="H149" s="63" t="str">
        <x:v>SHADOW_ELIGIBLE_REPRESENTATIVE</x:v>
      </x:c>
      <x:c r="I149" s="63" t="str">
        <x:v>POSTERIOR</x:v>
      </x:c>
      <x:c r="J149" s="63" t="str">
        <x:v>E1</x:v>
      </x:c>
      <x:c r="K149" s="81" t="n">
        <x:v>0.8175593379960533</x:v>
      </x:c>
      <x:c r="L149" s="82" t="n">
        <x:v>20751283201.733967</x:v>
      </x:c>
      <x:c r="M149" s="82" t="n">
        <x:v>28928838887.238804</x:v>
      </x:c>
      <x:c r="N149" s="82" t="n">
        <x:v>48463980824.93243</x:v>
      </x:c>
      <x:c r="O149" s="63" t="str">
        <x:v>ZAR</x:v>
      </x:c>
      <x:c r="P149" s="81" t="n">
        <x:v>0.10238522049777588</x:v>
      </x:c>
      <x:c r="Q149" s="81" t="n">
        <x:v>0.19428770761917347</x:v>
      </x:c>
      <x:c r="R149" s="63" t="n">
        <x:v>0.27678073833235284</x:v>
      </x:c>
    </x:row>
    <x:row r="150">
      <x:c r="A150" s="63" t="str">
        <x:v>E10</x:v>
      </x:c>
      <x:c r="B150" s="63" t="str">
        <x:v>Bid Corporation</x:v>
      </x:c>
      <x:c r="C150" s="63" t="str">
        <x:v>COMMODITY_RISK_MANAGEMENT</x:v>
      </x:c>
      <x:c r="D150" s="63" t="str">
        <x:v>Commodity risk management</x:v>
      </x:c>
      <x:c r="E150" s="63" t="str">
        <x:v>RISK_MANAGEMENT</x:v>
      </x:c>
      <x:c r="F150" s="63" t="str">
        <x:v>EXPOSURE_NOTIONAL</x:v>
      </x:c>
      <x:c r="G150" s="64" t="b">
        <x:v>0</x:v>
      </x:c>
      <x:c r="H150" s="63" t="str">
        <x:v>FAIL_CLOSED_REQUIRED_INPUT_UNAVAILABLE</x:v>
      </x:c>
      <x:c r="I150" s="63" t="str">
        <x:v>SCENARIO</x:v>
      </x:c>
      <x:c r="J150" s="63" t="str">
        <x:v>E0</x:v>
      </x:c>
      <x:c r="K150" s="81"/>
      <x:c r="L150" s="82"/>
      <x:c r="M150" s="82"/>
      <x:c r="N150" s="82"/>
      <x:c r="O150" s="63"/>
      <x:c r="P150" s="81"/>
      <x:c r="Q150" s="81"/>
      <x:c r="R150" s="63" t="str">
        <x:v>The consumer sector carries no governed commodity price linkage, so a hedgeable commodity notional cannot be asserted.</x:v>
      </x:c>
    </x:row>
    <x:row r="151">
      <x:c r="A151" s="63" t="str">
        <x:v>E10</x:v>
      </x:c>
      <x:c r="B151" s="63" t="str">
        <x:v>Bid Corporation</x:v>
      </x:c>
      <x:c r="C151" s="63" t="str">
        <x:v>CROSS_BORDER_FX</x:v>
      </x:c>
      <x:c r="D151" s="63" t="str">
        <x:v>Cross-border FX</x:v>
      </x:c>
      <x:c r="E151" s="63" t="str">
        <x:v>RISK_MANAGEMENT</x:v>
      </x:c>
      <x:c r="F151" s="63" t="str">
        <x:v>EXPOSURE_NOTIONAL</x:v>
      </x:c>
      <x:c r="G151" s="64" t="b">
        <x:v>1</x:v>
      </x:c>
      <x:c r="H151" s="63" t="str">
        <x:v>SHADOW_ELIGIBLE_REPRESENTATIVE</x:v>
      </x:c>
      <x:c r="I151" s="63" t="str">
        <x:v>POSTERIOR</x:v>
      </x:c>
      <x:c r="J151" s="63" t="str">
        <x:v>E1</x:v>
      </x:c>
      <x:c r="K151" s="81" t="n">
        <x:v>1</x:v>
      </x:c>
      <x:c r="L151" s="82" t="n">
        <x:v>18423735418.01102</x:v>
      </x:c>
      <x:c r="M151" s="82" t="n">
        <x:v>29745677892.78478</x:v>
      </x:c>
      <x:c r="N151" s="82" t="n">
        <x:v>61436067980.74086</x:v>
      </x:c>
      <x:c r="O151" s="63" t="str">
        <x:v>ZAR</x:v>
      </x:c>
      <x:c r="P151" s="81" t="n">
        <x:v>0.1002828627077994</x:v>
      </x:c>
      <x:c r="Q151" s="81" t="n">
        <x:v>0.19050907286272745</x:v>
      </x:c>
      <x:c r="R151" s="63" t="n">
        <x:v>0.2716871403720438</x:v>
      </x:c>
    </x:row>
    <x:row r="152">
      <x:c r="A152" s="63" t="str">
        <x:v>E10</x:v>
      </x:c>
      <x:c r="B152" s="63" t="str">
        <x:v>Bid Corporation</x:v>
      </x:c>
      <x:c r="C152" s="63" t="str">
        <x:v>DEBT_CAPITAL_MARKETS</x:v>
      </x:c>
      <x:c r="D152" s="63" t="str">
        <x:v>Debt capital markets</x:v>
      </x:c>
      <x:c r="E152" s="63" t="str">
        <x:v>CAPITAL_MARKETS</x:v>
      </x:c>
      <x:c r="F152" s="63" t="str">
        <x:v>FINANCING_REQUIREMENT</x:v>
      </x:c>
      <x:c r="G152" s="64" t="b">
        <x:v>0</x:v>
      </x:c>
      <x:c r="H152" s="63" t="str">
        <x:v>FAIL_CLOSED_REQUIRED_INPUT_UNAVAILABLE</x:v>
      </x:c>
      <x:c r="I152" s="63" t="str">
        <x:v>SCENARIO</x:v>
      </x:c>
      <x:c r="J152" s="63" t="str">
        <x:v>E0</x:v>
      </x:c>
      <x:c r="K152" s="81"/>
      <x:c r="L152" s="82"/>
      <x:c r="M152" s="82"/>
      <x:c r="N152" s="82"/>
      <x:c r="O152" s="63"/>
      <x:c r="P152" s="81"/>
      <x:c r="Q152" s="81"/>
      <x:c r="R152" s="63" t="str">
        <x:v>No disclosed financing requirement exists, so a DCM mandate cannot be sized.</x:v>
      </x:c>
    </x:row>
    <x:row r="153">
      <x:c r="A153" s="63" t="str">
        <x:v>E10</x:v>
      </x:c>
      <x:c r="B153" s="63" t="str">
        <x:v>Bid Corporation</x:v>
      </x:c>
      <x:c r="C153" s="63" t="str">
        <x:v>ESCROW_AND_AGENCY</x:v>
      </x:c>
      <x:c r="D153" s="63" t="str">
        <x:v>Escrow and agency services</x:v>
      </x:c>
      <x:c r="E153" s="63" t="str">
        <x:v>ADVISORY_AND_AGENCY</x:v>
      </x:c>
      <x:c r="F153" s="63" t="str">
        <x:v>EVENT_LINKED_FLOW</x:v>
      </x:c>
      <x:c r="G153" s="64" t="b">
        <x:v>0</x:v>
      </x:c>
      <x:c r="H153" s="63" t="str">
        <x:v>FAIL_CLOSED_REQUIRED_INPUT_UNAVAILABLE</x:v>
      </x:c>
      <x:c r="I153" s="63" t="str">
        <x:v>SCENARIO</x:v>
      </x:c>
      <x:c r="J153" s="63" t="str">
        <x:v>E0</x:v>
      </x:c>
      <x:c r="K153" s="81"/>
      <x:c r="L153" s="82"/>
      <x:c r="M153" s="82"/>
      <x:c r="N153" s="82"/>
      <x:c r="O153" s="63"/>
      <x:c r="P153" s="81"/>
      <x:c r="Q153" s="81"/>
      <x:c r="R153" s="63" t="str">
        <x:v>Escrow and agency flow is event-linked, and no reviewed corporate action or capital-structure event exists for this client.</x:v>
      </x:c>
    </x:row>
    <x:row r="154">
      <x:c r="A154" s="63" t="str">
        <x:v>E10</x:v>
      </x:c>
      <x:c r="B154" s="63" t="str">
        <x:v>Bid Corporation</x:v>
      </x:c>
      <x:c r="C154" s="63" t="str">
        <x:v>GUARANTEES_AND_LC</x:v>
      </x:c>
      <x:c r="D154" s="63" t="str">
        <x:v>Guarantees and letters of credit</x:v>
      </x:c>
      <x:c r="E154" s="63" t="str">
        <x:v>TRADE_AND_WORKING_CAPITAL</x:v>
      </x:c>
      <x:c r="F154" s="63" t="str">
        <x:v>CONTINGENT_EXPOSURE</x:v>
      </x:c>
      <x:c r="G154" s="64" t="b">
        <x:v>1</x:v>
      </x:c>
      <x:c r="H154" s="63" t="str">
        <x:v>SCENARIO_BLOCKED_PENDING_CALIBRATION</x:v>
      </x:c>
      <x:c r="I154" s="63" t="str">
        <x:v>SCENARIO</x:v>
      </x:c>
      <x:c r="J154" s="63" t="str">
        <x:v>E0</x:v>
      </x:c>
      <x:c r="K154" s="81" t="n">
        <x:v>0.24250000000000002</x:v>
      </x:c>
      <x:c r="L154" s="82" t="n">
        <x:v>31811810.674000014</x:v>
      </x:c>
      <x:c r="M154" s="82" t="n">
        <x:v>63623621.34800003</x:v>
      </x:c>
      <x:c r="N154" s="82" t="n">
        <x:v>95435432.02200003</x:v>
      </x:c>
      <x:c r="O154" s="63" t="str">
        <x:v>ZAR</x:v>
      </x:c>
      <x:c r="P154" s="81" t="n">
        <x:v>0.10912500000000001</x:v>
      </x:c>
      <x:c r="Q154" s="81" t="n">
        <x:v>0.181875</x:v>
      </x:c>
      <x:c r="R154" s="63" t="n">
        <x:v>0.24250000000000002</x:v>
      </x:c>
    </x:row>
    <x:row r="155">
      <x:c r="A155" s="63" t="str">
        <x:v>E10</x:v>
      </x:c>
      <x:c r="B155" s="63" t="str">
        <x:v>Bid Corporation</x:v>
      </x:c>
      <x:c r="C155" s="63" t="str">
        <x:v>INTEREST_RATE_RISK_MANAGEMENT</x:v>
      </x:c>
      <x:c r="D155" s="63" t="str">
        <x:v>Interest-rate risk management</x:v>
      </x:c>
      <x:c r="E155" s="63" t="str">
        <x:v>RISK_MANAGEMENT</x:v>
      </x:c>
      <x:c r="F155" s="63" t="str">
        <x:v>EXPOSURE_NOTIONAL</x:v>
      </x:c>
      <x:c r="G155" s="64" t="b">
        <x:v>1</x:v>
      </x:c>
      <x:c r="H155" s="63" t="str">
        <x:v>SCENARIO_BLOCKED_PENDING_CALIBRATION</x:v>
      </x:c>
      <x:c r="I155" s="63" t="str">
        <x:v>SCENARIO</x:v>
      </x:c>
      <x:c r="J155" s="63" t="str">
        <x:v>E1</x:v>
      </x:c>
      <x:c r="K155" s="81" t="n">
        <x:v>0.6275</x:v>
      </x:c>
      <x:c r="L155" s="82" t="n">
        <x:v>12899600400</x:v>
      </x:c>
      <x:c r="M155" s="82" t="n">
        <x:v>23649267400.000004</x:v>
      </x:c>
      <x:c r="N155" s="82" t="n">
        <x:v>34398934400</x:v>
      </x:c>
      <x:c r="O155" s="63" t="str">
        <x:v>ZAR</x:v>
      </x:c>
      <x:c r="P155" s="81" t="n">
        <x:v>0.282375</x:v>
      </x:c>
      <x:c r="Q155" s="81" t="n">
        <x:v>0.47062499999999996</x:v>
      </x:c>
      <x:c r="R155" s="63" t="n">
        <x:v>0.6275</x:v>
      </x:c>
    </x:row>
    <x:row r="156">
      <x:c r="A156" s="63" t="str">
        <x:v>E10</x:v>
      </x:c>
      <x:c r="B156" s="63" t="str">
        <x:v>Bid Corporation</x:v>
      </x:c>
      <x:c r="C156" s="63" t="str">
        <x:v>LIQUIDITY_CASH_MANAGEMENT</x:v>
      </x:c>
      <x:c r="D156" s="63" t="str">
        <x:v>Liquidity and cash management</x:v>
      </x:c>
      <x:c r="E156" s="63" t="str">
        <x:v>TRANSACTION_BANKING</x:v>
      </x:c>
      <x:c r="F156" s="63" t="str">
        <x:v>CASH_WALLET</x:v>
      </x:c>
      <x:c r="G156" s="64" t="b">
        <x:v>1</x:v>
      </x:c>
      <x:c r="H156" s="63" t="str">
        <x:v>SHADOW_ELIGIBLE_REPRESENTATIVE</x:v>
      </x:c>
      <x:c r="I156" s="63" t="str">
        <x:v>POSTERIOR</x:v>
      </x:c>
      <x:c r="J156" s="63" t="str">
        <x:v>E1</x:v>
      </x:c>
      <x:c r="K156" s="81" t="n">
        <x:v>1</x:v>
      </x:c>
      <x:c r="L156" s="82" t="n">
        <x:v>20499611342.22745</x:v>
      </x:c>
      <x:c r="M156" s="82" t="n">
        <x:v>32802825869.59735</x:v>
      </x:c>
      <x:c r="N156" s="82" t="n">
        <x:v>72501659856.25671</x:v>
      </x:c>
      <x:c r="O156" s="63" t="str">
        <x:v>ZAR</x:v>
      </x:c>
      <x:c r="P156" s="81" t="n">
        <x:v>0.1016521049918564</x:v>
      </x:c>
      <x:c r="Q156" s="81" t="n">
        <x:v>0.19297105953443738</x:v>
      </x:c>
      <x:c r="R156" s="63" t="n">
        <x:v>0.27500725012210936</x:v>
      </x:c>
    </x:row>
    <x:row r="157">
      <x:c r="A157" s="63" t="str">
        <x:v>E10</x:v>
      </x:c>
      <x:c r="B157" s="63" t="str">
        <x:v>Bid Corporation</x:v>
      </x:c>
      <x:c r="C157" s="63" t="str">
        <x:v>MA_AND_STRATEGIC_ADVISORY</x:v>
      </x:c>
      <x:c r="D157" s="63" t="str">
        <x:v>M&amp;A and strategic advisory</x:v>
      </x:c>
      <x:c r="E157" s="63" t="str">
        <x:v>ADVISORY_AND_AGENCY</x:v>
      </x:c>
      <x:c r="F157" s="63" t="str">
        <x:v>TRANSACTION_SIZE</x:v>
      </x:c>
      <x:c r="G157" s="64" t="b">
        <x:v>0</x:v>
      </x:c>
      <x:c r="H157" s="63" t="str">
        <x:v>FAIL_CLOSED_REQUIRED_INPUT_UNAVAILABLE</x:v>
      </x:c>
      <x:c r="I157" s="63" t="str">
        <x:v>SCENARIO</x:v>
      </x:c>
      <x:c r="J157" s="63" t="str">
        <x:v>E0</x:v>
      </x:c>
      <x:c r="K157" s="81"/>
      <x:c r="L157" s="82"/>
      <x:c r="M157" s="82"/>
      <x:c r="N157" s="82"/>
      <x:c r="O157" s="63"/>
      <x:c r="P157" s="81"/>
      <x:c r="Q157" s="81"/>
      <x:c r="R157" s="63" t="str">
        <x:v>No announced or reviewed transaction evidence exists, so no mandate probability or transaction size can be estimated.</x:v>
      </x:c>
    </x:row>
    <x:row r="158">
      <x:c r="A158" s="63" t="str">
        <x:v>E10</x:v>
      </x:c>
      <x:c r="B158" s="63" t="str">
        <x:v>Bid Corporation</x:v>
      </x:c>
      <x:c r="C158" s="63" t="str">
        <x:v>PAYMENTS</x:v>
      </x:c>
      <x:c r="D158" s="63" t="str">
        <x:v>Payments</x:v>
      </x:c>
      <x:c r="E158" s="63" t="str">
        <x:v>TRANSACTION_BANKING</x:v>
      </x:c>
      <x:c r="F158" s="63" t="str">
        <x:v>TRANSACTION_WALLET</x:v>
      </x:c>
      <x:c r="G158" s="64" t="b">
        <x:v>1</x:v>
      </x:c>
      <x:c r="H158" s="63" t="str">
        <x:v>SHADOW_ELIGIBLE_REPRESENTATIVE</x:v>
      </x:c>
      <x:c r="I158" s="63" t="str">
        <x:v>POSTERIOR</x:v>
      </x:c>
      <x:c r="J158" s="63" t="str">
        <x:v>E1</x:v>
      </x:c>
      <x:c r="K158" s="81" t="n">
        <x:v>1</x:v>
      </x:c>
      <x:c r="L158" s="82" t="n">
        <x:v>35140431203.837494</x:v>
      </x:c>
      <x:c r="M158" s="82" t="n">
        <x:v>50533326720.75867</x:v>
      </x:c>
      <x:c r="N158" s="82" t="n">
        <x:v>88057631278.01572</x:v>
      </x:c>
      <x:c r="O158" s="63" t="str">
        <x:v>ZAR</x:v>
      </x:c>
      <x:c r="P158" s="81" t="n">
        <x:v>0.10139349381242213</x:v>
      </x:c>
      <x:c r="Q158" s="81" t="n">
        <x:v>0.19250634703735459</x:v>
      </x:c>
      <x:c r="R158" s="63" t="n">
        <x:v>0.27438094974259275</x:v>
      </x:c>
    </x:row>
    <x:row r="159">
      <x:c r="A159" s="63" t="str">
        <x:v>E10</x:v>
      </x:c>
      <x:c r="B159" s="63" t="str">
        <x:v>Bid Corporation</x:v>
      </x:c>
      <x:c r="C159" s="63" t="str">
        <x:v>PROJECT_FINANCE</x:v>
      </x:c>
      <x:c r="D159" s="63" t="str">
        <x:v>Project finance</x:v>
      </x:c>
      <x:c r="E159" s="63" t="str">
        <x:v>LENDING</x:v>
      </x:c>
      <x:c r="F159" s="63" t="str">
        <x:v>PROJECT_FUNDING_REQUIREMENT</x:v>
      </x:c>
      <x:c r="G159" s="64" t="b">
        <x:v>0</x:v>
      </x:c>
      <x:c r="H159" s="63" t="str">
        <x:v>FAIL_CLOSED_REQUIRED_INPUT_UNAVAILABLE</x:v>
      </x:c>
      <x:c r="I159" s="63" t="str">
        <x:v>SCENARIO</x:v>
      </x:c>
      <x:c r="J159" s="63" t="str">
        <x:v>E0</x:v>
      </x:c>
      <x:c r="K159" s="81"/>
      <x:c r="L159" s="82"/>
      <x:c r="M159" s="82"/>
      <x:c r="N159" s="82"/>
      <x:c r="O159" s="63"/>
      <x:c r="P159" s="81"/>
      <x:c r="Q159" s="81"/>
      <x:c r="R159" s="63" t="str">
        <x:v>No reviewed project, SPV or ring-fenced cash-flow evidence exists for this client. Project finance cannot be sized from a sector assumption, and SPV ownership is never inferred from name similarity.</x:v>
      </x:c>
    </x:row>
    <x:row r="160">
      <x:c r="A160" s="63" t="str">
        <x:v>E10</x:v>
      </x:c>
      <x:c r="B160" s="63" t="str">
        <x:v>Bid Corporation</x:v>
      </x:c>
      <x:c r="C160" s="63" t="str">
        <x:v>SUPPLY_CHAIN_FINANCE</x:v>
      </x:c>
      <x:c r="D160" s="63" t="str">
        <x:v>Supply-chain finance</x:v>
      </x:c>
      <x:c r="E160" s="63" t="str">
        <x:v>TRADE_AND_WORKING_CAPITAL</x:v>
      </x:c>
      <x:c r="F160" s="63" t="str">
        <x:v>ELIGIBLE_FLOW</x:v>
      </x:c>
      <x:c r="G160" s="64" t="b">
        <x:v>1</x:v>
      </x:c>
      <x:c r="H160" s="63" t="str">
        <x:v>SCENARIO_BLOCKED_PENDING_CALIBRATION</x:v>
      </x:c>
      <x:c r="I160" s="63" t="str">
        <x:v>SCENARIO</x:v>
      </x:c>
      <x:c r="J160" s="63" t="str">
        <x:v>E0</x:v>
      </x:c>
      <x:c r="K160" s="81" t="n">
        <x:v>0.4275</x:v>
      </x:c>
      <x:c r="L160" s="82" t="n">
        <x:v>1392270968.8739996</x:v>
      </x:c>
      <x:c r="M160" s="82" t="n">
        <x:v>2784541937.747999</x:v>
      </x:c>
      <x:c r="N160" s="82" t="n">
        <x:v>4176812906.6219993</x:v>
      </x:c>
      <x:c r="O160" s="63" t="str">
        <x:v>ZAR</x:v>
      </x:c>
      <x:c r="P160" s="81" t="n">
        <x:v>0.192375</x:v>
      </x:c>
      <x:c r="Q160" s="81" t="n">
        <x:v>0.320625</x:v>
      </x:c>
      <x:c r="R160" s="63" t="n">
        <x:v>0.4275</x:v>
      </x:c>
    </x:row>
    <x:row r="161">
      <x:c r="A161" s="63" t="str">
        <x:v>E10</x:v>
      </x:c>
      <x:c r="B161" s="63" t="str">
        <x:v>Bid Corporation</x:v>
      </x:c>
      <x:c r="C161" s="63" t="str">
        <x:v>SUSTAINABLE_FINANCE</x:v>
      </x:c>
      <x:c r="D161" s="63" t="str">
        <x:v>Sustainable finance</x:v>
      </x:c>
      <x:c r="E161" s="63" t="str">
        <x:v>CAPITAL_MARKETS</x:v>
      </x:c>
      <x:c r="F161" s="63" t="str">
        <x:v>ELIGIBLE_CAPEX</x:v>
      </x:c>
      <x:c r="G161" s="64" t="b">
        <x:v>0</x:v>
      </x:c>
      <x:c r="H161" s="63" t="str">
        <x:v>FAIL_CLOSED_REQUIRED_INPUT_UNAVAILABLE</x:v>
      </x:c>
      <x:c r="I161" s="63" t="str">
        <x:v>SCENARIO</x:v>
      </x:c>
      <x:c r="J161" s="63" t="str">
        <x:v>E0</x:v>
      </x:c>
      <x:c r="K161" s="81"/>
      <x:c r="L161" s="82"/>
      <x:c r="M161" s="82"/>
      <x:c r="N161" s="82"/>
      <x:c r="O161" s="63"/>
      <x:c r="P161" s="81"/>
      <x:c r="Q161" s="81"/>
      <x:c r="R161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62">
      <x:c r="A162" s="63" t="str">
        <x:v>E10</x:v>
      </x:c>
      <x:c r="B162" s="63" t="str">
        <x:v>Bid Corporation</x:v>
      </x:c>
      <x:c r="C162" s="63" t="str">
        <x:v>TERM_AND_SYNDICATED_LENDING</x:v>
      </x:c>
      <x:c r="D162" s="63" t="str">
        <x:v>Term and syndicated lending</x:v>
      </x:c>
      <x:c r="E162" s="63" t="str">
        <x:v>LENDING</x:v>
      </x:c>
      <x:c r="F162" s="63" t="str">
        <x:v>FACILITY_SIZE</x:v>
      </x:c>
      <x:c r="G162" s="64" t="b">
        <x:v>1</x:v>
      </x:c>
      <x:c r="H162" s="63" t="str">
        <x:v>SCENARIO_BLOCKED_PENDING_CALIBRATION</x:v>
      </x:c>
      <x:c r="I162" s="63" t="str">
        <x:v>SCENARIO</x:v>
      </x:c>
      <x:c r="J162" s="63" t="str">
        <x:v>E1</x:v>
      </x:c>
      <x:c r="K162" s="81" t="n">
        <x:v>0.5875000000000001</x:v>
      </x:c>
      <x:c r="L162" s="82" t="n">
        <x:v>28107944100</x:v>
      </x:c>
      <x:c r="M162" s="82" t="n">
        <x:v>34354153900.000004</x:v>
      </x:c>
      <x:c r="N162" s="82" t="n">
        <x:v>43723468600</x:v>
      </x:c>
      <x:c r="O162" s="63" t="str">
        <x:v>ZAR</x:v>
      </x:c>
      <x:c r="P162" s="81" t="n">
        <x:v>0.2643750000000001</x:v>
      </x:c>
      <x:c r="Q162" s="81" t="n">
        <x:v>0.4406250000000001</x:v>
      </x:c>
      <x:c r="R162" s="63" t="n">
        <x:v>0.5875000000000001</x:v>
      </x:c>
    </x:row>
    <x:row r="163">
      <x:c r="A163" s="63" t="str">
        <x:v>E10</x:v>
      </x:c>
      <x:c r="B163" s="63" t="str">
        <x:v>Bid Corporation</x:v>
      </x:c>
      <x:c r="C163" s="63" t="str">
        <x:v>TRADE_FINANCE</x:v>
      </x:c>
      <x:c r="D163" s="63" t="str">
        <x:v>Trade finance</x:v>
      </x:c>
      <x:c r="E163" s="63" t="str">
        <x:v>TRADE_AND_WORKING_CAPITAL</x:v>
      </x:c>
      <x:c r="F163" s="63" t="str">
        <x:v>ELIGIBLE_FLOW</x:v>
      </x:c>
      <x:c r="G163" s="64" t="b">
        <x:v>1</x:v>
      </x:c>
      <x:c r="H163" s="63" t="str">
        <x:v>SHADOW_ELIGIBLE_REPRESENTATIVE</x:v>
      </x:c>
      <x:c r="I163" s="63" t="str">
        <x:v>POSTERIOR</x:v>
      </x:c>
      <x:c r="J163" s="63" t="str">
        <x:v>E1</x:v>
      </x:c>
      <x:c r="K163" s="81" t="n">
        <x:v>1</x:v>
      </x:c>
      <x:c r="L163" s="82" t="n">
        <x:v>3785110423.2923355</x:v>
      </x:c>
      <x:c r="M163" s="82" t="n">
        <x:v>6544838943.650396</x:v>
      </x:c>
      <x:c r="N163" s="82" t="n">
        <x:v>16663689919.57262</x:v>
      </x:c>
      <x:c r="O163" s="63" t="str">
        <x:v>ZAR</x:v>
      </x:c>
      <x:c r="P163" s="81" t="n">
        <x:v>0.12998092789407112</x:v>
      </x:c>
      <x:c r="Q163" s="81" t="n">
        <x:v>0.24306681417193854</x:v>
      </x:c>
      <x:c r="R163" s="63" t="n">
        <x:v>0.34145369201968534</x:v>
      </x:c>
    </x:row>
    <x:row r="164">
      <x:c r="A164" s="63" t="str">
        <x:v>E10</x:v>
      </x:c>
      <x:c r="B164" s="63" t="str">
        <x:v>Bid Corporation</x:v>
      </x:c>
      <x:c r="C164" s="63" t="str">
        <x:v>WORKING_CAPITAL_REVOLVING</x:v>
      </x:c>
      <x:c r="D164" s="63" t="str">
        <x:v>Working-capital/revolving credit</x:v>
      </x:c>
      <x:c r="E164" s="63" t="str">
        <x:v>LENDING</x:v>
      </x:c>
      <x:c r="F164" s="63" t="str">
        <x:v>FACILITY_SIZE</x:v>
      </x:c>
      <x:c r="G164" s="64" t="b">
        <x:v>0</x:v>
      </x:c>
      <x:c r="H164" s="63" t="str">
        <x:v>FAIL_CLOSED_REQUIRED_INPUT_UNAVAILABLE</x:v>
      </x:c>
      <x:c r="I164" s="63" t="str">
        <x:v>SCENARIO</x:v>
      </x:c>
      <x:c r="J164" s="63" t="str">
        <x:v>E0</x:v>
      </x:c>
      <x:c r="K164" s="81"/>
      <x:c r="L164" s="82"/>
      <x:c r="M164" s="82"/>
      <x:c r="N164" s="82"/>
      <x:c r="O164" s="63"/>
      <x:c r="P164" s="81"/>
      <x:c r="Q164" s="81"/>
      <x:c r="R164" s="63" t="str">
        <x:v>No positive working-capital gap can be computed from reviewed evidence, so a revolving facility cannot be sized.</x:v>
      </x:c>
    </x:row>
    <x:row r="165">
      <x:c r="A165" s="63" t="str">
        <x:v>E11</x:v>
      </x:c>
      <x:c r="B165" s="63" t="str">
        <x:v>Pepkor Holdings</x:v>
      </x:c>
      <x:c r="C165" s="63" t="str">
        <x:v>COLLECTIONS</x:v>
      </x:c>
      <x:c r="D165" s="63" t="str">
        <x:v>Collections</x:v>
      </x:c>
      <x:c r="E165" s="63" t="str">
        <x:v>TRANSACTION_BANKING</x:v>
      </x:c>
      <x:c r="F165" s="63" t="str">
        <x:v>TRANSACTION_WALLET</x:v>
      </x:c>
      <x:c r="G165" s="64" t="b">
        <x:v>1</x:v>
      </x:c>
      <x:c r="H165" s="63" t="str">
        <x:v>SHADOW_ELIGIBLE_REPRESENTATIVE</x:v>
      </x:c>
      <x:c r="I165" s="63" t="str">
        <x:v>POSTERIOR</x:v>
      </x:c>
      <x:c r="J165" s="63" t="str">
        <x:v>E1</x:v>
      </x:c>
      <x:c r="K165" s="81" t="n">
        <x:v>1</x:v>
      </x:c>
      <x:c r="L165" s="82" t="n">
        <x:v>29735756030.52082</x:v>
      </x:c>
      <x:c r="M165" s="82" t="n">
        <x:v>41620637323.76076</x:v>
      </x:c>
      <x:c r="N165" s="82" t="n">
        <x:v>70960200855.04301</x:v>
      </x:c>
      <x:c r="O165" s="63" t="str">
        <x:v>ZAR</x:v>
      </x:c>
      <x:c r="P165" s="81" t="n">
        <x:v>0.10017415269956897</x:v>
      </x:c>
      <x:c r="Q165" s="81" t="n">
        <x:v>0.1903134445300615</x:v>
      </x:c>
      <x:c r="R165" s="63" t="n">
        <x:v>0.27142310917649515</x:v>
      </x:c>
    </x:row>
    <x:row r="166">
      <x:c r="A166" s="63" t="str">
        <x:v>E11</x:v>
      </x:c>
      <x:c r="B166" s="63" t="str">
        <x:v>Pepkor Holdings</x:v>
      </x:c>
      <x:c r="C166" s="63" t="str">
        <x:v>COMMODITY_RISK_MANAGEMENT</x:v>
      </x:c>
      <x:c r="D166" s="63" t="str">
        <x:v>Commodity risk management</x:v>
      </x:c>
      <x:c r="E166" s="63" t="str">
        <x:v>RISK_MANAGEMENT</x:v>
      </x:c>
      <x:c r="F166" s="63" t="str">
        <x:v>EXPOSURE_NOTIONAL</x:v>
      </x:c>
      <x:c r="G166" s="64" t="b">
        <x:v>0</x:v>
      </x:c>
      <x:c r="H166" s="63" t="str">
        <x:v>FAIL_CLOSED_REQUIRED_INPUT_UNAVAILABLE</x:v>
      </x:c>
      <x:c r="I166" s="63" t="str">
        <x:v>SCENARIO</x:v>
      </x:c>
      <x:c r="J166" s="63" t="str">
        <x:v>E0</x:v>
      </x:c>
      <x:c r="K166" s="81"/>
      <x:c r="L166" s="82"/>
      <x:c r="M166" s="82"/>
      <x:c r="N166" s="82"/>
      <x:c r="O166" s="63"/>
      <x:c r="P166" s="81"/>
      <x:c r="Q166" s="81"/>
      <x:c r="R166" s="63" t="str">
        <x:v>The consumer sector carries no governed commodity price linkage, so a hedgeable commodity notional cannot be asserted.</x:v>
      </x:c>
    </x:row>
    <x:row r="167">
      <x:c r="A167" s="63" t="str">
        <x:v>E11</x:v>
      </x:c>
      <x:c r="B167" s="63" t="str">
        <x:v>Pepkor Holdings</x:v>
      </x:c>
      <x:c r="C167" s="63" t="str">
        <x:v>CROSS_BORDER_FX</x:v>
      </x:c>
      <x:c r="D167" s="63" t="str">
        <x:v>Cross-border FX</x:v>
      </x:c>
      <x:c r="E167" s="63" t="str">
        <x:v>RISK_MANAGEMENT</x:v>
      </x:c>
      <x:c r="F167" s="63" t="str">
        <x:v>EXPOSURE_NOTIONAL</x:v>
      </x:c>
      <x:c r="G167" s="64" t="b">
        <x:v>1</x:v>
      </x:c>
      <x:c r="H167" s="63" t="str">
        <x:v>SHADOW_ELIGIBLE_REPRESENTATIVE</x:v>
      </x:c>
      <x:c r="I167" s="63" t="str">
        <x:v>POSTERIOR</x:v>
      </x:c>
      <x:c r="J167" s="63" t="str">
        <x:v>E1</x:v>
      </x:c>
      <x:c r="K167" s="81" t="n">
        <x:v>1</x:v>
      </x:c>
      <x:c r="L167" s="82" t="n">
        <x:v>14214569169.533998</x:v>
      </x:c>
      <x:c r="M167" s="82" t="n">
        <x:v>22758488377.4215</x:v>
      </x:c>
      <x:c r="N167" s="82" t="n">
        <x:v>47240145206.16602</x:v>
      </x:c>
      <x:c r="O167" s="63" t="str">
        <x:v>ZAR</x:v>
      </x:c>
      <x:c r="P167" s="81" t="n">
        <x:v>0.09856664844519625</x:v>
      </x:c>
      <x:c r="Q167" s="81" t="n">
        <x:v>0.18741791270467345</x:v>
      </x:c>
      <x:c r="R167" s="63" t="n">
        <x:v>0.26751140563597564</x:v>
      </x:c>
    </x:row>
    <x:row r="168">
      <x:c r="A168" s="63" t="str">
        <x:v>E11</x:v>
      </x:c>
      <x:c r="B168" s="63" t="str">
        <x:v>Pepkor Holdings</x:v>
      </x:c>
      <x:c r="C168" s="63" t="str">
        <x:v>DEBT_CAPITAL_MARKETS</x:v>
      </x:c>
      <x:c r="D168" s="63" t="str">
        <x:v>Debt capital markets</x:v>
      </x:c>
      <x:c r="E168" s="63" t="str">
        <x:v>CAPITAL_MARKETS</x:v>
      </x:c>
      <x:c r="F168" s="63" t="str">
        <x:v>FINANCING_REQUIREMENT</x:v>
      </x:c>
      <x:c r="G168" s="64" t="b">
        <x:v>1</x:v>
      </x:c>
      <x:c r="H168" s="63" t="str">
        <x:v>SCENARIO_BLOCKED_PENDING_CALIBRATION</x:v>
      </x:c>
      <x:c r="I168" s="63" t="str">
        <x:v>SCENARIO</x:v>
      </x:c>
      <x:c r="J168" s="63" t="str">
        <x:v>E1</x:v>
      </x:c>
      <x:c r="K168" s="81" t="n">
        <x:v>0.1375</x:v>
      </x:c>
      <x:c r="L168" s="82" t="n">
        <x:v>960</x:v>
      </x:c>
      <x:c r="M168" s="82" t="n">
        <x:v>1200</x:v>
      </x:c>
      <x:c r="N168" s="82" t="n">
        <x:v>1560</x:v>
      </x:c>
      <x:c r="O168" s="63" t="str">
        <x:v>ZAR</x:v>
      </x:c>
      <x:c r="P168" s="81" t="n">
        <x:v>0.061875000000000006</x:v>
      </x:c>
      <x:c r="Q168" s="81" t="n">
        <x:v>0.10312500000000001</x:v>
      </x:c>
      <x:c r="R168" s="63" t="n">
        <x:v>0.1375</x:v>
      </x:c>
    </x:row>
    <x:row r="169">
      <x:c r="A169" s="63" t="str">
        <x:v>E11</x:v>
      </x:c>
      <x:c r="B169" s="63" t="str">
        <x:v>Pepkor Holdings</x:v>
      </x:c>
      <x:c r="C169" s="63" t="str">
        <x:v>ESCROW_AND_AGENCY</x:v>
      </x:c>
      <x:c r="D169" s="63" t="str">
        <x:v>Escrow and agency services</x:v>
      </x:c>
      <x:c r="E169" s="63" t="str">
        <x:v>ADVISORY_AND_AGENCY</x:v>
      </x:c>
      <x:c r="F169" s="63" t="str">
        <x:v>EVENT_LINKED_FLOW</x:v>
      </x:c>
      <x:c r="G169" s="64" t="b">
        <x:v>0</x:v>
      </x:c>
      <x:c r="H169" s="63" t="str">
        <x:v>FAIL_CLOSED_REQUIRED_INPUT_UNAVAILABLE</x:v>
      </x:c>
      <x:c r="I169" s="63" t="str">
        <x:v>SCENARIO</x:v>
      </x:c>
      <x:c r="J169" s="63" t="str">
        <x:v>E0</x:v>
      </x:c>
      <x:c r="K169" s="81"/>
      <x:c r="L169" s="82"/>
      <x:c r="M169" s="82"/>
      <x:c r="N169" s="82"/>
      <x:c r="O169" s="63"/>
      <x:c r="P169" s="81"/>
      <x:c r="Q169" s="81"/>
      <x:c r="R169" s="63" t="str">
        <x:v>Escrow and agency flow is event-linked, and no reviewed corporate action or capital-structure event exists for this client.</x:v>
      </x:c>
    </x:row>
    <x:row r="170">
      <x:c r="A170" s="63" t="str">
        <x:v>E11</x:v>
      </x:c>
      <x:c r="B170" s="63" t="str">
        <x:v>Pepkor Holdings</x:v>
      </x:c>
      <x:c r="C170" s="63" t="str">
        <x:v>GUARANTEES_AND_LC</x:v>
      </x:c>
      <x:c r="D170" s="63" t="str">
        <x:v>Guarantees and letters of credit</x:v>
      </x:c>
      <x:c r="E170" s="63" t="str">
        <x:v>TRADE_AND_WORKING_CAPITAL</x:v>
      </x:c>
      <x:c r="F170" s="63" t="str">
        <x:v>CONTINGENT_EXPOSURE</x:v>
      </x:c>
      <x:c r="G170" s="64" t="b">
        <x:v>1</x:v>
      </x:c>
      <x:c r="H170" s="63" t="str">
        <x:v>SCENARIO_BLOCKED_PENDING_CALIBRATION</x:v>
      </x:c>
      <x:c r="I170" s="63" t="str">
        <x:v>SCENARIO</x:v>
      </x:c>
      <x:c r="J170" s="63" t="str">
        <x:v>E0</x:v>
      </x:c>
      <x:c r="K170" s="81" t="n">
        <x:v>0.24250000000000002</x:v>
      </x:c>
      <x:c r="L170" s="82" t="n">
        <x:v>27417161.612000015</x:v>
      </x:c>
      <x:c r="M170" s="82" t="n">
        <x:v>54834323.22400003</x:v>
      </x:c>
      <x:c r="N170" s="82" t="n">
        <x:v>82251484.83600004</x:v>
      </x:c>
      <x:c r="O170" s="63" t="str">
        <x:v>ZAR</x:v>
      </x:c>
      <x:c r="P170" s="81" t="n">
        <x:v>0.10912500000000001</x:v>
      </x:c>
      <x:c r="Q170" s="81" t="n">
        <x:v>0.181875</x:v>
      </x:c>
      <x:c r="R170" s="63" t="n">
        <x:v>0.24250000000000002</x:v>
      </x:c>
    </x:row>
    <x:row r="171">
      <x:c r="A171" s="63" t="str">
        <x:v>E11</x:v>
      </x:c>
      <x:c r="B171" s="63" t="str">
        <x:v>Pepkor Holdings</x:v>
      </x:c>
      <x:c r="C171" s="63" t="str">
        <x:v>INTEREST_RATE_RISK_MANAGEMENT</x:v>
      </x:c>
      <x:c r="D171" s="63" t="str">
        <x:v>Interest-rate risk management</x:v>
      </x:c>
      <x:c r="E171" s="63" t="str">
        <x:v>RISK_MANAGEMENT</x:v>
      </x:c>
      <x:c r="F171" s="63" t="str">
        <x:v>EXPOSURE_NOTIONAL</x:v>
      </x:c>
      <x:c r="G171" s="64" t="b">
        <x:v>1</x:v>
      </x:c>
      <x:c r="H171" s="63" t="str">
        <x:v>SCENARIO_BLOCKED_PENDING_CALIBRATION</x:v>
      </x:c>
      <x:c r="I171" s="63" t="str">
        <x:v>SCENARIO</x:v>
      </x:c>
      <x:c r="J171" s="63" t="str">
        <x:v>E1</x:v>
      </x:c>
      <x:c r="K171" s="81" t="n">
        <x:v>0.29999999999999993</x:v>
      </x:c>
      <x:c r="L171" s="82" t="n">
        <x:v>360000000</x:v>
      </x:c>
      <x:c r="M171" s="82" t="n">
        <x:v>660000000</x:v>
      </x:c>
      <x:c r="N171" s="82" t="n">
        <x:v>960000000</x:v>
      </x:c>
      <x:c r="O171" s="63" t="str">
        <x:v>ZAR</x:v>
      </x:c>
      <x:c r="P171" s="81" t="n">
        <x:v>0.13499999999999998</x:v>
      </x:c>
      <x:c r="Q171" s="81" t="n">
        <x:v>0.22499999999999995</x:v>
      </x:c>
      <x:c r="R171" s="63" t="n">
        <x:v>0.29999999999999993</x:v>
      </x:c>
    </x:row>
    <x:row r="172">
      <x:c r="A172" s="63" t="str">
        <x:v>E11</x:v>
      </x:c>
      <x:c r="B172" s="63" t="str">
        <x:v>Pepkor Holdings</x:v>
      </x:c>
      <x:c r="C172" s="63" t="str">
        <x:v>LIQUIDITY_CASH_MANAGEMENT</x:v>
      </x:c>
      <x:c r="D172" s="63" t="str">
        <x:v>Liquidity and cash management</x:v>
      </x:c>
      <x:c r="E172" s="63" t="str">
        <x:v>TRANSACTION_BANKING</x:v>
      </x:c>
      <x:c r="F172" s="63" t="str">
        <x:v>CASH_WALLET</x:v>
      </x:c>
      <x:c r="G172" s="64" t="b">
        <x:v>1</x:v>
      </x:c>
      <x:c r="H172" s="63" t="str">
        <x:v>SHADOW_ELIGIBLE_REPRESENTATIVE</x:v>
      </x:c>
      <x:c r="I172" s="63" t="str">
        <x:v>POSTERIOR</x:v>
      </x:c>
      <x:c r="J172" s="63" t="str">
        <x:v>E1</x:v>
      </x:c>
      <x:c r="K172" s="81" t="n">
        <x:v>1</x:v>
      </x:c>
      <x:c r="L172" s="82" t="n">
        <x:v>24818703132.357986</x:v>
      </x:c>
      <x:c r="M172" s="82" t="n">
        <x:v>40027457395.67423</x:v>
      </x:c>
      <x:c r="N172" s="82" t="n">
        <x:v>86457742045.45207</x:v>
      </x:c>
      <x:c r="O172" s="63" t="str">
        <x:v>ZAR</x:v>
      </x:c>
      <x:c r="P172" s="81" t="n">
        <x:v>0.10004989483772264</x:v>
      </x:c>
      <x:c r="Q172" s="81" t="n">
        <x:v>0.19008980821840593</x:v>
      </x:c>
      <x:c r="R172" s="63" t="n">
        <x:v>0.2711212377341543</x:v>
      </x:c>
    </x:row>
    <x:row r="173">
      <x:c r="A173" s="63" t="str">
        <x:v>E11</x:v>
      </x:c>
      <x:c r="B173" s="63" t="str">
        <x:v>Pepkor Holdings</x:v>
      </x:c>
      <x:c r="C173" s="63" t="str">
        <x:v>MA_AND_STRATEGIC_ADVISORY</x:v>
      </x:c>
      <x:c r="D173" s="63" t="str">
        <x:v>M&amp;A and strategic advisory</x:v>
      </x:c>
      <x:c r="E173" s="63" t="str">
        <x:v>ADVISORY_AND_AGENCY</x:v>
      </x:c>
      <x:c r="F173" s="63" t="str">
        <x:v>TRANSACTION_SIZE</x:v>
      </x:c>
      <x:c r="G173" s="64" t="b">
        <x:v>0</x:v>
      </x:c>
      <x:c r="H173" s="63" t="str">
        <x:v>FAIL_CLOSED_REQUIRED_INPUT_UNAVAILABLE</x:v>
      </x:c>
      <x:c r="I173" s="63" t="str">
        <x:v>SCENARIO</x:v>
      </x:c>
      <x:c r="J173" s="63" t="str">
        <x:v>E0</x:v>
      </x:c>
      <x:c r="K173" s="81"/>
      <x:c r="L173" s="82"/>
      <x:c r="M173" s="82"/>
      <x:c r="N173" s="82"/>
      <x:c r="O173" s="63"/>
      <x:c r="P173" s="81"/>
      <x:c r="Q173" s="81"/>
      <x:c r="R173" s="63" t="str">
        <x:v>No announced or reviewed transaction evidence exists, so no mandate probability or transaction size can be estimated.</x:v>
      </x:c>
    </x:row>
    <x:row r="174">
      <x:c r="A174" s="63" t="str">
        <x:v>E11</x:v>
      </x:c>
      <x:c r="B174" s="63" t="str">
        <x:v>Pepkor Holdings</x:v>
      </x:c>
      <x:c r="C174" s="63" t="str">
        <x:v>PAYMENTS</x:v>
      </x:c>
      <x:c r="D174" s="63" t="str">
        <x:v>Payments</x:v>
      </x:c>
      <x:c r="E174" s="63" t="str">
        <x:v>TRANSACTION_BANKING</x:v>
      </x:c>
      <x:c r="F174" s="63" t="str">
        <x:v>TRANSACTION_WALLET</x:v>
      </x:c>
      <x:c r="G174" s="64" t="b">
        <x:v>1</x:v>
      </x:c>
      <x:c r="H174" s="63" t="str">
        <x:v>SHADOW_ELIGIBLE_REPRESENTATIVE</x:v>
      </x:c>
      <x:c r="I174" s="63" t="str">
        <x:v>POSTERIOR</x:v>
      </x:c>
      <x:c r="J174" s="63" t="str">
        <x:v>E1</x:v>
      </x:c>
      <x:c r="K174" s="81" t="n">
        <x:v>1</x:v>
      </x:c>
      <x:c r="L174" s="82" t="n">
        <x:v>47963451539.719986</x:v>
      </x:c>
      <x:c r="M174" s="82" t="n">
        <x:v>68363249974.426926</x:v>
      </x:c>
      <x:c r="N174" s="82" t="n">
        <x:v>121419333584.8526</x:v>
      </x:c>
      <x:c r="O174" s="63" t="str">
        <x:v>ZAR</x:v>
      </x:c>
      <x:c r="P174" s="81" t="n">
        <x:v>0.10000122617454621</x:v>
      </x:c>
      <x:c r="Q174" s="81" t="n">
        <x:v>0.19000220711267957</x:v>
      </x:c>
      <x:c r="R174" s="63" t="n">
        <x:v>0.2710029796000877</x:v>
      </x:c>
    </x:row>
    <x:row r="175">
      <x:c r="A175" s="63" t="str">
        <x:v>E11</x:v>
      </x:c>
      <x:c r="B175" s="63" t="str">
        <x:v>Pepkor Holdings</x:v>
      </x:c>
      <x:c r="C175" s="63" t="str">
        <x:v>PROJECT_FINANCE</x:v>
      </x:c>
      <x:c r="D175" s="63" t="str">
        <x:v>Project finance</x:v>
      </x:c>
      <x:c r="E175" s="63" t="str">
        <x:v>LENDING</x:v>
      </x:c>
      <x:c r="F175" s="63" t="str">
        <x:v>PROJECT_FUNDING_REQUIREMENT</x:v>
      </x:c>
      <x:c r="G175" s="64" t="b">
        <x:v>0</x:v>
      </x:c>
      <x:c r="H175" s="63" t="str">
        <x:v>FAIL_CLOSED_REQUIRED_INPUT_UNAVAILABLE</x:v>
      </x:c>
      <x:c r="I175" s="63" t="str">
        <x:v>SCENARIO</x:v>
      </x:c>
      <x:c r="J175" s="63" t="str">
        <x:v>E0</x:v>
      </x:c>
      <x:c r="K175" s="81"/>
      <x:c r="L175" s="82"/>
      <x:c r="M175" s="82"/>
      <x:c r="N175" s="82"/>
      <x:c r="O175" s="63"/>
      <x:c r="P175" s="81"/>
      <x:c r="Q175" s="81"/>
      <x:c r="R175" s="63" t="str">
        <x:v>No reviewed project, SPV or ring-fenced cash-flow evidence exists for this client. Project finance cannot be sized from a sector assumption, and SPV ownership is never inferred from name similarity.</x:v>
      </x:c>
    </x:row>
    <x:row r="176">
      <x:c r="A176" s="63" t="str">
        <x:v>E11</x:v>
      </x:c>
      <x:c r="B176" s="63" t="str">
        <x:v>Pepkor Holdings</x:v>
      </x:c>
      <x:c r="C176" s="63" t="str">
        <x:v>SUPPLY_CHAIN_FINANCE</x:v>
      </x:c>
      <x:c r="D176" s="63" t="str">
        <x:v>Supply-chain finance</x:v>
      </x:c>
      <x:c r="E176" s="63" t="str">
        <x:v>TRADE_AND_WORKING_CAPITAL</x:v>
      </x:c>
      <x:c r="F176" s="63" t="str">
        <x:v>ELIGIBLE_FLOW</x:v>
      </x:c>
      <x:c r="G176" s="64" t="b">
        <x:v>1</x:v>
      </x:c>
      <x:c r="H176" s="63" t="str">
        <x:v>SCENARIO_BLOCKED_PENDING_CALIBRATION</x:v>
      </x:c>
      <x:c r="I176" s="63" t="str">
        <x:v>SCENARIO</x:v>
      </x:c>
      <x:c r="J176" s="63" t="str">
        <x:v>E0</x:v>
      </x:c>
      <x:c r="K176" s="81" t="n">
        <x:v>0.4275</x:v>
      </x:c>
      <x:c r="L176" s="82" t="n">
        <x:v>3598272257.0414953</x:v>
      </x:c>
      <x:c r="M176" s="82" t="n">
        <x:v>7196544514.082991</x:v>
      </x:c>
      <x:c r="N176" s="82" t="n">
        <x:v>10794816771.124487</x:v>
      </x:c>
      <x:c r="O176" s="63" t="str">
        <x:v>ZAR</x:v>
      </x:c>
      <x:c r="P176" s="81" t="n">
        <x:v>0.192375</x:v>
      </x:c>
      <x:c r="Q176" s="81" t="n">
        <x:v>0.320625</x:v>
      </x:c>
      <x:c r="R176" s="63" t="n">
        <x:v>0.4275</x:v>
      </x:c>
    </x:row>
    <x:row r="177">
      <x:c r="A177" s="63" t="str">
        <x:v>E11</x:v>
      </x:c>
      <x:c r="B177" s="63" t="str">
        <x:v>Pepkor Holdings</x:v>
      </x:c>
      <x:c r="C177" s="63" t="str">
        <x:v>SUSTAINABLE_FINANCE</x:v>
      </x:c>
      <x:c r="D177" s="63" t="str">
        <x:v>Sustainable finance</x:v>
      </x:c>
      <x:c r="E177" s="63" t="str">
        <x:v>CAPITAL_MARKETS</x:v>
      </x:c>
      <x:c r="F177" s="63" t="str">
        <x:v>ELIGIBLE_CAPEX</x:v>
      </x:c>
      <x:c r="G177" s="64" t="b">
        <x:v>0</x:v>
      </x:c>
      <x:c r="H177" s="63" t="str">
        <x:v>FAIL_CLOSED_REQUIRED_INPUT_UNAVAILABLE</x:v>
      </x:c>
      <x:c r="I177" s="63" t="str">
        <x:v>SCENARIO</x:v>
      </x:c>
      <x:c r="J177" s="63" t="str">
        <x:v>E0</x:v>
      </x:c>
      <x:c r="K177" s="81"/>
      <x:c r="L177" s="82"/>
      <x:c r="M177" s="82"/>
      <x:c r="N177" s="82"/>
      <x:c r="O177" s="63"/>
      <x:c r="P177" s="81"/>
      <x:c r="Q177" s="81"/>
      <x:c r="R177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78">
      <x:c r="A178" s="63" t="str">
        <x:v>E11</x:v>
      </x:c>
      <x:c r="B178" s="63" t="str">
        <x:v>Pepkor Holdings</x:v>
      </x:c>
      <x:c r="C178" s="63" t="str">
        <x:v>TERM_AND_SYNDICATED_LENDING</x:v>
      </x:c>
      <x:c r="D178" s="63" t="str">
        <x:v>Term and syndicated lending</x:v>
      </x:c>
      <x:c r="E178" s="63" t="str">
        <x:v>LENDING</x:v>
      </x:c>
      <x:c r="F178" s="63" t="str">
        <x:v>FACILITY_SIZE</x:v>
      </x:c>
      <x:c r="G178" s="64" t="b">
        <x:v>1</x:v>
      </x:c>
      <x:c r="H178" s="63" t="str">
        <x:v>SCENARIO_BLOCKED_PENDING_CALIBRATION</x:v>
      </x:c>
      <x:c r="I178" s="63" t="str">
        <x:v>SCENARIO</x:v>
      </x:c>
      <x:c r="J178" s="63" t="str">
        <x:v>E1</x:v>
      </x:c>
      <x:c r="K178" s="81" t="n">
        <x:v>0.1375</x:v>
      </x:c>
      <x:c r="L178" s="82" t="n">
        <x:v>1080</x:v>
      </x:c>
      <x:c r="M178" s="82" t="n">
        <x:v>1320</x:v>
      </x:c>
      <x:c r="N178" s="82" t="n">
        <x:v>1680</x:v>
      </x:c>
      <x:c r="O178" s="63" t="str">
        <x:v>ZAR</x:v>
      </x:c>
      <x:c r="P178" s="81" t="n">
        <x:v>0.061875000000000006</x:v>
      </x:c>
      <x:c r="Q178" s="81" t="n">
        <x:v>0.10312500000000001</x:v>
      </x:c>
      <x:c r="R178" s="63" t="n">
        <x:v>0.1375</x:v>
      </x:c>
    </x:row>
    <x:row r="179">
      <x:c r="A179" s="63" t="str">
        <x:v>E11</x:v>
      </x:c>
      <x:c r="B179" s="63" t="str">
        <x:v>Pepkor Holdings</x:v>
      </x:c>
      <x:c r="C179" s="63" t="str">
        <x:v>TRADE_FINANCE</x:v>
      </x:c>
      <x:c r="D179" s="63" t="str">
        <x:v>Trade finance</x:v>
      </x:c>
      <x:c r="E179" s="63" t="str">
        <x:v>TRADE_AND_WORKING_CAPITAL</x:v>
      </x:c>
      <x:c r="F179" s="63" t="str">
        <x:v>ELIGIBLE_FLOW</x:v>
      </x:c>
      <x:c r="G179" s="64" t="b">
        <x:v>1</x:v>
      </x:c>
      <x:c r="H179" s="63" t="str">
        <x:v>SHADOW_ELIGIBLE_REPRESENTATIVE</x:v>
      </x:c>
      <x:c r="I179" s="63" t="str">
        <x:v>POSTERIOR</x:v>
      </x:c>
      <x:c r="J179" s="63" t="str">
        <x:v>E1</x:v>
      </x:c>
      <x:c r="K179" s="81" t="n">
        <x:v>0.8914474661853325</x:v>
      </x:c>
      <x:c r="L179" s="82" t="n">
        <x:v>2580013182.8972487</x:v>
      </x:c>
      <x:c r="M179" s="82" t="n">
        <x:v>4385542360.28602</x:v>
      </x:c>
      <x:c r="N179" s="82" t="n">
        <x:v>11033075725.850626</x:v>
      </x:c>
      <x:c r="O179" s="63" t="str">
        <x:v>ZAR</x:v>
      </x:c>
      <x:c r="P179" s="81" t="n">
        <x:v>0.12947979191297754</x:v>
      </x:c>
      <x:c r="Q179" s="81" t="n">
        <x:v>0.24219456731212707</x:v>
      </x:c>
      <x:c r="R179" s="63" t="n">
        <x:v>0.34031505704707676</x:v>
      </x:c>
    </x:row>
    <x:row r="180">
      <x:c r="A180" s="63" t="str">
        <x:v>E11</x:v>
      </x:c>
      <x:c r="B180" s="63" t="str">
        <x:v>Pepkor Holdings</x:v>
      </x:c>
      <x:c r="C180" s="63" t="str">
        <x:v>WORKING_CAPITAL_REVOLVING</x:v>
      </x:c>
      <x:c r="D180" s="63" t="str">
        <x:v>Working-capital/revolving credit</x:v>
      </x:c>
      <x:c r="E180" s="63" t="str">
        <x:v>LENDING</x:v>
      </x:c>
      <x:c r="F180" s="63" t="str">
        <x:v>FACILITY_SIZE</x:v>
      </x:c>
      <x:c r="G180" s="64" t="b">
        <x:v>0</x:v>
      </x:c>
      <x:c r="H180" s="63" t="str">
        <x:v>FAIL_CLOSED_REQUIRED_INPUT_UNAVAILABLE</x:v>
      </x:c>
      <x:c r="I180" s="63" t="str">
        <x:v>SCENARIO</x:v>
      </x:c>
      <x:c r="J180" s="63" t="str">
        <x:v>E0</x:v>
      </x:c>
      <x:c r="K180" s="81"/>
      <x:c r="L180" s="82"/>
      <x:c r="M180" s="82"/>
      <x:c r="N180" s="82"/>
      <x:c r="O180" s="63"/>
      <x:c r="P180" s="81"/>
      <x:c r="Q180" s="81"/>
      <x:c r="R180" s="63" t="str">
        <x:v>No positive working-capital gap can be computed from reviewed evidence, so a revolving facility cannot be sized.</x:v>
      </x:c>
    </x:row>
    <x:row r="181">
      <x:c r="A181" s="63" t="str">
        <x:v>E12</x:v>
      </x:c>
      <x:c r="B181" s="63" t="str">
        <x:v>Clicks Group</x:v>
      </x:c>
      <x:c r="C181" s="63" t="str">
        <x:v>COLLECTIONS</x:v>
      </x:c>
      <x:c r="D181" s="63" t="str">
        <x:v>Collections</x:v>
      </x:c>
      <x:c r="E181" s="63" t="str">
        <x:v>TRANSACTION_BANKING</x:v>
      </x:c>
      <x:c r="F181" s="63" t="str">
        <x:v>TRANSACTION_WALLET</x:v>
      </x:c>
      <x:c r="G181" s="64" t="b">
        <x:v>1</x:v>
      </x:c>
      <x:c r="H181" s="63" t="str">
        <x:v>SHADOW_ELIGIBLE_REPRESENTATIVE</x:v>
      </x:c>
      <x:c r="I181" s="63" t="str">
        <x:v>POSTERIOR</x:v>
      </x:c>
      <x:c r="J181" s="63" t="str">
        <x:v>E1</x:v>
      </x:c>
      <x:c r="K181" s="81" t="n">
        <x:v>0.0024979205958046255</x:v>
      </x:c>
      <x:c r="L181" s="82" t="n">
        <x:v>986140526.1668773</x:v>
      </x:c>
      <x:c r="M181" s="82" t="n">
        <x:v>1365687898.4811192</x:v>
      </x:c>
      <x:c r="N181" s="82" t="n">
        <x:v>2332038074.301373</x:v>
      </x:c>
      <x:c r="O181" s="63" t="str">
        <x:v>ZAR</x:v>
      </x:c>
      <x:c r="P181" s="81" t="n">
        <x:v>0.09506267951995695</x:v>
      </x:c>
      <x:c r="Q181" s="81" t="n">
        <x:v>0.18108844600239982</x:v>
      </x:c>
      <x:c r="R181" s="63" t="n">
        <x:v>0.2589363726152636</x:v>
      </x:c>
    </x:row>
    <x:row r="182">
      <x:c r="A182" s="63" t="str">
        <x:v>E12</x:v>
      </x:c>
      <x:c r="B182" s="63" t="str">
        <x:v>Clicks Group</x:v>
      </x:c>
      <x:c r="C182" s="63" t="str">
        <x:v>COMMODITY_RISK_MANAGEMENT</x:v>
      </x:c>
      <x:c r="D182" s="63" t="str">
        <x:v>Commodity risk management</x:v>
      </x:c>
      <x:c r="E182" s="63" t="str">
        <x:v>RISK_MANAGEMENT</x:v>
      </x:c>
      <x:c r="F182" s="63" t="str">
        <x:v>EXPOSURE_NOTIONAL</x:v>
      </x:c>
      <x:c r="G182" s="64" t="b">
        <x:v>0</x:v>
      </x:c>
      <x:c r="H182" s="63" t="str">
        <x:v>FAIL_CLOSED_REQUIRED_INPUT_UNAVAILABLE</x:v>
      </x:c>
      <x:c r="I182" s="63" t="str">
        <x:v>SCENARIO</x:v>
      </x:c>
      <x:c r="J182" s="63" t="str">
        <x:v>E0</x:v>
      </x:c>
      <x:c r="K182" s="81"/>
      <x:c r="L182" s="82"/>
      <x:c r="M182" s="82"/>
      <x:c r="N182" s="82"/>
      <x:c r="O182" s="63"/>
      <x:c r="P182" s="81"/>
      <x:c r="Q182" s="81"/>
      <x:c r="R182" s="63" t="str">
        <x:v>The consumer sector carries no governed commodity price linkage, so a hedgeable commodity notional cannot be asserted.</x:v>
      </x:c>
    </x:row>
    <x:row r="183">
      <x:c r="A183" s="63" t="str">
        <x:v>E12</x:v>
      </x:c>
      <x:c r="B183" s="63" t="str">
        <x:v>Clicks Group</x:v>
      </x:c>
      <x:c r="C183" s="63" t="str">
        <x:v>CROSS_BORDER_FX</x:v>
      </x:c>
      <x:c r="D183" s="63" t="str">
        <x:v>Cross-border FX</x:v>
      </x:c>
      <x:c r="E183" s="63" t="str">
        <x:v>RISK_MANAGEMENT</x:v>
      </x:c>
      <x:c r="F183" s="63" t="str">
        <x:v>EXPOSURE_NOTIONAL</x:v>
      </x:c>
      <x:c r="G183" s="64" t="b">
        <x:v>1</x:v>
      </x:c>
      <x:c r="H183" s="63" t="str">
        <x:v>SHADOW_ELIGIBLE_REPRESENTATIVE</x:v>
      </x:c>
      <x:c r="I183" s="63" t="str">
        <x:v>POSTERIOR</x:v>
      </x:c>
      <x:c r="J183" s="63" t="str">
        <x:v>E1</x:v>
      </x:c>
      <x:c r="K183" s="81" t="n">
        <x:v>0.2713831631418473</x:v>
      </x:c>
      <x:c r="L183" s="82" t="n">
        <x:v>3339535658.600809</x:v>
      </x:c>
      <x:c r="M183" s="82" t="n">
        <x:v>5462627305.965935</x:v>
      </x:c>
      <x:c r="N183" s="82" t="n">
        <x:v>11085005050.103222</x:v>
      </x:c>
      <x:c r="O183" s="63" t="str">
        <x:v>ZAR</x:v>
      </x:c>
      <x:c r="P183" s="81" t="n">
        <x:v>0.10553185410065191</x:v>
      </x:c>
      <x:c r="Q183" s="81" t="n">
        <x:v>0.19992673597138255</x:v>
      </x:c>
      <x:c r="R183" s="63" t="n">
        <x:v>0.2843599509406829</x:v>
      </x:c>
    </x:row>
    <x:row r="184">
      <x:c r="A184" s="63" t="str">
        <x:v>E12</x:v>
      </x:c>
      <x:c r="B184" s="63" t="str">
        <x:v>Clicks Group</x:v>
      </x:c>
      <x:c r="C184" s="63" t="str">
        <x:v>DEBT_CAPITAL_MARKETS</x:v>
      </x:c>
      <x:c r="D184" s="63" t="str">
        <x:v>Debt capital markets</x:v>
      </x:c>
      <x:c r="E184" s="63" t="str">
        <x:v>CAPITAL_MARKETS</x:v>
      </x:c>
      <x:c r="F184" s="63" t="str">
        <x:v>FINANCING_REQUIREMENT</x:v>
      </x:c>
      <x:c r="G184" s="64" t="b">
        <x:v>0</x:v>
      </x:c>
      <x:c r="H184" s="63" t="str">
        <x:v>FAIL_CLOSED_REQUIRED_INPUT_UNAVAILABLE</x:v>
      </x:c>
      <x:c r="I184" s="63" t="str">
        <x:v>SCENARIO</x:v>
      </x:c>
      <x:c r="J184" s="63" t="str">
        <x:v>E0</x:v>
      </x:c>
      <x:c r="K184" s="81"/>
      <x:c r="L184" s="82"/>
      <x:c r="M184" s="82"/>
      <x:c r="N184" s="82"/>
      <x:c r="O184" s="63"/>
      <x:c r="P184" s="81"/>
      <x:c r="Q184" s="81"/>
      <x:c r="R184" s="63" t="str">
        <x:v>No disclosed financing requirement exists, so a DCM mandate cannot be sized.</x:v>
      </x:c>
    </x:row>
    <x:row r="185">
      <x:c r="A185" s="63" t="str">
        <x:v>E12</x:v>
      </x:c>
      <x:c r="B185" s="63" t="str">
        <x:v>Clicks Group</x:v>
      </x:c>
      <x:c r="C185" s="63" t="str">
        <x:v>ESCROW_AND_AGENCY</x:v>
      </x:c>
      <x:c r="D185" s="63" t="str">
        <x:v>Escrow and agency services</x:v>
      </x:c>
      <x:c r="E185" s="63" t="str">
        <x:v>ADVISORY_AND_AGENCY</x:v>
      </x:c>
      <x:c r="F185" s="63" t="str">
        <x:v>EVENT_LINKED_FLOW</x:v>
      </x:c>
      <x:c r="G185" s="64" t="b">
        <x:v>0</x:v>
      </x:c>
      <x:c r="H185" s="63" t="str">
        <x:v>FAIL_CLOSED_REQUIRED_INPUT_UNAVAILABLE</x:v>
      </x:c>
      <x:c r="I185" s="63" t="str">
        <x:v>SCENARIO</x:v>
      </x:c>
      <x:c r="J185" s="63" t="str">
        <x:v>E0</x:v>
      </x:c>
      <x:c r="K185" s="81"/>
      <x:c r="L185" s="82"/>
      <x:c r="M185" s="82"/>
      <x:c r="N185" s="82"/>
      <x:c r="O185" s="63"/>
      <x:c r="P185" s="81"/>
      <x:c r="Q185" s="81"/>
      <x:c r="R185" s="63" t="str">
        <x:v>Escrow and agency flow is event-linked, and no reviewed corporate action or capital-structure event exists for this client.</x:v>
      </x:c>
    </x:row>
    <x:row r="186">
      <x:c r="A186" s="63" t="str">
        <x:v>E12</x:v>
      </x:c>
      <x:c r="B186" s="63" t="str">
        <x:v>Clicks Group</x:v>
      </x:c>
      <x:c r="C186" s="63" t="str">
        <x:v>GUARANTEES_AND_LC</x:v>
      </x:c>
      <x:c r="D186" s="63" t="str">
        <x:v>Guarantees and letters of credit</x:v>
      </x:c>
      <x:c r="E186" s="63" t="str">
        <x:v>TRADE_AND_WORKING_CAPITAL</x:v>
      </x:c>
      <x:c r="F186" s="63" t="str">
        <x:v>CONTINGENT_EXPOSURE</x:v>
      </x:c>
      <x:c r="G186" s="64" t="b">
        <x:v>1</x:v>
      </x:c>
      <x:c r="H186" s="63" t="str">
        <x:v>SCENARIO_BLOCKED_PENDING_CALIBRATION</x:v>
      </x:c>
      <x:c r="I186" s="63" t="str">
        <x:v>SCENARIO</x:v>
      </x:c>
      <x:c r="J186" s="63" t="str">
        <x:v>E0</x:v>
      </x:c>
      <x:c r="K186" s="81" t="n">
        <x:v>0.24250000000000002</x:v>
      </x:c>
      <x:c r="L186" s="82" t="n">
        <x:v>1931048.7330000002</x:v>
      </x:c>
      <x:c r="M186" s="82" t="n">
        <x:v>3862097.4660000005</x:v>
      </x:c>
      <x:c r="N186" s="82" t="n">
        <x:v>5793146.199</x:v>
      </x:c>
      <x:c r="O186" s="63" t="str">
        <x:v>ZAR</x:v>
      </x:c>
      <x:c r="P186" s="81" t="n">
        <x:v>0.10912500000000001</x:v>
      </x:c>
      <x:c r="Q186" s="81" t="n">
        <x:v>0.181875</x:v>
      </x:c>
      <x:c r="R186" s="63" t="n">
        <x:v>0.24250000000000002</x:v>
      </x:c>
    </x:row>
    <x:row r="187">
      <x:c r="A187" s="63" t="str">
        <x:v>E12</x:v>
      </x:c>
      <x:c r="B187" s="63" t="str">
        <x:v>Clicks Group</x:v>
      </x:c>
      <x:c r="C187" s="63" t="str">
        <x:v>INTEREST_RATE_RISK_MANAGEMENT</x:v>
      </x:c>
      <x:c r="D187" s="63" t="str">
        <x:v>Interest-rate risk management</x:v>
      </x:c>
      <x:c r="E187" s="63" t="str">
        <x:v>RISK_MANAGEMENT</x:v>
      </x:c>
      <x:c r="F187" s="63" t="str">
        <x:v>EXPOSURE_NOTIONAL</x:v>
      </x:c>
      <x:c r="G187" s="64" t="b">
        <x:v>0</x:v>
      </x:c>
      <x:c r="H187" s="63" t="str">
        <x:v>FAIL_CLOSED_REQUIRED_INPUT_UNAVAILABLE</x:v>
      </x:c>
      <x:c r="I187" s="63" t="str">
        <x:v>SCENARIO</x:v>
      </x:c>
      <x:c r="J187" s="63" t="str">
        <x:v>E0</x:v>
      </x:c>
      <x:c r="K187" s="81"/>
      <x:c r="L187" s="82"/>
      <x:c r="M187" s="82"/>
      <x:c r="N187" s="82"/>
      <x:c r="O187" s="63"/>
      <x:c r="P187" s="81"/>
      <x:c r="Q187" s="81"/>
      <x:c r="R187" s="63" t="str">
        <x:v>No disclosed debt balance exists, so a hedgeable rate notional cannot be bounded.</x:v>
      </x:c>
    </x:row>
    <x:row r="188">
      <x:c r="A188" s="63" t="str">
        <x:v>E12</x:v>
      </x:c>
      <x:c r="B188" s="63" t="str">
        <x:v>Clicks Group</x:v>
      </x:c>
      <x:c r="C188" s="63" t="str">
        <x:v>LIQUIDITY_CASH_MANAGEMENT</x:v>
      </x:c>
      <x:c r="D188" s="63" t="str">
        <x:v>Liquidity and cash management</x:v>
      </x:c>
      <x:c r="E188" s="63" t="str">
        <x:v>TRANSACTION_BANKING</x:v>
      </x:c>
      <x:c r="F188" s="63" t="str">
        <x:v>CASH_WALLET</x:v>
      </x:c>
      <x:c r="G188" s="64" t="b">
        <x:v>1</x:v>
      </x:c>
      <x:c r="H188" s="63" t="str">
        <x:v>SHADOW_ELIGIBLE_REPRESENTATIVE</x:v>
      </x:c>
      <x:c r="I188" s="63" t="str">
        <x:v>POSTERIOR</x:v>
      </x:c>
      <x:c r="J188" s="63" t="str">
        <x:v>E1</x:v>
      </x:c>
      <x:c r="K188" s="81" t="n">
        <x:v>0.0042900397324936316</x:v>
      </x:c>
      <x:c r="L188" s="82" t="n">
        <x:v>505320983.9633535</x:v>
      </x:c>
      <x:c r="M188" s="82" t="n">
        <x:v>812368375.4976876</x:v>
      </x:c>
      <x:c r="N188" s="82" t="n">
        <x:v>1809042771.7788615</x:v>
      </x:c>
      <x:c r="O188" s="63" t="str">
        <x:v>ZAR</x:v>
      </x:c>
      <x:c r="P188" s="81" t="n">
        <x:v>0.09482341325858945</x:v>
      </x:c>
      <x:c r="Q188" s="81" t="n">
        <x:v>0.1806553468151697</x:v>
      </x:c>
      <x:c r="R188" s="63" t="n">
        <x:v>0.2583484034653306</x:v>
      </x:c>
    </x:row>
    <x:row r="189">
      <x:c r="A189" s="63" t="str">
        <x:v>E12</x:v>
      </x:c>
      <x:c r="B189" s="63" t="str">
        <x:v>Clicks Group</x:v>
      </x:c>
      <x:c r="C189" s="63" t="str">
        <x:v>MA_AND_STRATEGIC_ADVISORY</x:v>
      </x:c>
      <x:c r="D189" s="63" t="str">
        <x:v>M&amp;A and strategic advisory</x:v>
      </x:c>
      <x:c r="E189" s="63" t="str">
        <x:v>ADVISORY_AND_AGENCY</x:v>
      </x:c>
      <x:c r="F189" s="63" t="str">
        <x:v>TRANSACTION_SIZE</x:v>
      </x:c>
      <x:c r="G189" s="64" t="b">
        <x:v>0</x:v>
      </x:c>
      <x:c r="H189" s="63" t="str">
        <x:v>FAIL_CLOSED_REQUIRED_INPUT_UNAVAILABLE</x:v>
      </x:c>
      <x:c r="I189" s="63" t="str">
        <x:v>SCENARIO</x:v>
      </x:c>
      <x:c r="J189" s="63" t="str">
        <x:v>E0</x:v>
      </x:c>
      <x:c r="K189" s="81"/>
      <x:c r="L189" s="82"/>
      <x:c r="M189" s="82"/>
      <x:c r="N189" s="82"/>
      <x:c r="O189" s="63"/>
      <x:c r="P189" s="81"/>
      <x:c r="Q189" s="81"/>
      <x:c r="R189" s="63" t="str">
        <x:v>No announced or reviewed transaction evidence exists, so no mandate probability or transaction size can be estimated.</x:v>
      </x:c>
    </x:row>
    <x:row r="190">
      <x:c r="A190" s="63" t="str">
        <x:v>E12</x:v>
      </x:c>
      <x:c r="B190" s="63" t="str">
        <x:v>Clicks Group</x:v>
      </x:c>
      <x:c r="C190" s="63" t="str">
        <x:v>PAYMENTS</x:v>
      </x:c>
      <x:c r="D190" s="63" t="str">
        <x:v>Payments</x:v>
      </x:c>
      <x:c r="E190" s="63" t="str">
        <x:v>TRANSACTION_BANKING</x:v>
      </x:c>
      <x:c r="F190" s="63" t="str">
        <x:v>TRANSACTION_WALLET</x:v>
      </x:c>
      <x:c r="G190" s="64" t="b">
        <x:v>1</x:v>
      </x:c>
      <x:c r="H190" s="63" t="str">
        <x:v>SHADOW_ELIGIBLE_REPRESENTATIVE</x:v>
      </x:c>
      <x:c r="I190" s="63" t="str">
        <x:v>POSTERIOR</x:v>
      </x:c>
      <x:c r="J190" s="63" t="str">
        <x:v>E1</x:v>
      </x:c>
      <x:c r="K190" s="81" t="n">
        <x:v>0.0064499207412208855</x:v>
      </x:c>
      <x:c r="L190" s="82" t="n">
        <x:v>853736000.6762042</x:v>
      </x:c>
      <x:c r="M190" s="82" t="n">
        <x:v>1227638818.722444</x:v>
      </x:c>
      <x:c r="N190" s="82" t="n">
        <x:v>2158893577.778899</x:v>
      </x:c>
      <x:c r="O190" s="63" t="str">
        <x:v>ZAR</x:v>
      </x:c>
      <x:c r="P190" s="81" t="n">
        <x:v>0.09476308258415678</x:v>
      </x:c>
      <x:c r="Q190" s="81" t="n">
        <x:v>0.18054612334746178</x:v>
      </x:c>
      <x:c r="R190" s="63" t="n">
        <x:v>0.2582000987345937</x:v>
      </x:c>
    </x:row>
    <x:row r="191">
      <x:c r="A191" s="63" t="str">
        <x:v>E12</x:v>
      </x:c>
      <x:c r="B191" s="63" t="str">
        <x:v>Clicks Group</x:v>
      </x:c>
      <x:c r="C191" s="63" t="str">
        <x:v>PROJECT_FINANCE</x:v>
      </x:c>
      <x:c r="D191" s="63" t="str">
        <x:v>Project finance</x:v>
      </x:c>
      <x:c r="E191" s="63" t="str">
        <x:v>LENDING</x:v>
      </x:c>
      <x:c r="F191" s="63" t="str">
        <x:v>PROJECT_FUNDING_REQUIREMENT</x:v>
      </x:c>
      <x:c r="G191" s="64" t="b">
        <x:v>0</x:v>
      </x:c>
      <x:c r="H191" s="63" t="str">
        <x:v>FAIL_CLOSED_REQUIRED_INPUT_UNAVAILABLE</x:v>
      </x:c>
      <x:c r="I191" s="63" t="str">
        <x:v>SCENARIO</x:v>
      </x:c>
      <x:c r="J191" s="63" t="str">
        <x:v>E0</x:v>
      </x:c>
      <x:c r="K191" s="81"/>
      <x:c r="L191" s="82"/>
      <x:c r="M191" s="82"/>
      <x:c r="N191" s="82"/>
      <x:c r="O191" s="63"/>
      <x:c r="P191" s="81"/>
      <x:c r="Q191" s="81"/>
      <x:c r="R191" s="63" t="str">
        <x:v>No reviewed project, SPV or ring-fenced cash-flow evidence exists for this client. Project finance cannot be sized from a sector assumption, and SPV ownership is never inferred from name similarity.</x:v>
      </x:c>
    </x:row>
    <x:row r="192">
      <x:c r="A192" s="63" t="str">
        <x:v>E12</x:v>
      </x:c>
      <x:c r="B192" s="63" t="str">
        <x:v>Clicks Group</x:v>
      </x:c>
      <x:c r="C192" s="63" t="str">
        <x:v>SUPPLY_CHAIN_FINANCE</x:v>
      </x:c>
      <x:c r="D192" s="63" t="str">
        <x:v>Supply-chain finance</x:v>
      </x:c>
      <x:c r="E192" s="63" t="str">
        <x:v>TRADE_AND_WORKING_CAPITAL</x:v>
      </x:c>
      <x:c r="F192" s="63" t="str">
        <x:v>ELIGIBLE_FLOW</x:v>
      </x:c>
      <x:c r="G192" s="64" t="b">
        <x:v>1</x:v>
      </x:c>
      <x:c r="H192" s="63" t="str">
        <x:v>SCENARIO_BLOCKED_PENDING_CALIBRATION</x:v>
      </x:c>
      <x:c r="I192" s="63" t="str">
        <x:v>SCENARIO</x:v>
      </x:c>
      <x:c r="J192" s="63" t="str">
        <x:v>E0</x:v>
      </x:c>
      <x:c r="K192" s="81" t="n">
        <x:v>0.4275</x:v>
      </x:c>
      <x:c r="L192" s="82" t="n">
        <x:v>18658434.281999994</x:v>
      </x:c>
      <x:c r="M192" s="82" t="n">
        <x:v>37316868.56399999</x:v>
      </x:c>
      <x:c r="N192" s="82" t="n">
        <x:v>55975302.845999986</x:v>
      </x:c>
      <x:c r="O192" s="63" t="str">
        <x:v>ZAR</x:v>
      </x:c>
      <x:c r="P192" s="81" t="n">
        <x:v>0.192375</x:v>
      </x:c>
      <x:c r="Q192" s="81" t="n">
        <x:v>0.320625</x:v>
      </x:c>
      <x:c r="R192" s="63" t="n">
        <x:v>0.4275</x:v>
      </x:c>
    </x:row>
    <x:row r="193">
      <x:c r="A193" s="63" t="str">
        <x:v>E12</x:v>
      </x:c>
      <x:c r="B193" s="63" t="str">
        <x:v>Clicks Group</x:v>
      </x:c>
      <x:c r="C193" s="63" t="str">
        <x:v>SUSTAINABLE_FINANCE</x:v>
      </x:c>
      <x:c r="D193" s="63" t="str">
        <x:v>Sustainable finance</x:v>
      </x:c>
      <x:c r="E193" s="63" t="str">
        <x:v>CAPITAL_MARKETS</x:v>
      </x:c>
      <x:c r="F193" s="63" t="str">
        <x:v>ELIGIBLE_CAPEX</x:v>
      </x:c>
      <x:c r="G193" s="64" t="b">
        <x:v>0</x:v>
      </x:c>
      <x:c r="H193" s="63" t="str">
        <x:v>FAIL_CLOSED_REQUIRED_INPUT_UNAVAILABLE</x:v>
      </x:c>
      <x:c r="I193" s="63" t="str">
        <x:v>SCENARIO</x:v>
      </x:c>
      <x:c r="J193" s="63" t="str">
        <x:v>E0</x:v>
      </x:c>
      <x:c r="K193" s="81"/>
      <x:c r="L193" s="82"/>
      <x:c r="M193" s="82"/>
      <x:c r="N193" s="82"/>
      <x:c r="O193" s="63"/>
      <x:c r="P193" s="81"/>
      <x:c r="Q193" s="81"/>
      <x:c r="R193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194">
      <x:c r="A194" s="63" t="str">
        <x:v>E12</x:v>
      </x:c>
      <x:c r="B194" s="63" t="str">
        <x:v>Clicks Group</x:v>
      </x:c>
      <x:c r="C194" s="63" t="str">
        <x:v>TERM_AND_SYNDICATED_LENDING</x:v>
      </x:c>
      <x:c r="D194" s="63" t="str">
        <x:v>Term and syndicated lending</x:v>
      </x:c>
      <x:c r="E194" s="63" t="str">
        <x:v>LENDING</x:v>
      </x:c>
      <x:c r="F194" s="63" t="str">
        <x:v>FACILITY_SIZE</x:v>
      </x:c>
      <x:c r="G194" s="64" t="b">
        <x:v>0</x:v>
      </x:c>
      <x:c r="H194" s="63" t="str">
        <x:v>FAIL_CLOSED_REQUIRED_INPUT_UNAVAILABLE</x:v>
      </x:c>
      <x:c r="I194" s="63" t="str">
        <x:v>SCENARIO</x:v>
      </x:c>
      <x:c r="J194" s="63" t="str">
        <x:v>E0</x:v>
      </x:c>
      <x:c r="K194" s="81"/>
      <x:c r="L194" s="82"/>
      <x:c r="M194" s="82"/>
      <x:c r="N194" s="82"/>
      <x:c r="O194" s="63"/>
      <x:c r="P194" s="81"/>
      <x:c r="Q194" s="81"/>
      <x:c r="R194" s="63" t="str">
        <x:v>No maturing debt or refinancing exposure is disclosed, so a term facility cannot be sized.</x:v>
      </x:c>
    </x:row>
    <x:row r="195">
      <x:c r="A195" s="63" t="str">
        <x:v>E12</x:v>
      </x:c>
      <x:c r="B195" s="63" t="str">
        <x:v>Clicks Group</x:v>
      </x:c>
      <x:c r="C195" s="63" t="str">
        <x:v>TRADE_FINANCE</x:v>
      </x:c>
      <x:c r="D195" s="63" t="str">
        <x:v>Trade finance</x:v>
      </x:c>
      <x:c r="E195" s="63" t="str">
        <x:v>TRADE_AND_WORKING_CAPITAL</x:v>
      </x:c>
      <x:c r="F195" s="63" t="str">
        <x:v>ELIGIBLE_FLOW</x:v>
      </x:c>
      <x:c r="G195" s="64" t="b">
        <x:v>1</x:v>
      </x:c>
      <x:c r="H195" s="63" t="str">
        <x:v>SHADOW_ELIGIBLE_REPRESENTATIVE</x:v>
      </x:c>
      <x:c r="I195" s="63" t="str">
        <x:v>POSTERIOR</x:v>
      </x:c>
      <x:c r="J195" s="63" t="str">
        <x:v>E1</x:v>
      </x:c>
      <x:c r="K195" s="81" t="n">
        <x:v>0.014884354885017758</x:v>
      </x:c>
      <x:c r="L195" s="82" t="n">
        <x:v>243212248.59705606</x:v>
      </x:c>
      <x:c r="M195" s="82" t="n">
        <x:v>421429897.85503584</x:v>
      </x:c>
      <x:c r="N195" s="82" t="n">
        <x:v>1078401054.989253</x:v>
      </x:c>
      <x:c r="O195" s="63" t="str">
        <x:v>ZAR</x:v>
      </x:c>
      <x:c r="P195" s="81" t="n">
        <x:v>0.12656959683914515</x:v>
      </x:c>
      <x:c r="Q195" s="81" t="n">
        <x:v>0.23711933083426662</x:v>
      </x:c>
      <x:c r="R195" s="63" t="n">
        <x:v>0.33367682956695077</x:v>
      </x:c>
    </x:row>
    <x:row r="196">
      <x:c r="A196" s="63" t="str">
        <x:v>E12</x:v>
      </x:c>
      <x:c r="B196" s="63" t="str">
        <x:v>Clicks Group</x:v>
      </x:c>
      <x:c r="C196" s="63" t="str">
        <x:v>WORKING_CAPITAL_REVOLVING</x:v>
      </x:c>
      <x:c r="D196" s="63" t="str">
        <x:v>Working-capital/revolving credit</x:v>
      </x:c>
      <x:c r="E196" s="63" t="str">
        <x:v>LENDING</x:v>
      </x:c>
      <x:c r="F196" s="63" t="str">
        <x:v>FACILITY_SIZE</x:v>
      </x:c>
      <x:c r="G196" s="64" t="b">
        <x:v>0</x:v>
      </x:c>
      <x:c r="H196" s="63" t="str">
        <x:v>FAIL_CLOSED_REQUIRED_INPUT_UNAVAILABLE</x:v>
      </x:c>
      <x:c r="I196" s="63" t="str">
        <x:v>SCENARIO</x:v>
      </x:c>
      <x:c r="J196" s="63" t="str">
        <x:v>E0</x:v>
      </x:c>
      <x:c r="K196" s="81"/>
      <x:c r="L196" s="82"/>
      <x:c r="M196" s="82"/>
      <x:c r="N196" s="82"/>
      <x:c r="O196" s="63"/>
      <x:c r="P196" s="81"/>
      <x:c r="Q196" s="81"/>
      <x:c r="R196" s="63" t="str">
        <x:v>No positive working-capital gap can be computed from reviewed evidence, so a revolving facility cannot be sized.</x:v>
      </x:c>
    </x:row>
    <x:row r="197">
      <x:c r="A197" s="63" t="str">
        <x:v>E13</x:v>
      </x:c>
      <x:c r="B197" s="63" t="str">
        <x:v>NEPI Rockcastle</x:v>
      </x:c>
      <x:c r="C197" s="63" t="str">
        <x:v>COLLECTIONS</x:v>
      </x:c>
      <x:c r="D197" s="63" t="str">
        <x:v>Collections</x:v>
      </x:c>
      <x:c r="E197" s="63" t="str">
        <x:v>TRANSACTION_BANKING</x:v>
      </x:c>
      <x:c r="F197" s="63" t="str">
        <x:v>TRANSACTION_WALLET</x:v>
      </x:c>
      <x:c r="G197" s="64" t="b">
        <x:v>1</x:v>
      </x:c>
      <x:c r="H197" s="63" t="str">
        <x:v>SHADOW_ELIGIBLE_REPRESENTATIVE</x:v>
      </x:c>
      <x:c r="I197" s="63" t="str">
        <x:v>POSTERIOR</x:v>
      </x:c>
      <x:c r="J197" s="63" t="str">
        <x:v>E1</x:v>
      </x:c>
      <x:c r="K197" s="81" t="n">
        <x:v>0.00016174843881353818</x:v>
      </x:c>
      <x:c r="L197" s="82" t="n">
        <x:v>235222874.94334078</x:v>
      </x:c>
      <x:c r="M197" s="82" t="n">
        <x:v>330523448.0768376</x:v>
      </x:c>
      <x:c r="N197" s="82" t="n">
        <x:v>561908034.1826413</x:v>
      </x:c>
      <x:c r="O197" s="63" t="str">
        <x:v>ZAR</x:v>
      </x:c>
      <x:c r="P197" s="81" t="n">
        <x:v>0.08819775156290832</x:v>
      </x:c>
      <x:c r="Q197" s="81" t="n">
        <x:v>0.16861665974506412</x:v>
      </x:c>
      <x:c r="R197" s="63" t="n">
        <x:v>0.24194280104240984</x:v>
      </x:c>
    </x:row>
    <x:row r="198">
      <x:c r="A198" s="63" t="str">
        <x:v>E13</x:v>
      </x:c>
      <x:c r="B198" s="63" t="str">
        <x:v>NEPI Rockcastle</x:v>
      </x:c>
      <x:c r="C198" s="63" t="str">
        <x:v>COMMODITY_RISK_MANAGEMENT</x:v>
      </x:c>
      <x:c r="D198" s="63" t="str">
        <x:v>Commodity risk management</x:v>
      </x:c>
      <x:c r="E198" s="63" t="str">
        <x:v>RISK_MANAGEMENT</x:v>
      </x:c>
      <x:c r="F198" s="63" t="str">
        <x:v>EXPOSURE_NOTIONAL</x:v>
      </x:c>
      <x:c r="G198" s="64" t="b">
        <x:v>0</x:v>
      </x:c>
      <x:c r="H198" s="63" t="str">
        <x:v>FAIL_CLOSED_REQUIRED_INPUT_UNAVAILABLE</x:v>
      </x:c>
      <x:c r="I198" s="63" t="str">
        <x:v>SCENARIO</x:v>
      </x:c>
      <x:c r="J198" s="63" t="str">
        <x:v>E0</x:v>
      </x:c>
      <x:c r="K198" s="81"/>
      <x:c r="L198" s="82"/>
      <x:c r="M198" s="82"/>
      <x:c r="N198" s="82"/>
      <x:c r="O198" s="63"/>
      <x:c r="P198" s="81"/>
      <x:c r="Q198" s="81"/>
      <x:c r="R198" s="63" t="str">
        <x:v>The real_estate sector carries no governed commodity price linkage, so a hedgeable commodity notional cannot be asserted.</x:v>
      </x:c>
    </x:row>
    <x:row r="199">
      <x:c r="A199" s="63" t="str">
        <x:v>E13</x:v>
      </x:c>
      <x:c r="B199" s="63" t="str">
        <x:v>NEPI Rockcastle</x:v>
      </x:c>
      <x:c r="C199" s="63" t="str">
        <x:v>CROSS_BORDER_FX</x:v>
      </x:c>
      <x:c r="D199" s="63" t="str">
        <x:v>Cross-border FX</x:v>
      </x:c>
      <x:c r="E199" s="63" t="str">
        <x:v>RISK_MANAGEMENT</x:v>
      </x:c>
      <x:c r="F199" s="63" t="str">
        <x:v>EXPOSURE_NOTIONAL</x:v>
      </x:c>
      <x:c r="G199" s="64" t="b">
        <x:v>1</x:v>
      </x:c>
      <x:c r="H199" s="63" t="str">
        <x:v>SHADOW_ELIGIBLE_REPRESENTATIVE</x:v>
      </x:c>
      <x:c r="I199" s="63" t="str">
        <x:v>POSTERIOR</x:v>
      </x:c>
      <x:c r="J199" s="63" t="str">
        <x:v>E1</x:v>
      </x:c>
      <x:c r="K199" s="81" t="n">
        <x:v>0.04302637292769698</x:v>
      </x:c>
      <x:c r="L199" s="82" t="n">
        <x:v>868517847.2415655</x:v>
      </x:c>
      <x:c r="M199" s="82" t="n">
        <x:v>1411280082.4536643</x:v>
      </x:c>
      <x:c r="N199" s="82" t="n">
        <x:v>2955531711.525008</x:v>
      </x:c>
      <x:c r="O199" s="63" t="str">
        <x:v>ZAR</x:v>
      </x:c>
      <x:c r="P199" s="81" t="n">
        <x:v>0.10443726175686963</x:v>
      </x:c>
      <x:c r="Q199" s="81" t="n">
        <x:v>0.19796738187046636</x:v>
      </x:c>
      <x:c r="R199" s="63" t="n">
        <x:v>0.2817294723476079</x:v>
      </x:c>
    </x:row>
    <x:row r="200">
      <x:c r="A200" s="63" t="str">
        <x:v>E13</x:v>
      </x:c>
      <x:c r="B200" s="63" t="str">
        <x:v>NEPI Rockcastle</x:v>
      </x:c>
      <x:c r="C200" s="63" t="str">
        <x:v>DEBT_CAPITAL_MARKETS</x:v>
      </x:c>
      <x:c r="D200" s="63" t="str">
        <x:v>Debt capital markets</x:v>
      </x:c>
      <x:c r="E200" s="63" t="str">
        <x:v>CAPITAL_MARKETS</x:v>
      </x:c>
      <x:c r="F200" s="63" t="str">
        <x:v>FINANCING_REQUIREMENT</x:v>
      </x:c>
      <x:c r="G200" s="64" t="b">
        <x:v>1</x:v>
      </x:c>
      <x:c r="H200" s="63" t="str">
        <x:v>SCENARIO_BLOCKED_PENDING_CALIBRATION</x:v>
      </x:c>
      <x:c r="I200" s="63" t="str">
        <x:v>SCENARIO</x:v>
      </x:c>
      <x:c r="J200" s="63" t="str">
        <x:v>E1</x:v>
      </x:c>
      <x:c r="K200" s="81" t="n">
        <x:v>0.1375</x:v>
      </x:c>
      <x:c r="L200" s="82" t="n">
        <x:v>227.24720000000002</x:v>
      </x:c>
      <x:c r="M200" s="82" t="n">
        <x:v>284.059</x:v>
      </x:c>
      <x:c r="N200" s="82" t="n">
        <x:v>369.27670000000006</x:v>
      </x:c>
      <x:c r="O200" s="63" t="str">
        <x:v>ZAR</x:v>
      </x:c>
      <x:c r="P200" s="81" t="n">
        <x:v>0.061875000000000006</x:v>
      </x:c>
      <x:c r="Q200" s="81" t="n">
        <x:v>0.10312500000000001</x:v>
      </x:c>
      <x:c r="R200" s="63" t="n">
        <x:v>0.1375</x:v>
      </x:c>
    </x:row>
    <x:row r="201">
      <x:c r="A201" s="63" t="str">
        <x:v>E13</x:v>
      </x:c>
      <x:c r="B201" s="63" t="str">
        <x:v>NEPI Rockcastle</x:v>
      </x:c>
      <x:c r="C201" s="63" t="str">
        <x:v>ESCROW_AND_AGENCY</x:v>
      </x:c>
      <x:c r="D201" s="63" t="str">
        <x:v>Escrow and agency services</x:v>
      </x:c>
      <x:c r="E201" s="63" t="str">
        <x:v>ADVISORY_AND_AGENCY</x:v>
      </x:c>
      <x:c r="F201" s="63" t="str">
        <x:v>EVENT_LINKED_FLOW</x:v>
      </x:c>
      <x:c r="G201" s="64" t="b">
        <x:v>0</x:v>
      </x:c>
      <x:c r="H201" s="63" t="str">
        <x:v>FAIL_CLOSED_REQUIRED_INPUT_UNAVAILABLE</x:v>
      </x:c>
      <x:c r="I201" s="63" t="str">
        <x:v>SCENARIO</x:v>
      </x:c>
      <x:c r="J201" s="63" t="str">
        <x:v>E0</x:v>
      </x:c>
      <x:c r="K201" s="81"/>
      <x:c r="L201" s="82"/>
      <x:c r="M201" s="82"/>
      <x:c r="N201" s="82"/>
      <x:c r="O201" s="63"/>
      <x:c r="P201" s="81"/>
      <x:c r="Q201" s="81"/>
      <x:c r="R201" s="63" t="str">
        <x:v>Escrow and agency flow is event-linked, and no reviewed corporate action or capital-structure event exists for this client.</x:v>
      </x:c>
    </x:row>
    <x:row r="202">
      <x:c r="A202" s="63" t="str">
        <x:v>E13</x:v>
      </x:c>
      <x:c r="B202" s="63" t="str">
        <x:v>NEPI Rockcastle</x:v>
      </x:c>
      <x:c r="C202" s="63" t="str">
        <x:v>GUARANTEES_AND_LC</x:v>
      </x:c>
      <x:c r="D202" s="63" t="str">
        <x:v>Guarantees and letters of credit</x:v>
      </x:c>
      <x:c r="E202" s="63" t="str">
        <x:v>TRADE_AND_WORKING_CAPITAL</x:v>
      </x:c>
      <x:c r="F202" s="63" t="str">
        <x:v>CONTINGENT_EXPOSURE</x:v>
      </x:c>
      <x:c r="G202" s="64" t="b">
        <x:v>1</x:v>
      </x:c>
      <x:c r="H202" s="63" t="str">
        <x:v>SCENARIO_BLOCKED_PENDING_CALIBRATION</x:v>
      </x:c>
      <x:c r="I202" s="63" t="str">
        <x:v>SCENARIO</x:v>
      </x:c>
      <x:c r="J202" s="63" t="str">
        <x:v>E0</x:v>
      </x:c>
      <x:c r="K202" s="81" t="n">
        <x:v>0.24250000000000002</x:v>
      </x:c>
      <x:c r="L202" s="82" t="n">
        <x:v>30930.41</x:v>
      </x:c>
      <x:c r="M202" s="82" t="n">
        <x:v>61860.82</x:v>
      </x:c>
      <x:c r="N202" s="82" t="n">
        <x:v>92791.23</x:v>
      </x:c>
      <x:c r="O202" s="63" t="str">
        <x:v>ZAR</x:v>
      </x:c>
      <x:c r="P202" s="81" t="n">
        <x:v>0.10912500000000001</x:v>
      </x:c>
      <x:c r="Q202" s="81" t="n">
        <x:v>0.181875</x:v>
      </x:c>
      <x:c r="R202" s="63" t="n">
        <x:v>0.24250000000000002</x:v>
      </x:c>
    </x:row>
    <x:row r="203">
      <x:c r="A203" s="63" t="str">
        <x:v>E13</x:v>
      </x:c>
      <x:c r="B203" s="63" t="str">
        <x:v>NEPI Rockcastle</x:v>
      </x:c>
      <x:c r="C203" s="63" t="str">
        <x:v>INTEREST_RATE_RISK_MANAGEMENT</x:v>
      </x:c>
      <x:c r="D203" s="63" t="str">
        <x:v>Interest-rate risk management</x:v>
      </x:c>
      <x:c r="E203" s="63" t="str">
        <x:v>RISK_MANAGEMENT</x:v>
      </x:c>
      <x:c r="F203" s="63" t="str">
        <x:v>EXPOSURE_NOTIONAL</x:v>
      </x:c>
      <x:c r="G203" s="64" t="b">
        <x:v>1</x:v>
      </x:c>
      <x:c r="H203" s="63" t="str">
        <x:v>SCENARIO_BLOCKED_PENDING_CALIBRATION</x:v>
      </x:c>
      <x:c r="I203" s="63" t="str">
        <x:v>SCENARIO</x:v>
      </x:c>
      <x:c r="J203" s="63" t="str">
        <x:v>E1</x:v>
      </x:c>
      <x:c r="K203" s="81" t="n">
        <x:v>0.6275</x:v>
      </x:c>
      <x:c r="L203" s="82" t="n">
        <x:v>1781049930</x:v>
      </x:c>
      <x:c r="M203" s="82" t="n">
        <x:v>3265258205.0000005</x:v>
      </x:c>
      <x:c r="N203" s="82" t="n">
        <x:v>4749466480</x:v>
      </x:c>
      <x:c r="O203" s="63" t="str">
        <x:v>ZAR</x:v>
      </x:c>
      <x:c r="P203" s="81" t="n">
        <x:v>0.282375</x:v>
      </x:c>
      <x:c r="Q203" s="81" t="n">
        <x:v>0.47062499999999996</x:v>
      </x:c>
      <x:c r="R203" s="63" t="n">
        <x:v>0.6275</x:v>
      </x:c>
    </x:row>
    <x:row r="204">
      <x:c r="A204" s="63" t="str">
        <x:v>E13</x:v>
      </x:c>
      <x:c r="B204" s="63" t="str">
        <x:v>NEPI Rockcastle</x:v>
      </x:c>
      <x:c r="C204" s="63" t="str">
        <x:v>LIQUIDITY_CASH_MANAGEMENT</x:v>
      </x:c>
      <x:c r="D204" s="63" t="str">
        <x:v>Liquidity and cash management</x:v>
      </x:c>
      <x:c r="E204" s="63" t="str">
        <x:v>TRANSACTION_BANKING</x:v>
      </x:c>
      <x:c r="F204" s="63" t="str">
        <x:v>CASH_WALLET</x:v>
      </x:c>
      <x:c r="G204" s="64" t="b">
        <x:v>1</x:v>
      </x:c>
      <x:c r="H204" s="63" t="str">
        <x:v>SHADOW_ELIGIBLE_REPRESENTATIVE</x:v>
      </x:c>
      <x:c r="I204" s="63" t="str">
        <x:v>POSTERIOR</x:v>
      </x:c>
      <x:c r="J204" s="63" t="str">
        <x:v>E1</x:v>
      </x:c>
      <x:c r="K204" s="81" t="n">
        <x:v>0.0004645471676472485</x:v>
      </x:c>
      <x:c r="L204" s="82" t="n">
        <x:v>321097959.28712165</x:v>
      </x:c>
      <x:c r="M204" s="82" t="n">
        <x:v>518166826.93573856</x:v>
      </x:c>
      <x:c r="N204" s="82" t="n">
        <x:v>1136124775.2688031</x:v>
      </x:c>
      <x:c r="O204" s="63" t="str">
        <x:v>ZAR</x:v>
      </x:c>
      <x:c r="P204" s="81" t="n">
        <x:v>0.09639611878791476</x:v>
      </x:c>
      <x:c r="Q204" s="81" t="n">
        <x:v>0.18350002585845582</x:v>
      </x:c>
      <x:c r="R204" s="63" t="n">
        <x:v>0.26220745435613346</x:v>
      </x:c>
    </x:row>
    <x:row r="205">
      <x:c r="A205" s="63" t="str">
        <x:v>E13</x:v>
      </x:c>
      <x:c r="B205" s="63" t="str">
        <x:v>NEPI Rockcastle</x:v>
      </x:c>
      <x:c r="C205" s="63" t="str">
        <x:v>MA_AND_STRATEGIC_ADVISORY</x:v>
      </x:c>
      <x:c r="D205" s="63" t="str">
        <x:v>M&amp;A and strategic advisory</x:v>
      </x:c>
      <x:c r="E205" s="63" t="str">
        <x:v>ADVISORY_AND_AGENCY</x:v>
      </x:c>
      <x:c r="F205" s="63" t="str">
        <x:v>TRANSACTION_SIZE</x:v>
      </x:c>
      <x:c r="G205" s="64" t="b">
        <x:v>0</x:v>
      </x:c>
      <x:c r="H205" s="63" t="str">
        <x:v>FAIL_CLOSED_REQUIRED_INPUT_UNAVAILABLE</x:v>
      </x:c>
      <x:c r="I205" s="63" t="str">
        <x:v>SCENARIO</x:v>
      </x:c>
      <x:c r="J205" s="63" t="str">
        <x:v>E0</x:v>
      </x:c>
      <x:c r="K205" s="81"/>
      <x:c r="L205" s="82"/>
      <x:c r="M205" s="82"/>
      <x:c r="N205" s="82"/>
      <x:c r="O205" s="63"/>
      <x:c r="P205" s="81"/>
      <x:c r="Q205" s="81"/>
      <x:c r="R205" s="63" t="str">
        <x:v>No announced or reviewed transaction evidence exists, so no mandate probability or transaction size can be estimated.</x:v>
      </x:c>
    </x:row>
    <x:row r="206">
      <x:c r="A206" s="63" t="str">
        <x:v>E13</x:v>
      </x:c>
      <x:c r="B206" s="63" t="str">
        <x:v>NEPI Rockcastle</x:v>
      </x:c>
      <x:c r="C206" s="63" t="str">
        <x:v>PAYMENTS</x:v>
      </x:c>
      <x:c r="D206" s="63" t="str">
        <x:v>Payments</x:v>
      </x:c>
      <x:c r="E206" s="63" t="str">
        <x:v>TRANSACTION_BANKING</x:v>
      </x:c>
      <x:c r="F206" s="63" t="str">
        <x:v>TRANSACTION_WALLET</x:v>
      </x:c>
      <x:c r="G206" s="64" t="b">
        <x:v>1</x:v>
      </x:c>
      <x:c r="H206" s="63" t="str">
        <x:v>SHADOW_ELIGIBLE_REPRESENTATIVE</x:v>
      </x:c>
      <x:c r="I206" s="63" t="str">
        <x:v>POSTERIOR</x:v>
      </x:c>
      <x:c r="J206" s="63" t="str">
        <x:v>E1</x:v>
      </x:c>
      <x:c r="K206" s="81" t="n">
        <x:v>0.0009757011327557115</x:v>
      </x:c>
      <x:c r="L206" s="82" t="n">
        <x:v>317119238.26391107</x:v>
      </x:c>
      <x:c r="M206" s="82" t="n">
        <x:v>458115180.19788015</x:v>
      </x:c>
      <x:c r="N206" s="82" t="n">
        <x:v>804733048.7757672</x:v>
      </x:c>
      <x:c r="O206" s="63" t="str">
        <x:v>ZAR</x:v>
      </x:c>
      <x:c r="P206" s="81" t="n">
        <x:v>0.10195095395431031</x:v>
      </x:c>
      <x:c r="Q206" s="81" t="n">
        <x:v>0.19350791089642683</x:v>
      </x:c>
      <x:c r="R206" s="63" t="n">
        <x:v>0.27573054873714076</x:v>
      </x:c>
    </x:row>
    <x:row r="207">
      <x:c r="A207" s="63" t="str">
        <x:v>E13</x:v>
      </x:c>
      <x:c r="B207" s="63" t="str">
        <x:v>NEPI Rockcastle</x:v>
      </x:c>
      <x:c r="C207" s="63" t="str">
        <x:v>PROJECT_FINANCE</x:v>
      </x:c>
      <x:c r="D207" s="63" t="str">
        <x:v>Project finance</x:v>
      </x:c>
      <x:c r="E207" s="63" t="str">
        <x:v>LENDING</x:v>
      </x:c>
      <x:c r="F207" s="63" t="str">
        <x:v>PROJECT_FUNDING_REQUIREMENT</x:v>
      </x:c>
      <x:c r="G207" s="64" t="b">
        <x:v>0</x:v>
      </x:c>
      <x:c r="H207" s="63" t="str">
        <x:v>FAIL_CLOSED_REQUIRED_INPUT_UNAVAILABLE</x:v>
      </x:c>
      <x:c r="I207" s="63" t="str">
        <x:v>SCENARIO</x:v>
      </x:c>
      <x:c r="J207" s="63" t="str">
        <x:v>E0</x:v>
      </x:c>
      <x:c r="K207" s="81"/>
      <x:c r="L207" s="82"/>
      <x:c r="M207" s="82"/>
      <x:c r="N207" s="82"/>
      <x:c r="O207" s="63"/>
      <x:c r="P207" s="81"/>
      <x:c r="Q207" s="81"/>
      <x:c r="R207" s="63" t="str">
        <x:v>No reviewed project, SPV or ring-fenced cash-flow evidence exists for this client. Project finance cannot be sized from a sector assumption, and SPV ownership is never inferred from name similarity.</x:v>
      </x:c>
    </x:row>
    <x:row r="208">
      <x:c r="A208" s="63" t="str">
        <x:v>E13</x:v>
      </x:c>
      <x:c r="B208" s="63" t="str">
        <x:v>NEPI Rockcastle</x:v>
      </x:c>
      <x:c r="C208" s="63" t="str">
        <x:v>SUPPLY_CHAIN_FINANCE</x:v>
      </x:c>
      <x:c r="D208" s="63" t="str">
        <x:v>Supply-chain finance</x:v>
      </x:c>
      <x:c r="E208" s="63" t="str">
        <x:v>TRADE_AND_WORKING_CAPITAL</x:v>
      </x:c>
      <x:c r="F208" s="63" t="str">
        <x:v>ELIGIBLE_FLOW</x:v>
      </x:c>
      <x:c r="G208" s="64" t="b">
        <x:v>1</x:v>
      </x:c>
      <x:c r="H208" s="63" t="str">
        <x:v>SCENARIO_BLOCKED_PENDING_CALIBRATION</x:v>
      </x:c>
      <x:c r="I208" s="63" t="str">
        <x:v>SCENARIO</x:v>
      </x:c>
      <x:c r="J208" s="63" t="str">
        <x:v>E0</x:v>
      </x:c>
      <x:c r="K208" s="81" t="n">
        <x:v>0.48250000000000015</x:v>
      </x:c>
      <x:c r="L208" s="82" t="n">
        <x:v>4718126.200499999</x:v>
      </x:c>
      <x:c r="M208" s="82" t="n">
        <x:v>9436252.400999999</x:v>
      </x:c>
      <x:c r="N208" s="82" t="n">
        <x:v>14154378.601499999</x:v>
      </x:c>
      <x:c r="O208" s="63" t="str">
        <x:v>ZAR</x:v>
      </x:c>
      <x:c r="P208" s="81" t="n">
        <x:v>0.21712500000000007</x:v>
      </x:c>
      <x:c r="Q208" s="81" t="n">
        <x:v>0.3618750000000001</x:v>
      </x:c>
      <x:c r="R208" s="63" t="n">
        <x:v>0.48250000000000015</x:v>
      </x:c>
    </x:row>
    <x:row r="209">
      <x:c r="A209" s="63" t="str">
        <x:v>E13</x:v>
      </x:c>
      <x:c r="B209" s="63" t="str">
        <x:v>NEPI Rockcastle</x:v>
      </x:c>
      <x:c r="C209" s="63" t="str">
        <x:v>SUSTAINABLE_FINANCE</x:v>
      </x:c>
      <x:c r="D209" s="63" t="str">
        <x:v>Sustainable finance</x:v>
      </x:c>
      <x:c r="E209" s="63" t="str">
        <x:v>CAPITAL_MARKETS</x:v>
      </x:c>
      <x:c r="F209" s="63" t="str">
        <x:v>ELIGIBLE_CAPEX</x:v>
      </x:c>
      <x:c r="G209" s="64" t="b">
        <x:v>0</x:v>
      </x:c>
      <x:c r="H209" s="63" t="str">
        <x:v>FAIL_CLOSED_REQUIRED_INPUT_UNAVAILABLE</x:v>
      </x:c>
      <x:c r="I209" s="63" t="str">
        <x:v>SCENARIO</x:v>
      </x:c>
      <x:c r="J209" s="63" t="str">
        <x:v>E0</x:v>
      </x:c>
      <x:c r="K209" s="81"/>
      <x:c r="L209" s="82"/>
      <x:c r="M209" s="82"/>
      <x:c r="N209" s="82"/>
      <x:c r="O209" s="63"/>
      <x:c r="P209" s="81"/>
      <x:c r="Q209" s="81"/>
      <x:c r="R209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10">
      <x:c r="A210" s="63" t="str">
        <x:v>E13</x:v>
      </x:c>
      <x:c r="B210" s="63" t="str">
        <x:v>NEPI Rockcastle</x:v>
      </x:c>
      <x:c r="C210" s="63" t="str">
        <x:v>TERM_AND_SYNDICATED_LENDING</x:v>
      </x:c>
      <x:c r="D210" s="63" t="str">
        <x:v>Term and syndicated lending</x:v>
      </x:c>
      <x:c r="E210" s="63" t="str">
        <x:v>LENDING</x:v>
      </x:c>
      <x:c r="F210" s="63" t="str">
        <x:v>FACILITY_SIZE</x:v>
      </x:c>
      <x:c r="G210" s="64" t="b">
        <x:v>1</x:v>
      </x:c>
      <x:c r="H210" s="63" t="str">
        <x:v>SCENARIO_BLOCKED_PENDING_CALIBRATION</x:v>
      </x:c>
      <x:c r="I210" s="63" t="str">
        <x:v>SCENARIO</x:v>
      </x:c>
      <x:c r="J210" s="63" t="str">
        <x:v>E1</x:v>
      </x:c>
      <x:c r="K210" s="81" t="n">
        <x:v>0.1375</x:v>
      </x:c>
      <x:c r="L210" s="82" t="n">
        <x:v>255.65310000000002</x:v>
      </x:c>
      <x:c r="M210" s="82" t="n">
        <x:v>312.46490000000006</x:v>
      </x:c>
      <x:c r="N210" s="82" t="n">
        <x:v>397.68260000000004</x:v>
      </x:c>
      <x:c r="O210" s="63" t="str">
        <x:v>ZAR</x:v>
      </x:c>
      <x:c r="P210" s="81" t="n">
        <x:v>0.061875000000000006</x:v>
      </x:c>
      <x:c r="Q210" s="81" t="n">
        <x:v>0.10312500000000001</x:v>
      </x:c>
      <x:c r="R210" s="63" t="n">
        <x:v>0.1375</x:v>
      </x:c>
    </x:row>
    <x:row r="211">
      <x:c r="A211" s="63" t="str">
        <x:v>E13</x:v>
      </x:c>
      <x:c r="B211" s="63" t="str">
        <x:v>NEPI Rockcastle</x:v>
      </x:c>
      <x:c r="C211" s="63" t="str">
        <x:v>TRADE_FINANCE</x:v>
      </x:c>
      <x:c r="D211" s="63" t="str">
        <x:v>Trade finance</x:v>
      </x:c>
      <x:c r="E211" s="63" t="str">
        <x:v>TRADE_AND_WORKING_CAPITAL</x:v>
      </x:c>
      <x:c r="F211" s="63" t="str">
        <x:v>ELIGIBLE_FLOW</x:v>
      </x:c>
      <x:c r="G211" s="64" t="b">
        <x:v>1</x:v>
      </x:c>
      <x:c r="H211" s="63" t="str">
        <x:v>SHADOW_ELIGIBLE_REPRESENTATIVE</x:v>
      </x:c>
      <x:c r="I211" s="63" t="str">
        <x:v>POSTERIOR</x:v>
      </x:c>
      <x:c r="J211" s="63" t="str">
        <x:v>E1</x:v>
      </x:c>
      <x:c r="K211" s="81" t="n">
        <x:v>0.0003363390225279447</x:v>
      </x:c>
      <x:c r="L211" s="82" t="n">
        <x:v>16019337.313246021</x:v>
      </x:c>
      <x:c r="M211" s="82" t="n">
        <x:v>28896429.02439969</x:v>
      </x:c>
      <x:c r="N211" s="82" t="n">
        <x:v>72103374.82835408</x:v>
      </x:c>
      <x:c r="O211" s="63" t="str">
        <x:v>ZAR</x:v>
      </x:c>
      <x:c r="P211" s="81" t="n">
        <x:v>0.11559911346581786</x:v>
      </x:c>
      <x:c r="Q211" s="81" t="n">
        <x:v>0.21783507189755258</x:v>
      </x:c>
      <x:c r="R211" s="63" t="n">
        <x:v>0.30825264417025067</x:v>
      </x:c>
    </x:row>
    <x:row r="212">
      <x:c r="A212" s="63" t="str">
        <x:v>E13</x:v>
      </x:c>
      <x:c r="B212" s="63" t="str">
        <x:v>NEPI Rockcastle</x:v>
      </x:c>
      <x:c r="C212" s="63" t="str">
        <x:v>WORKING_CAPITAL_REVOLVING</x:v>
      </x:c>
      <x:c r="D212" s="63" t="str">
        <x:v>Working-capital/revolving credit</x:v>
      </x:c>
      <x:c r="E212" s="63" t="str">
        <x:v>LENDING</x:v>
      </x:c>
      <x:c r="F212" s="63" t="str">
        <x:v>FACILITY_SIZE</x:v>
      </x:c>
      <x:c r="G212" s="64" t="b">
        <x:v>0</x:v>
      </x:c>
      <x:c r="H212" s="63" t="str">
        <x:v>FAIL_CLOSED_REQUIRED_INPUT_UNAVAILABLE</x:v>
      </x:c>
      <x:c r="I212" s="63" t="str">
        <x:v>SCENARIO</x:v>
      </x:c>
      <x:c r="J212" s="63" t="str">
        <x:v>E0</x:v>
      </x:c>
      <x:c r="K212" s="81"/>
      <x:c r="L212" s="82"/>
      <x:c r="M212" s="82"/>
      <x:c r="N212" s="82"/>
      <x:c r="O212" s="63"/>
      <x:c r="P212" s="81"/>
      <x:c r="Q212" s="81"/>
      <x:c r="R212" s="63" t="str">
        <x:v>No positive working-capital gap can be computed from reviewed evidence, so a revolving facility cannot be sized.</x:v>
      </x:c>
    </x:row>
    <x:row r="213">
      <x:c r="A213" s="63" t="str">
        <x:v>E14</x:v>
      </x:c>
      <x:c r="B213" s="63" t="str">
        <x:v>Prosus</x:v>
      </x:c>
      <x:c r="C213" s="63" t="str">
        <x:v>COLLECTIONS</x:v>
      </x:c>
      <x:c r="D213" s="63" t="str">
        <x:v>Collections</x:v>
      </x:c>
      <x:c r="E213" s="63" t="str">
        <x:v>TRANSACTION_BANKING</x:v>
      </x:c>
      <x:c r="F213" s="63" t="str">
        <x:v>TRANSACTION_WALLET</x:v>
      </x:c>
      <x:c r="G213" s="64" t="b">
        <x:v>1</x:v>
      </x:c>
      <x:c r="H213" s="63" t="str">
        <x:v>SHADOW_ELIGIBLE_REPRESENTATIVE</x:v>
      </x:c>
      <x:c r="I213" s="63" t="str">
        <x:v>POSTERIOR</x:v>
      </x:c>
      <x:c r="J213" s="63" t="str">
        <x:v>E1</x:v>
      </x:c>
      <x:c r="K213" s="81" t="n">
        <x:v>0.07145342564202993</x:v>
      </x:c>
      <x:c r="L213" s="82" t="n">
        <x:v>5453174477.078805</x:v>
      </x:c>
      <x:c r="M213" s="82" t="n">
        <x:v>7602813277.554571</x:v>
      </x:c>
      <x:c r="N213" s="82" t="n">
        <x:v>12772343362.339989</x:v>
      </x:c>
      <x:c r="O213" s="63" t="str">
        <x:v>ZAR</x:v>
      </x:c>
      <x:c r="P213" s="81" t="n">
        <x:v>0.09843157588278773</x:v>
      </x:c>
      <x:c r="Q213" s="81" t="n">
        <x:v>0.1871743766348064</x:v>
      </x:c>
      <x:c r="R213" s="63" t="n">
        <x:v>0.26718208366055163</x:v>
      </x:c>
    </x:row>
    <x:row r="214">
      <x:c r="A214" s="63" t="str">
        <x:v>E14</x:v>
      </x:c>
      <x:c r="B214" s="63" t="str">
        <x:v>Prosus</x:v>
      </x:c>
      <x:c r="C214" s="63" t="str">
        <x:v>COMMODITY_RISK_MANAGEMENT</x:v>
      </x:c>
      <x:c r="D214" s="63" t="str">
        <x:v>Commodity risk management</x:v>
      </x:c>
      <x:c r="E214" s="63" t="str">
        <x:v>RISK_MANAGEMENT</x:v>
      </x:c>
      <x:c r="F214" s="63" t="str">
        <x:v>EXPOSURE_NOTIONAL</x:v>
      </x:c>
      <x:c r="G214" s="64" t="b">
        <x:v>0</x:v>
      </x:c>
      <x:c r="H214" s="63" t="str">
        <x:v>FAIL_CLOSED_REQUIRED_INPUT_UNAVAILABLE</x:v>
      </x:c>
      <x:c r="I214" s="63" t="str">
        <x:v>SCENARIO</x:v>
      </x:c>
      <x:c r="J214" s="63" t="str">
        <x:v>E0</x:v>
      </x:c>
      <x:c r="K214" s="81"/>
      <x:c r="L214" s="82"/>
      <x:c r="M214" s="82"/>
      <x:c r="N214" s="82"/>
      <x:c r="O214" s="63"/>
      <x:c r="P214" s="81"/>
      <x:c r="Q214" s="81"/>
      <x:c r="R214" s="63" t="str">
        <x:v>The tech sector carries no governed commodity price linkage, so a hedgeable commodity notional cannot be asserted.</x:v>
      </x:c>
    </x:row>
    <x:row r="215">
      <x:c r="A215" s="63" t="str">
        <x:v>E14</x:v>
      </x:c>
      <x:c r="B215" s="63" t="str">
        <x:v>Prosus</x:v>
      </x:c>
      <x:c r="C215" s="63" t="str">
        <x:v>CROSS_BORDER_FX</x:v>
      </x:c>
      <x:c r="D215" s="63" t="str">
        <x:v>Cross-border FX</x:v>
      </x:c>
      <x:c r="E215" s="63" t="str">
        <x:v>RISK_MANAGEMENT</x:v>
      </x:c>
      <x:c r="F215" s="63" t="str">
        <x:v>EXPOSURE_NOTIONAL</x:v>
      </x:c>
      <x:c r="G215" s="64" t="b">
        <x:v>1</x:v>
      </x:c>
      <x:c r="H215" s="63" t="str">
        <x:v>SHADOW_ELIGIBLE_REPRESENTATIVE</x:v>
      </x:c>
      <x:c r="I215" s="63" t="str">
        <x:v>POSTERIOR</x:v>
      </x:c>
      <x:c r="J215" s="63" t="str">
        <x:v>E1</x:v>
      </x:c>
      <x:c r="K215" s="81" t="n">
        <x:v>0.4304848091954587</x:v>
      </x:c>
      <x:c r="L215" s="82" t="n">
        <x:v>11435165684.370132</x:v>
      </x:c>
      <x:c r="M215" s="82" t="n">
        <x:v>18009149299.2106</x:v>
      </x:c>
      <x:c r="N215" s="82" t="n">
        <x:v>37113662687.30702</x:v>
      </x:c>
      <x:c r="O215" s="63" t="str">
        <x:v>ZAR</x:v>
      </x:c>
      <x:c r="P215" s="81" t="n">
        <x:v>0.09619432579602238</x:v>
      </x:c>
      <x:c r="Q215" s="81" t="n">
        <x:v>0.18313530327669347</x:v>
      </x:c>
      <x:c r="R215" s="63" t="n">
        <x:v>0.2617130520445642</x:v>
      </x:c>
    </x:row>
    <x:row r="216">
      <x:c r="A216" s="63" t="str">
        <x:v>E14</x:v>
      </x:c>
      <x:c r="B216" s="63" t="str">
        <x:v>Prosus</x:v>
      </x:c>
      <x:c r="C216" s="63" t="str">
        <x:v>DEBT_CAPITAL_MARKETS</x:v>
      </x:c>
      <x:c r="D216" s="63" t="str">
        <x:v>Debt capital markets</x:v>
      </x:c>
      <x:c r="E216" s="63" t="str">
        <x:v>CAPITAL_MARKETS</x:v>
      </x:c>
      <x:c r="F216" s="63" t="str">
        <x:v>FINANCING_REQUIREMENT</x:v>
      </x:c>
      <x:c r="G216" s="64" t="b">
        <x:v>1</x:v>
      </x:c>
      <x:c r="H216" s="63" t="str">
        <x:v>SCENARIO_BLOCKED_PENDING_CALIBRATION</x:v>
      </x:c>
      <x:c r="I216" s="63" t="str">
        <x:v>SCENARIO</x:v>
      </x:c>
      <x:c r="J216" s="63" t="str">
        <x:v>E1</x:v>
      </x:c>
      <x:c r="K216" s="81" t="n">
        <x:v>0.1375</x:v>
      </x:c>
      <x:c r="L216" s="82" t="n">
        <x:v>1562.4</x:v>
      </x:c>
      <x:c r="M216" s="82" t="n">
        <x:v>1953</x:v>
      </x:c>
      <x:c r="N216" s="82" t="n">
        <x:v>2538.9</x:v>
      </x:c>
      <x:c r="O216" s="63" t="str">
        <x:v>ZAR</x:v>
      </x:c>
      <x:c r="P216" s="81" t="n">
        <x:v>0.061875000000000006</x:v>
      </x:c>
      <x:c r="Q216" s="81" t="n">
        <x:v>0.10312500000000001</x:v>
      </x:c>
      <x:c r="R216" s="63" t="n">
        <x:v>0.1375</x:v>
      </x:c>
    </x:row>
    <x:row r="217">
      <x:c r="A217" s="63" t="str">
        <x:v>E14</x:v>
      </x:c>
      <x:c r="B217" s="63" t="str">
        <x:v>Prosus</x:v>
      </x:c>
      <x:c r="C217" s="63" t="str">
        <x:v>ESCROW_AND_AGENCY</x:v>
      </x:c>
      <x:c r="D217" s="63" t="str">
        <x:v>Escrow and agency services</x:v>
      </x:c>
      <x:c r="E217" s="63" t="str">
        <x:v>ADVISORY_AND_AGENCY</x:v>
      </x:c>
      <x:c r="F217" s="63" t="str">
        <x:v>EVENT_LINKED_FLOW</x:v>
      </x:c>
      <x:c r="G217" s="64" t="b">
        <x:v>0</x:v>
      </x:c>
      <x:c r="H217" s="63" t="str">
        <x:v>FAIL_CLOSED_REQUIRED_INPUT_UNAVAILABLE</x:v>
      </x:c>
      <x:c r="I217" s="63" t="str">
        <x:v>SCENARIO</x:v>
      </x:c>
      <x:c r="J217" s="63" t="str">
        <x:v>E0</x:v>
      </x:c>
      <x:c r="K217" s="81"/>
      <x:c r="L217" s="82"/>
      <x:c r="M217" s="82"/>
      <x:c r="N217" s="82"/>
      <x:c r="O217" s="63"/>
      <x:c r="P217" s="81"/>
      <x:c r="Q217" s="81"/>
      <x:c r="R217" s="63" t="str">
        <x:v>Escrow and agency flow is event-linked, and no reviewed corporate action or capital-structure event exists for this client.</x:v>
      </x:c>
    </x:row>
    <x:row r="218">
      <x:c r="A218" s="63" t="str">
        <x:v>E14</x:v>
      </x:c>
      <x:c r="B218" s="63" t="str">
        <x:v>Prosus</x:v>
      </x:c>
      <x:c r="C218" s="63" t="str">
        <x:v>GUARANTEES_AND_LC</x:v>
      </x:c>
      <x:c r="D218" s="63" t="str">
        <x:v>Guarantees and letters of credit</x:v>
      </x:c>
      <x:c r="E218" s="63" t="str">
        <x:v>TRADE_AND_WORKING_CAPITAL</x:v>
      </x:c>
      <x:c r="F218" s="63" t="str">
        <x:v>CONTINGENT_EXPOSURE</x:v>
      </x:c>
      <x:c r="G218" s="64" t="b">
        <x:v>1</x:v>
      </x:c>
      <x:c r="H218" s="63" t="str">
        <x:v>SCENARIO_BLOCKED_PENDING_CALIBRATION</x:v>
      </x:c>
      <x:c r="I218" s="63" t="str">
        <x:v>SCENARIO</x:v>
      </x:c>
      <x:c r="J218" s="63" t="str">
        <x:v>E0</x:v>
      </x:c>
      <x:c r="K218" s="81" t="n">
        <x:v>0.24250000000000002</x:v>
      </x:c>
      <x:c r="L218" s="82" t="n">
        <x:v>443427.879</x:v>
      </x:c>
      <x:c r="M218" s="82" t="n">
        <x:v>886855.758</x:v>
      </x:c>
      <x:c r="N218" s="82" t="n">
        <x:v>1330283.6369999999</x:v>
      </x:c>
      <x:c r="O218" s="63" t="str">
        <x:v>ZAR</x:v>
      </x:c>
      <x:c r="P218" s="81" t="n">
        <x:v>0.10912500000000001</x:v>
      </x:c>
      <x:c r="Q218" s="81" t="n">
        <x:v>0.181875</x:v>
      </x:c>
      <x:c r="R218" s="63" t="n">
        <x:v>0.24250000000000002</x:v>
      </x:c>
    </x:row>
    <x:row r="219">
      <x:c r="A219" s="63" t="str">
        <x:v>E14</x:v>
      </x:c>
      <x:c r="B219" s="63" t="str">
        <x:v>Prosus</x:v>
      </x:c>
      <x:c r="C219" s="63" t="str">
        <x:v>INTEREST_RATE_RISK_MANAGEMENT</x:v>
      </x:c>
      <x:c r="D219" s="63" t="str">
        <x:v>Interest-rate risk management</x:v>
      </x:c>
      <x:c r="E219" s="63" t="str">
        <x:v>RISK_MANAGEMENT</x:v>
      </x:c>
      <x:c r="F219" s="63" t="str">
        <x:v>EXPOSURE_NOTIONAL</x:v>
      </x:c>
      <x:c r="G219" s="64" t="b">
        <x:v>1</x:v>
      </x:c>
      <x:c r="H219" s="63" t="str">
        <x:v>SCENARIO_BLOCKED_PENDING_CALIBRATION</x:v>
      </x:c>
      <x:c r="I219" s="63" t="str">
        <x:v>SCENARIO</x:v>
      </x:c>
      <x:c r="J219" s="63" t="str">
        <x:v>E1</x:v>
      </x:c>
      <x:c r="K219" s="81" t="n">
        <x:v>0.6275</x:v>
      </x:c>
      <x:c r="L219" s="82" t="n">
        <x:v>10464174000</x:v>
      </x:c>
      <x:c r="M219" s="82" t="n">
        <x:v>19184319000</x:v>
      </x:c>
      <x:c r="N219" s="82" t="n">
        <x:v>27904464000</x:v>
      </x:c>
      <x:c r="O219" s="63" t="str">
        <x:v>ZAR</x:v>
      </x:c>
      <x:c r="P219" s="81" t="n">
        <x:v>0.282375</x:v>
      </x:c>
      <x:c r="Q219" s="81" t="n">
        <x:v>0.47062499999999996</x:v>
      </x:c>
      <x:c r="R219" s="63" t="n">
        <x:v>0.6275</x:v>
      </x:c>
    </x:row>
    <x:row r="220">
      <x:c r="A220" s="63" t="str">
        <x:v>E14</x:v>
      </x:c>
      <x:c r="B220" s="63" t="str">
        <x:v>Prosus</x:v>
      </x:c>
      <x:c r="C220" s="63" t="str">
        <x:v>LIQUIDITY_CASH_MANAGEMENT</x:v>
      </x:c>
      <x:c r="D220" s="63" t="str">
        <x:v>Liquidity and cash management</x:v>
      </x:c>
      <x:c r="E220" s="63" t="str">
        <x:v>TRANSACTION_BANKING</x:v>
      </x:c>
      <x:c r="F220" s="63" t="str">
        <x:v>CASH_WALLET</x:v>
      </x:c>
      <x:c r="G220" s="64" t="b">
        <x:v>1</x:v>
      </x:c>
      <x:c r="H220" s="63" t="str">
        <x:v>SHADOW_ELIGIBLE_REPRESENTATIVE</x:v>
      </x:c>
      <x:c r="I220" s="63" t="str">
        <x:v>POSTERIOR</x:v>
      </x:c>
      <x:c r="J220" s="63" t="str">
        <x:v>E1</x:v>
      </x:c>
      <x:c r="K220" s="81" t="n">
        <x:v>0.1724086425537543</x:v>
      </x:c>
      <x:c r="L220" s="82" t="n">
        <x:v>8469504231.371962</x:v>
      </x:c>
      <x:c r="M220" s="82" t="n">
        <x:v>13684891134.940369</x:v>
      </x:c>
      <x:c r="N220" s="82" t="n">
        <x:v>30048863516.43427</x:v>
      </x:c>
      <x:c r="O220" s="63" t="str">
        <x:v>ZAR</x:v>
      </x:c>
      <x:c r="P220" s="81" t="n">
        <x:v>0.09725893366274085</x:v>
      </x:c>
      <x:c r="Q220" s="81" t="n">
        <x:v>0.1850585671482684</x:v>
      </x:c>
      <x:c r="R220" s="63" t="n">
        <x:v>0.26431890190501395</x:v>
      </x:c>
    </x:row>
    <x:row r="221">
      <x:c r="A221" s="63" t="str">
        <x:v>E14</x:v>
      </x:c>
      <x:c r="B221" s="63" t="str">
        <x:v>Prosus</x:v>
      </x:c>
      <x:c r="C221" s="63" t="str">
        <x:v>MA_AND_STRATEGIC_ADVISORY</x:v>
      </x:c>
      <x:c r="D221" s="63" t="str">
        <x:v>M&amp;A and strategic advisory</x:v>
      </x:c>
      <x:c r="E221" s="63" t="str">
        <x:v>ADVISORY_AND_AGENCY</x:v>
      </x:c>
      <x:c r="F221" s="63" t="str">
        <x:v>TRANSACTION_SIZE</x:v>
      </x:c>
      <x:c r="G221" s="64" t="b">
        <x:v>0</x:v>
      </x:c>
      <x:c r="H221" s="63" t="str">
        <x:v>FAIL_CLOSED_REQUIRED_INPUT_UNAVAILABLE</x:v>
      </x:c>
      <x:c r="I221" s="63" t="str">
        <x:v>SCENARIO</x:v>
      </x:c>
      <x:c r="J221" s="63" t="str">
        <x:v>E0</x:v>
      </x:c>
      <x:c r="K221" s="81"/>
      <x:c r="L221" s="82"/>
      <x:c r="M221" s="82"/>
      <x:c r="N221" s="82"/>
      <x:c r="O221" s="63"/>
      <x:c r="P221" s="81"/>
      <x:c r="Q221" s="81"/>
      <x:c r="R221" s="63" t="str">
        <x:v>No announced or reviewed transaction evidence exists, so no mandate probability or transaction size can be estimated.</x:v>
      </x:c>
    </x:row>
    <x:row r="222">
      <x:c r="A222" s="63" t="str">
        <x:v>E14</x:v>
      </x:c>
      <x:c r="B222" s="63" t="str">
        <x:v>Prosus</x:v>
      </x:c>
      <x:c r="C222" s="63" t="str">
        <x:v>PAYMENTS</x:v>
      </x:c>
      <x:c r="D222" s="63" t="str">
        <x:v>Payments</x:v>
      </x:c>
      <x:c r="E222" s="63" t="str">
        <x:v>TRANSACTION_BANKING</x:v>
      </x:c>
      <x:c r="F222" s="63" t="str">
        <x:v>TRANSACTION_WALLET</x:v>
      </x:c>
      <x:c r="G222" s="64" t="b">
        <x:v>1</x:v>
      </x:c>
      <x:c r="H222" s="63" t="str">
        <x:v>SHADOW_ELIGIBLE_REPRESENTATIVE</x:v>
      </x:c>
      <x:c r="I222" s="63" t="str">
        <x:v>POSTERIOR</x:v>
      </x:c>
      <x:c r="J222" s="63" t="str">
        <x:v>E1</x:v>
      </x:c>
      <x:c r="K222" s="81" t="n">
        <x:v>0.28567068237491905</x:v>
      </x:c>
      <x:c r="L222" s="82" t="n">
        <x:v>9144379369.04079</x:v>
      </x:c>
      <x:c r="M222" s="82" t="n">
        <x:v>13216775825.63021</x:v>
      </x:c>
      <x:c r="N222" s="82" t="n">
        <x:v>23798880537.498066</x:v>
      </x:c>
      <x:c r="O222" s="63" t="str">
        <x:v>ZAR</x:v>
      </x:c>
      <x:c r="P222" s="81" t="n">
        <x:v>0.09684612905020162</x:v>
      </x:c>
      <x:c r="Q222" s="81" t="n">
        <x:v>0.18431308538839486</x:v>
      </x:c>
      <x:c r="R222" s="63" t="n">
        <x:v>0.26330920558543114</x:v>
      </x:c>
    </x:row>
    <x:row r="223">
      <x:c r="A223" s="63" t="str">
        <x:v>E14</x:v>
      </x:c>
      <x:c r="B223" s="63" t="str">
        <x:v>Prosus</x:v>
      </x:c>
      <x:c r="C223" s="63" t="str">
        <x:v>PROJECT_FINANCE</x:v>
      </x:c>
      <x:c r="D223" s="63" t="str">
        <x:v>Project finance</x:v>
      </x:c>
      <x:c r="E223" s="63" t="str">
        <x:v>LENDING</x:v>
      </x:c>
      <x:c r="F223" s="63" t="str">
        <x:v>PROJECT_FUNDING_REQUIREMENT</x:v>
      </x:c>
      <x:c r="G223" s="64" t="b">
        <x:v>0</x:v>
      </x:c>
      <x:c r="H223" s="63" t="str">
        <x:v>FAIL_CLOSED_REQUIRED_INPUT_UNAVAILABLE</x:v>
      </x:c>
      <x:c r="I223" s="63" t="str">
        <x:v>SCENARIO</x:v>
      </x:c>
      <x:c r="J223" s="63" t="str">
        <x:v>E0</x:v>
      </x:c>
      <x:c r="K223" s="81"/>
      <x:c r="L223" s="82"/>
      <x:c r="M223" s="82"/>
      <x:c r="N223" s="82"/>
      <x:c r="O223" s="63"/>
      <x:c r="P223" s="81"/>
      <x:c r="Q223" s="81"/>
      <x:c r="R223" s="63" t="str">
        <x:v>No reviewed project, SPV or ring-fenced cash-flow evidence exists for this client. Project finance cannot be sized from a sector assumption, and SPV ownership is never inferred from name similarity.</x:v>
      </x:c>
    </x:row>
    <x:row r="224">
      <x:c r="A224" s="63" t="str">
        <x:v>E14</x:v>
      </x:c>
      <x:c r="B224" s="63" t="str">
        <x:v>Prosus</x:v>
      </x:c>
      <x:c r="C224" s="63" t="str">
        <x:v>SUPPLY_CHAIN_FINANCE</x:v>
      </x:c>
      <x:c r="D224" s="63" t="str">
        <x:v>Supply-chain finance</x:v>
      </x:c>
      <x:c r="E224" s="63" t="str">
        <x:v>TRADE_AND_WORKING_CAPITAL</x:v>
      </x:c>
      <x:c r="F224" s="63" t="str">
        <x:v>ELIGIBLE_FLOW</x:v>
      </x:c>
      <x:c r="G224" s="64" t="b">
        <x:v>1</x:v>
      </x:c>
      <x:c r="H224" s="63" t="str">
        <x:v>SCENARIO_BLOCKED_PENDING_CALIBRATION</x:v>
      </x:c>
      <x:c r="I224" s="63" t="str">
        <x:v>SCENARIO</x:v>
      </x:c>
      <x:c r="J224" s="63" t="str">
        <x:v>E0</x:v>
      </x:c>
      <x:c r="K224" s="81" t="n">
        <x:v>0.29000000000000004</x:v>
      </x:c>
      <x:c r="L224" s="82" t="n">
        <x:v>207252699.312</x:v>
      </x:c>
      <x:c r="M224" s="82" t="n">
        <x:v>414505398.624</x:v>
      </x:c>
      <x:c r="N224" s="82" t="n">
        <x:v>621758097.9360001</x:v>
      </x:c>
      <x:c r="O224" s="63" t="str">
        <x:v>ZAR</x:v>
      </x:c>
      <x:c r="P224" s="81" t="n">
        <x:v>0.13050000000000003</x:v>
      </x:c>
      <x:c r="Q224" s="81" t="n">
        <x:v>0.21750000000000003</x:v>
      </x:c>
      <x:c r="R224" s="63" t="n">
        <x:v>0.29000000000000004</x:v>
      </x:c>
    </x:row>
    <x:row r="225">
      <x:c r="A225" s="63" t="str">
        <x:v>E14</x:v>
      </x:c>
      <x:c r="B225" s="63" t="str">
        <x:v>Prosus</x:v>
      </x:c>
      <x:c r="C225" s="63" t="str">
        <x:v>SUSTAINABLE_FINANCE</x:v>
      </x:c>
      <x:c r="D225" s="63" t="str">
        <x:v>Sustainable finance</x:v>
      </x:c>
      <x:c r="E225" s="63" t="str">
        <x:v>CAPITAL_MARKETS</x:v>
      </x:c>
      <x:c r="F225" s="63" t="str">
        <x:v>ELIGIBLE_CAPEX</x:v>
      </x:c>
      <x:c r="G225" s="64" t="b">
        <x:v>0</x:v>
      </x:c>
      <x:c r="H225" s="63" t="str">
        <x:v>FAIL_CLOSED_REQUIRED_INPUT_UNAVAILABLE</x:v>
      </x:c>
      <x:c r="I225" s="63" t="str">
        <x:v>SCENARIO</x:v>
      </x:c>
      <x:c r="J225" s="63" t="str">
        <x:v>E0</x:v>
      </x:c>
      <x:c r="K225" s="81"/>
      <x:c r="L225" s="82"/>
      <x:c r="M225" s="82"/>
      <x:c r="N225" s="82"/>
      <x:c r="O225" s="63"/>
      <x:c r="P225" s="81"/>
      <x:c r="Q225" s="81"/>
      <x:c r="R225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26">
      <x:c r="A226" s="63" t="str">
        <x:v>E14</x:v>
      </x:c>
      <x:c r="B226" s="63" t="str">
        <x:v>Prosus</x:v>
      </x:c>
      <x:c r="C226" s="63" t="str">
        <x:v>TERM_AND_SYNDICATED_LENDING</x:v>
      </x:c>
      <x:c r="D226" s="63" t="str">
        <x:v>Term and syndicated lending</x:v>
      </x:c>
      <x:c r="E226" s="63" t="str">
        <x:v>LENDING</x:v>
      </x:c>
      <x:c r="F226" s="63" t="str">
        <x:v>FACILITY_SIZE</x:v>
      </x:c>
      <x:c r="G226" s="64" t="b">
        <x:v>1</x:v>
      </x:c>
      <x:c r="H226" s="63" t="str">
        <x:v>SCENARIO_BLOCKED_PENDING_CALIBRATION</x:v>
      </x:c>
      <x:c r="I226" s="63" t="str">
        <x:v>SCENARIO</x:v>
      </x:c>
      <x:c r="J226" s="63" t="str">
        <x:v>E1</x:v>
      </x:c>
      <x:c r="K226" s="81" t="n">
        <x:v>0.1375</x:v>
      </x:c>
      <x:c r="L226" s="82" t="n">
        <x:v>1757.7</x:v>
      </x:c>
      <x:c r="M226" s="82" t="n">
        <x:v>2148.3</x:v>
      </x:c>
      <x:c r="N226" s="82" t="n">
        <x:v>2734.2</x:v>
      </x:c>
      <x:c r="O226" s="63" t="str">
        <x:v>ZAR</x:v>
      </x:c>
      <x:c r="P226" s="81" t="n">
        <x:v>0.061875000000000006</x:v>
      </x:c>
      <x:c r="Q226" s="81" t="n">
        <x:v>0.10312500000000001</x:v>
      </x:c>
      <x:c r="R226" s="63" t="n">
        <x:v>0.1375</x:v>
      </x:c>
    </x:row>
    <x:row r="227">
      <x:c r="A227" s="63" t="str">
        <x:v>E14</x:v>
      </x:c>
      <x:c r="B227" s="63" t="str">
        <x:v>Prosus</x:v>
      </x:c>
      <x:c r="C227" s="63" t="str">
        <x:v>TRADE_FINANCE</x:v>
      </x:c>
      <x:c r="D227" s="63" t="str">
        <x:v>Trade finance</x:v>
      </x:c>
      <x:c r="E227" s="63" t="str">
        <x:v>TRADE_AND_WORKING_CAPITAL</x:v>
      </x:c>
      <x:c r="F227" s="63" t="str">
        <x:v>ELIGIBLE_FLOW</x:v>
      </x:c>
      <x:c r="G227" s="64" t="b">
        <x:v>1</x:v>
      </x:c>
      <x:c r="H227" s="63" t="str">
        <x:v>SHADOW_ELIGIBLE_REPRESENTATIVE</x:v>
      </x:c>
      <x:c r="I227" s="63" t="str">
        <x:v>POSTERIOR</x:v>
      </x:c>
      <x:c r="J227" s="63" t="str">
        <x:v>E1</x:v>
      </x:c>
      <x:c r="K227" s="81" t="n">
        <x:v>0.0004950963158000614</x:v>
      </x:c>
      <x:c r="L227" s="82" t="n">
        <x:v>181615052.72338772</x:v>
      </x:c>
      <x:c r="M227" s="82" t="n">
        <x:v>326721865.389037</x:v>
      </x:c>
      <x:c r="N227" s="82" t="n">
        <x:v>847301903.347606</x:v>
      </x:c>
      <x:c r="O227" s="63" t="str">
        <x:v>ZAR</x:v>
      </x:c>
      <x:c r="P227" s="81" t="n">
        <x:v>0.07097598456290144</x:v>
      </x:c>
      <x:c r="Q227" s="81" t="n">
        <x:v>0.13691437874112977</x:v>
      </x:c>
      <x:c r="R227" s="63" t="n">
        <x:v>0.19817273047206163</x:v>
      </x:c>
    </x:row>
    <x:row r="228">
      <x:c r="A228" s="63" t="str">
        <x:v>E14</x:v>
      </x:c>
      <x:c r="B228" s="63" t="str">
        <x:v>Prosus</x:v>
      </x:c>
      <x:c r="C228" s="63" t="str">
        <x:v>WORKING_CAPITAL_REVOLVING</x:v>
      </x:c>
      <x:c r="D228" s="63" t="str">
        <x:v>Working-capital/revolving credit</x:v>
      </x:c>
      <x:c r="E228" s="63" t="str">
        <x:v>LENDING</x:v>
      </x:c>
      <x:c r="F228" s="63" t="str">
        <x:v>FACILITY_SIZE</x:v>
      </x:c>
      <x:c r="G228" s="64" t="b">
        <x:v>0</x:v>
      </x:c>
      <x:c r="H228" s="63" t="str">
        <x:v>FAIL_CLOSED_REQUIRED_INPUT_UNAVAILABLE</x:v>
      </x:c>
      <x:c r="I228" s="63" t="str">
        <x:v>SCENARIO</x:v>
      </x:c>
      <x:c r="J228" s="63" t="str">
        <x:v>E0</x:v>
      </x:c>
      <x:c r="K228" s="81"/>
      <x:c r="L228" s="82"/>
      <x:c r="M228" s="82"/>
      <x:c r="N228" s="82"/>
      <x:c r="O228" s="63"/>
      <x:c r="P228" s="81"/>
      <x:c r="Q228" s="81"/>
      <x:c r="R228" s="63" t="str">
        <x:v>No positive working-capital gap can be computed from reviewed evidence, so a revolving facility cannot be sized.</x:v>
      </x:c>
    </x:row>
    <x:row r="229">
      <x:c r="A229" s="63" t="str">
        <x:v>E15</x:v>
      </x:c>
      <x:c r="B229" s="63" t="str">
        <x:v>Naspers</x:v>
      </x:c>
      <x:c r="C229" s="63" t="str">
        <x:v>COLLECTIONS</x:v>
      </x:c>
      <x:c r="D229" s="63" t="str">
        <x:v>Collections</x:v>
      </x:c>
      <x:c r="E229" s="63" t="str">
        <x:v>TRANSACTION_BANKING</x:v>
      </x:c>
      <x:c r="F229" s="63" t="str">
        <x:v>TRANSACTION_WALLET</x:v>
      </x:c>
      <x:c r="G229" s="64" t="b">
        <x:v>1</x:v>
      </x:c>
      <x:c r="H229" s="63" t="str">
        <x:v>SHADOW_ELIGIBLE_REPRESENTATIVE</x:v>
      </x:c>
      <x:c r="I229" s="63" t="str">
        <x:v>POSTERIOR</x:v>
      </x:c>
      <x:c r="J229" s="63" t="str">
        <x:v>E1</x:v>
      </x:c>
      <x:c r="K229" s="81" t="n">
        <x:v>0.06380594767611855</x:v>
      </x:c>
      <x:c r="L229" s="82" t="n">
        <x:v>4566358863.187545</x:v>
      </x:c>
      <x:c r="M229" s="82" t="n">
        <x:v>6416838301.874357</x:v>
      </x:c>
      <x:c r="N229" s="82" t="n">
        <x:v>11210720841.506088</x:v>
      </x:c>
      <x:c r="O229" s="63" t="str">
        <x:v>ZAR</x:v>
      </x:c>
      <x:c r="P229" s="81" t="n">
        <x:v>0.10661672249832976</x:v>
      </x:c>
      <x:c r="Q229" s="81" t="n">
        <x:v>0.2018663194803737</x:v>
      </x:c>
      <x:c r="R229" s="63" t="n">
        <x:v>0.28696071661290534</x:v>
      </x:c>
    </x:row>
    <x:row r="230">
      <x:c r="A230" s="63" t="str">
        <x:v>E15</x:v>
      </x:c>
      <x:c r="B230" s="63" t="str">
        <x:v>Naspers</x:v>
      </x:c>
      <x:c r="C230" s="63" t="str">
        <x:v>COMMODITY_RISK_MANAGEMENT</x:v>
      </x:c>
      <x:c r="D230" s="63" t="str">
        <x:v>Commodity risk management</x:v>
      </x:c>
      <x:c r="E230" s="63" t="str">
        <x:v>RISK_MANAGEMENT</x:v>
      </x:c>
      <x:c r="F230" s="63" t="str">
        <x:v>EXPOSURE_NOTIONAL</x:v>
      </x:c>
      <x:c r="G230" s="64" t="b">
        <x:v>0</x:v>
      </x:c>
      <x:c r="H230" s="63" t="str">
        <x:v>FAIL_CLOSED_REQUIRED_INPUT_UNAVAILABLE</x:v>
      </x:c>
      <x:c r="I230" s="63" t="str">
        <x:v>SCENARIO</x:v>
      </x:c>
      <x:c r="J230" s="63" t="str">
        <x:v>E0</x:v>
      </x:c>
      <x:c r="K230" s="81"/>
      <x:c r="L230" s="82"/>
      <x:c r="M230" s="82"/>
      <x:c r="N230" s="82"/>
      <x:c r="O230" s="63"/>
      <x:c r="P230" s="81"/>
      <x:c r="Q230" s="81"/>
      <x:c r="R230" s="63" t="str">
        <x:v>The tech sector carries no governed commodity price linkage, so a hedgeable commodity notional cannot be asserted.</x:v>
      </x:c>
    </x:row>
    <x:row r="231">
      <x:c r="A231" s="63" t="str">
        <x:v>E15</x:v>
      </x:c>
      <x:c r="B231" s="63" t="str">
        <x:v>Naspers</x:v>
      </x:c>
      <x:c r="C231" s="63" t="str">
        <x:v>CROSS_BORDER_FX</x:v>
      </x:c>
      <x:c r="D231" s="63" t="str">
        <x:v>Cross-border FX</x:v>
      </x:c>
      <x:c r="E231" s="63" t="str">
        <x:v>RISK_MANAGEMENT</x:v>
      </x:c>
      <x:c r="F231" s="63" t="str">
        <x:v>EXPOSURE_NOTIONAL</x:v>
      </x:c>
      <x:c r="G231" s="64" t="b">
        <x:v>1</x:v>
      </x:c>
      <x:c r="H231" s="63" t="str">
        <x:v>SHADOW_ELIGIBLE_REPRESENTATIVE</x:v>
      </x:c>
      <x:c r="I231" s="63" t="str">
        <x:v>POSTERIOR</x:v>
      </x:c>
      <x:c r="J231" s="63" t="str">
        <x:v>E1</x:v>
      </x:c>
      <x:c r="K231" s="81" t="n">
        <x:v>0.657264265573596</x:v>
      </x:c>
      <x:c r="L231" s="82" t="n">
        <x:v>12353744039.509666</x:v>
      </x:c>
      <x:c r="M231" s="82" t="n">
        <x:v>19388279528.989773</x:v>
      </x:c>
      <x:c r="N231" s="82" t="n">
        <x:v>40022597734.91874</x:v>
      </x:c>
      <x:c r="O231" s="63" t="str">
        <x:v>ZAR</x:v>
      </x:c>
      <x:c r="P231" s="81" t="n">
        <x:v>0.10811357835094981</x:v>
      </x:c>
      <x:c r="Q231" s="81" t="n">
        <x:v>0.20453861087805258</x:v>
      </x:c>
      <x:c r="R231" s="63" t="n">
        <x:v>0.2905387880960436</x:v>
      </x:c>
    </x:row>
    <x:row r="232">
      <x:c r="A232" s="63" t="str">
        <x:v>E15</x:v>
      </x:c>
      <x:c r="B232" s="63" t="str">
        <x:v>Naspers</x:v>
      </x:c>
      <x:c r="C232" s="63" t="str">
        <x:v>DEBT_CAPITAL_MARKETS</x:v>
      </x:c>
      <x:c r="D232" s="63" t="str">
        <x:v>Debt capital markets</x:v>
      </x:c>
      <x:c r="E232" s="63" t="str">
        <x:v>CAPITAL_MARKETS</x:v>
      </x:c>
      <x:c r="F232" s="63" t="str">
        <x:v>FINANCING_REQUIREMENT</x:v>
      </x:c>
      <x:c r="G232" s="64" t="b">
        <x:v>1</x:v>
      </x:c>
      <x:c r="H232" s="63" t="str">
        <x:v>SCENARIO_BLOCKED_PENDING_CALIBRATION</x:v>
      </x:c>
      <x:c r="I232" s="63" t="str">
        <x:v>SCENARIO</x:v>
      </x:c>
      <x:c r="J232" s="63" t="str">
        <x:v>E1</x:v>
      </x:c>
      <x:c r="K232" s="81" t="n">
        <x:v>0.1375</x:v>
      </x:c>
      <x:c r="L232" s="82" t="n">
        <x:v>1589.6000000000001</x:v>
      </x:c>
      <x:c r="M232" s="82" t="n">
        <x:v>1987</x:v>
      </x:c>
      <x:c r="N232" s="82" t="n">
        <x:v>2583.1</x:v>
      </x:c>
      <x:c r="O232" s="63" t="str">
        <x:v>ZAR</x:v>
      </x:c>
      <x:c r="P232" s="81" t="n">
        <x:v>0.061875000000000006</x:v>
      </x:c>
      <x:c r="Q232" s="81" t="n">
        <x:v>0.10312500000000001</x:v>
      </x:c>
      <x:c r="R232" s="63" t="n">
        <x:v>0.1375</x:v>
      </x:c>
    </x:row>
    <x:row r="233">
      <x:c r="A233" s="63" t="str">
        <x:v>E15</x:v>
      </x:c>
      <x:c r="B233" s="63" t="str">
        <x:v>Naspers</x:v>
      </x:c>
      <x:c r="C233" s="63" t="str">
        <x:v>ESCROW_AND_AGENCY</x:v>
      </x:c>
      <x:c r="D233" s="63" t="str">
        <x:v>Escrow and agency services</x:v>
      </x:c>
      <x:c r="E233" s="63" t="str">
        <x:v>ADVISORY_AND_AGENCY</x:v>
      </x:c>
      <x:c r="F233" s="63" t="str">
        <x:v>EVENT_LINKED_FLOW</x:v>
      </x:c>
      <x:c r="G233" s="64" t="b">
        <x:v>0</x:v>
      </x:c>
      <x:c r="H233" s="63" t="str">
        <x:v>FAIL_CLOSED_REQUIRED_INPUT_UNAVAILABLE</x:v>
      </x:c>
      <x:c r="I233" s="63" t="str">
        <x:v>SCENARIO</x:v>
      </x:c>
      <x:c r="J233" s="63" t="str">
        <x:v>E0</x:v>
      </x:c>
      <x:c r="K233" s="81"/>
      <x:c r="L233" s="82"/>
      <x:c r="M233" s="82"/>
      <x:c r="N233" s="82"/>
      <x:c r="O233" s="63"/>
      <x:c r="P233" s="81"/>
      <x:c r="Q233" s="81"/>
      <x:c r="R233" s="63" t="str">
        <x:v>Escrow and agency flow is event-linked, and no reviewed corporate action or capital-structure event exists for this client.</x:v>
      </x:c>
    </x:row>
    <x:row r="234">
      <x:c r="A234" s="63" t="str">
        <x:v>E15</x:v>
      </x:c>
      <x:c r="B234" s="63" t="str">
        <x:v>Naspers</x:v>
      </x:c>
      <x:c r="C234" s="63" t="str">
        <x:v>GUARANTEES_AND_LC</x:v>
      </x:c>
      <x:c r="D234" s="63" t="str">
        <x:v>Guarantees and letters of credit</x:v>
      </x:c>
      <x:c r="E234" s="63" t="str">
        <x:v>TRADE_AND_WORKING_CAPITAL</x:v>
      </x:c>
      <x:c r="F234" s="63" t="str">
        <x:v>CONTINGENT_EXPOSURE</x:v>
      </x:c>
      <x:c r="G234" s="64" t="b">
        <x:v>1</x:v>
      </x:c>
      <x:c r="H234" s="63" t="str">
        <x:v>SCENARIO_BLOCKED_PENDING_CALIBRATION</x:v>
      </x:c>
      <x:c r="I234" s="63" t="str">
        <x:v>SCENARIO</x:v>
      </x:c>
      <x:c r="J234" s="63" t="str">
        <x:v>E0</x:v>
      </x:c>
      <x:c r="K234" s="81" t="n">
        <x:v>0.24250000000000002</x:v>
      </x:c>
      <x:c r="L234" s="82" t="n">
        <x:v>1105424.9460000002</x:v>
      </x:c>
      <x:c r="M234" s="82" t="n">
        <x:v>2210849.8920000005</x:v>
      </x:c>
      <x:c r="N234" s="82" t="n">
        <x:v>3316274.838</x:v>
      </x:c>
      <x:c r="O234" s="63" t="str">
        <x:v>ZAR</x:v>
      </x:c>
      <x:c r="P234" s="81" t="n">
        <x:v>0.10912500000000001</x:v>
      </x:c>
      <x:c r="Q234" s="81" t="n">
        <x:v>0.181875</x:v>
      </x:c>
      <x:c r="R234" s="63" t="n">
        <x:v>0.24250000000000002</x:v>
      </x:c>
    </x:row>
    <x:row r="235">
      <x:c r="A235" s="63" t="str">
        <x:v>E15</x:v>
      </x:c>
      <x:c r="B235" s="63" t="str">
        <x:v>Naspers</x:v>
      </x:c>
      <x:c r="C235" s="63" t="str">
        <x:v>INTEREST_RATE_RISK_MANAGEMENT</x:v>
      </x:c>
      <x:c r="D235" s="63" t="str">
        <x:v>Interest-rate risk management</x:v>
      </x:c>
      <x:c r="E235" s="63" t="str">
        <x:v>RISK_MANAGEMENT</x:v>
      </x:c>
      <x:c r="F235" s="63" t="str">
        <x:v>EXPOSURE_NOTIONAL</x:v>
      </x:c>
      <x:c r="G235" s="64" t="b">
        <x:v>1</x:v>
      </x:c>
      <x:c r="H235" s="63" t="str">
        <x:v>SCENARIO_BLOCKED_PENDING_CALIBRATION</x:v>
      </x:c>
      <x:c r="I235" s="63" t="str">
        <x:v>SCENARIO</x:v>
      </x:c>
      <x:c r="J235" s="63" t="str">
        <x:v>E1</x:v>
      </x:c>
      <x:c r="K235" s="81" t="n">
        <x:v>0.6275</x:v>
      </x:c>
      <x:c r="L235" s="82" t="n">
        <x:v>10646346000</x:v>
      </x:c>
      <x:c r="M235" s="82" t="n">
        <x:v>19518301000</x:v>
      </x:c>
      <x:c r="N235" s="82" t="n">
        <x:v>28390256000</x:v>
      </x:c>
      <x:c r="O235" s="63" t="str">
        <x:v>ZAR</x:v>
      </x:c>
      <x:c r="P235" s="81" t="n">
        <x:v>0.282375</x:v>
      </x:c>
      <x:c r="Q235" s="81" t="n">
        <x:v>0.47062499999999996</x:v>
      </x:c>
      <x:c r="R235" s="63" t="n">
        <x:v>0.6275</x:v>
      </x:c>
    </x:row>
    <x:row r="236">
      <x:c r="A236" s="63" t="str">
        <x:v>E15</x:v>
      </x:c>
      <x:c r="B236" s="63" t="str">
        <x:v>Naspers</x:v>
      </x:c>
      <x:c r="C236" s="63" t="str">
        <x:v>LIQUIDITY_CASH_MANAGEMENT</x:v>
      </x:c>
      <x:c r="D236" s="63" t="str">
        <x:v>Liquidity and cash management</x:v>
      </x:c>
      <x:c r="E236" s="63" t="str">
        <x:v>TRANSACTION_BANKING</x:v>
      </x:c>
      <x:c r="F236" s="63" t="str">
        <x:v>CASH_WALLET</x:v>
      </x:c>
      <x:c r="G236" s="64" t="b">
        <x:v>1</x:v>
      </x:c>
      <x:c r="H236" s="63" t="str">
        <x:v>SHADOW_ELIGIBLE_REPRESENTATIVE</x:v>
      </x:c>
      <x:c r="I236" s="63" t="str">
        <x:v>POSTERIOR</x:v>
      </x:c>
      <x:c r="J236" s="63" t="str">
        <x:v>E1</x:v>
      </x:c>
      <x:c r="K236" s="81" t="n">
        <x:v>0.17225704308409856</x:v>
      </x:c>
      <x:c r="L236" s="82" t="n">
        <x:v>7166879955.730849</x:v>
      </x:c>
      <x:c r="M236" s="82" t="n">
        <x:v>11453311328.368221</x:v>
      </x:c>
      <x:c r="N236" s="82" t="n">
        <x:v>26254313560.62924</x:v>
      </x:c>
      <x:c r="O236" s="63" t="str">
        <x:v>ZAR</x:v>
      </x:c>
      <x:c r="P236" s="81" t="n">
        <x:v>0.10604073269650194</x:v>
      </x:c>
      <x:c r="Q236" s="81" t="n">
        <x:v>0.20083682840219286</x:v>
      </x:c>
      <x:c r="R236" s="63" t="n">
        <x:v>0.28558067666248454</x:v>
      </x:c>
    </x:row>
    <x:row r="237">
      <x:c r="A237" s="63" t="str">
        <x:v>E15</x:v>
      </x:c>
      <x:c r="B237" s="63" t="str">
        <x:v>Naspers</x:v>
      </x:c>
      <x:c r="C237" s="63" t="str">
        <x:v>MA_AND_STRATEGIC_ADVISORY</x:v>
      </x:c>
      <x:c r="D237" s="63" t="str">
        <x:v>M&amp;A and strategic advisory</x:v>
      </x:c>
      <x:c r="E237" s="63" t="str">
        <x:v>ADVISORY_AND_AGENCY</x:v>
      </x:c>
      <x:c r="F237" s="63" t="str">
        <x:v>TRANSACTION_SIZE</x:v>
      </x:c>
      <x:c r="G237" s="64" t="b">
        <x:v>0</x:v>
      </x:c>
      <x:c r="H237" s="63" t="str">
        <x:v>FAIL_CLOSED_REQUIRED_INPUT_UNAVAILABLE</x:v>
      </x:c>
      <x:c r="I237" s="63" t="str">
        <x:v>SCENARIO</x:v>
      </x:c>
      <x:c r="J237" s="63" t="str">
        <x:v>E0</x:v>
      </x:c>
      <x:c r="K237" s="81"/>
      <x:c r="L237" s="82"/>
      <x:c r="M237" s="82"/>
      <x:c r="N237" s="82"/>
      <x:c r="O237" s="63"/>
      <x:c r="P237" s="81"/>
      <x:c r="Q237" s="81"/>
      <x:c r="R237" s="63" t="str">
        <x:v>No announced or reviewed transaction evidence exists, so no mandate probability or transaction size can be estimated.</x:v>
      </x:c>
    </x:row>
    <x:row r="238">
      <x:c r="A238" s="63" t="str">
        <x:v>E15</x:v>
      </x:c>
      <x:c r="B238" s="63" t="str">
        <x:v>Naspers</x:v>
      </x:c>
      <x:c r="C238" s="63" t="str">
        <x:v>PAYMENTS</x:v>
      </x:c>
      <x:c r="D238" s="63" t="str">
        <x:v>Payments</x:v>
      </x:c>
      <x:c r="E238" s="63" t="str">
        <x:v>TRANSACTION_BANKING</x:v>
      </x:c>
      <x:c r="F238" s="63" t="str">
        <x:v>TRANSACTION_WALLET</x:v>
      </x:c>
      <x:c r="G238" s="64" t="b">
        <x:v>1</x:v>
      </x:c>
      <x:c r="H238" s="63" t="str">
        <x:v>SHADOW_ELIGIBLE_REPRESENTATIVE</x:v>
      </x:c>
      <x:c r="I238" s="63" t="str">
        <x:v>POSTERIOR</x:v>
      </x:c>
      <x:c r="J238" s="63" t="str">
        <x:v>E1</x:v>
      </x:c>
      <x:c r="K238" s="81" t="n">
        <x:v>0.29527740606796604</x:v>
      </x:c>
      <x:c r="L238" s="82" t="n">
        <x:v>8068369435.17192</x:v>
      </x:c>
      <x:c r="M238" s="82" t="n">
        <x:v>11543334758.572998</x:v>
      </x:c>
      <x:c r="N238" s="82" t="n">
        <x:v>20861284182.48482</x:v>
      </x:c>
      <x:c r="O238" s="63" t="str">
        <x:v>ZAR</x:v>
      </x:c>
      <x:c r="P238" s="81" t="n">
        <x:v>0.10586144403185282</x:v>
      </x:c>
      <x:c r="Q238" s="81" t="n">
        <x:v>0.2005162427311964</x:v>
      </x:c>
      <x:c r="R238" s="63" t="n">
        <x:v>0.2851507477556833</x:v>
      </x:c>
    </x:row>
    <x:row r="239">
      <x:c r="A239" s="63" t="str">
        <x:v>E15</x:v>
      </x:c>
      <x:c r="B239" s="63" t="str">
        <x:v>Naspers</x:v>
      </x:c>
      <x:c r="C239" s="63" t="str">
        <x:v>PROJECT_FINANCE</x:v>
      </x:c>
      <x:c r="D239" s="63" t="str">
        <x:v>Project finance</x:v>
      </x:c>
      <x:c r="E239" s="63" t="str">
        <x:v>LENDING</x:v>
      </x:c>
      <x:c r="F239" s="63" t="str">
        <x:v>PROJECT_FUNDING_REQUIREMENT</x:v>
      </x:c>
      <x:c r="G239" s="64" t="b">
        <x:v>0</x:v>
      </x:c>
      <x:c r="H239" s="63" t="str">
        <x:v>FAIL_CLOSED_REQUIRED_INPUT_UNAVAILABLE</x:v>
      </x:c>
      <x:c r="I239" s="63" t="str">
        <x:v>SCENARIO</x:v>
      </x:c>
      <x:c r="J239" s="63" t="str">
        <x:v>E0</x:v>
      </x:c>
      <x:c r="K239" s="81"/>
      <x:c r="L239" s="82"/>
      <x:c r="M239" s="82"/>
      <x:c r="N239" s="82"/>
      <x:c r="O239" s="63"/>
      <x:c r="P239" s="81"/>
      <x:c r="Q239" s="81"/>
      <x:c r="R239" s="63" t="str">
        <x:v>No reviewed project, SPV or ring-fenced cash-flow evidence exists for this client. Project finance cannot be sized from a sector assumption, and SPV ownership is never inferred from name similarity.</x:v>
      </x:c>
    </x:row>
    <x:row r="240">
      <x:c r="A240" s="63" t="str">
        <x:v>E15</x:v>
      </x:c>
      <x:c r="B240" s="63" t="str">
        <x:v>Naspers</x:v>
      </x:c>
      <x:c r="C240" s="63" t="str">
        <x:v>SUPPLY_CHAIN_FINANCE</x:v>
      </x:c>
      <x:c r="D240" s="63" t="str">
        <x:v>Supply-chain finance</x:v>
      </x:c>
      <x:c r="E240" s="63" t="str">
        <x:v>TRADE_AND_WORKING_CAPITAL</x:v>
      </x:c>
      <x:c r="F240" s="63" t="str">
        <x:v>ELIGIBLE_FLOW</x:v>
      </x:c>
      <x:c r="G240" s="64" t="b">
        <x:v>1</x:v>
      </x:c>
      <x:c r="H240" s="63" t="str">
        <x:v>SCENARIO_BLOCKED_PENDING_CALIBRATION</x:v>
      </x:c>
      <x:c r="I240" s="63" t="str">
        <x:v>SCENARIO</x:v>
      </x:c>
      <x:c r="J240" s="63" t="str">
        <x:v>E0</x:v>
      </x:c>
      <x:c r="K240" s="81" t="n">
        <x:v>0.29000000000000004</x:v>
      </x:c>
      <x:c r="L240" s="82" t="n">
        <x:v>160110519.94500002</x:v>
      </x:c>
      <x:c r="M240" s="82" t="n">
        <x:v>320221039.89000005</x:v>
      </x:c>
      <x:c r="N240" s="82" t="n">
        <x:v>480331559.8350001</x:v>
      </x:c>
      <x:c r="O240" s="63" t="str">
        <x:v>ZAR</x:v>
      </x:c>
      <x:c r="P240" s="81" t="n">
        <x:v>0.13050000000000003</x:v>
      </x:c>
      <x:c r="Q240" s="81" t="n">
        <x:v>0.21750000000000003</x:v>
      </x:c>
      <x:c r="R240" s="63" t="n">
        <x:v>0.29000000000000004</x:v>
      </x:c>
    </x:row>
    <x:row r="241">
      <x:c r="A241" s="63" t="str">
        <x:v>E15</x:v>
      </x:c>
      <x:c r="B241" s="63" t="str">
        <x:v>Naspers</x:v>
      </x:c>
      <x:c r="C241" s="63" t="str">
        <x:v>SUSTAINABLE_FINANCE</x:v>
      </x:c>
      <x:c r="D241" s="63" t="str">
        <x:v>Sustainable finance</x:v>
      </x:c>
      <x:c r="E241" s="63" t="str">
        <x:v>CAPITAL_MARKETS</x:v>
      </x:c>
      <x:c r="F241" s="63" t="str">
        <x:v>ELIGIBLE_CAPEX</x:v>
      </x:c>
      <x:c r="G241" s="64" t="b">
        <x:v>0</x:v>
      </x:c>
      <x:c r="H241" s="63" t="str">
        <x:v>FAIL_CLOSED_REQUIRED_INPUT_UNAVAILABLE</x:v>
      </x:c>
      <x:c r="I241" s="63" t="str">
        <x:v>SCENARIO</x:v>
      </x:c>
      <x:c r="J241" s="63" t="str">
        <x:v>E0</x:v>
      </x:c>
      <x:c r="K241" s="81"/>
      <x:c r="L241" s="82"/>
      <x:c r="M241" s="82"/>
      <x:c r="N241" s="82"/>
      <x:c r="O241" s="63"/>
      <x:c r="P241" s="81"/>
      <x:c r="Q241" s="81"/>
      <x:c r="R241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42">
      <x:c r="A242" s="63" t="str">
        <x:v>E15</x:v>
      </x:c>
      <x:c r="B242" s="63" t="str">
        <x:v>Naspers</x:v>
      </x:c>
      <x:c r="C242" s="63" t="str">
        <x:v>TERM_AND_SYNDICATED_LENDING</x:v>
      </x:c>
      <x:c r="D242" s="63" t="str">
        <x:v>Term and syndicated lending</x:v>
      </x:c>
      <x:c r="E242" s="63" t="str">
        <x:v>LENDING</x:v>
      </x:c>
      <x:c r="F242" s="63" t="str">
        <x:v>FACILITY_SIZE</x:v>
      </x:c>
      <x:c r="G242" s="64" t="b">
        <x:v>1</x:v>
      </x:c>
      <x:c r="H242" s="63" t="str">
        <x:v>SCENARIO_BLOCKED_PENDING_CALIBRATION</x:v>
      </x:c>
      <x:c r="I242" s="63" t="str">
        <x:v>SCENARIO</x:v>
      </x:c>
      <x:c r="J242" s="63" t="str">
        <x:v>E1</x:v>
      </x:c>
      <x:c r="K242" s="81" t="n">
        <x:v>0.1375</x:v>
      </x:c>
      <x:c r="L242" s="82" t="n">
        <x:v>1788.3</x:v>
      </x:c>
      <x:c r="M242" s="82" t="n">
        <x:v>2185.7000000000003</x:v>
      </x:c>
      <x:c r="N242" s="82" t="n">
        <x:v>2781.7999999999997</x:v>
      </x:c>
      <x:c r="O242" s="63" t="str">
        <x:v>ZAR</x:v>
      </x:c>
      <x:c r="P242" s="81" t="n">
        <x:v>0.061875000000000006</x:v>
      </x:c>
      <x:c r="Q242" s="81" t="n">
        <x:v>0.10312500000000001</x:v>
      </x:c>
      <x:c r="R242" s="63" t="n">
        <x:v>0.1375</x:v>
      </x:c>
    </x:row>
    <x:row r="243">
      <x:c r="A243" s="63" t="str">
        <x:v>E15</x:v>
      </x:c>
      <x:c r="B243" s="63" t="str">
        <x:v>Naspers</x:v>
      </x:c>
      <x:c r="C243" s="63" t="str">
        <x:v>TRADE_FINANCE</x:v>
      </x:c>
      <x:c r="D243" s="63" t="str">
        <x:v>Trade finance</x:v>
      </x:c>
      <x:c r="E243" s="63" t="str">
        <x:v>TRADE_AND_WORKING_CAPITAL</x:v>
      </x:c>
      <x:c r="F243" s="63" t="str">
        <x:v>ELIGIBLE_FLOW</x:v>
      </x:c>
      <x:c r="G243" s="64" t="b">
        <x:v>1</x:v>
      </x:c>
      <x:c r="H243" s="63" t="str">
        <x:v>SHADOW_ELIGIBLE_REPRESENTATIVE</x:v>
      </x:c>
      <x:c r="I243" s="63" t="str">
        <x:v>POSTERIOR</x:v>
      </x:c>
      <x:c r="J243" s="63" t="str">
        <x:v>E1</x:v>
      </x:c>
      <x:c r="K243" s="81" t="n">
        <x:v>0.023211248822877697</x:v>
      </x:c>
      <x:c r="L243" s="82" t="n">
        <x:v>233925413.8147819</x:v>
      </x:c>
      <x:c r="M243" s="82" t="n">
        <x:v>426564825.11300147</x:v>
      </x:c>
      <x:c r="N243" s="82" t="n">
        <x:v>1051012312.0977098</x:v>
      </x:c>
      <x:c r="O243" s="63" t="str">
        <x:v>ZAR</x:v>
      </x:c>
      <x:c r="P243" s="81" t="n">
        <x:v>0.14505924745527377</x:v>
      </x:c>
      <x:c r="Q243" s="81" t="n">
        <x:v>0.26907630963825724</x:v>
      </x:c>
      <x:c r="R243" s="63" t="n">
        <x:v>0.37510355010936325</x:v>
      </x:c>
    </x:row>
    <x:row r="244">
      <x:c r="A244" s="63" t="str">
        <x:v>E15</x:v>
      </x:c>
      <x:c r="B244" s="63" t="str">
        <x:v>Naspers</x:v>
      </x:c>
      <x:c r="C244" s="63" t="str">
        <x:v>WORKING_CAPITAL_REVOLVING</x:v>
      </x:c>
      <x:c r="D244" s="63" t="str">
        <x:v>Working-capital/revolving credit</x:v>
      </x:c>
      <x:c r="E244" s="63" t="str">
        <x:v>LENDING</x:v>
      </x:c>
      <x:c r="F244" s="63" t="str">
        <x:v>FACILITY_SIZE</x:v>
      </x:c>
      <x:c r="G244" s="64" t="b">
        <x:v>0</x:v>
      </x:c>
      <x:c r="H244" s="63" t="str">
        <x:v>FAIL_CLOSED_REQUIRED_INPUT_UNAVAILABLE</x:v>
      </x:c>
      <x:c r="I244" s="63" t="str">
        <x:v>SCENARIO</x:v>
      </x:c>
      <x:c r="J244" s="63" t="str">
        <x:v>E0</x:v>
      </x:c>
      <x:c r="K244" s="81"/>
      <x:c r="L244" s="82"/>
      <x:c r="M244" s="82"/>
      <x:c r="N244" s="82"/>
      <x:c r="O244" s="63"/>
      <x:c r="P244" s="81"/>
      <x:c r="Q244" s="81"/>
      <x:c r="R244" s="63" t="str">
        <x:v>No positive working-capital gap can be computed from reviewed evidence, so a revolving facility cannot be sized.</x:v>
      </x:c>
    </x:row>
    <x:row r="245">
      <x:c r="A245" s="63" t="str">
        <x:v>E16</x:v>
      </x:c>
      <x:c r="B245" s="63" t="str">
        <x:v>MTN Group</x:v>
      </x:c>
      <x:c r="C245" s="63" t="str">
        <x:v>COLLECTIONS</x:v>
      </x:c>
      <x:c r="D245" s="63" t="str">
        <x:v>Collections</x:v>
      </x:c>
      <x:c r="E245" s="63" t="str">
        <x:v>TRANSACTION_BANKING</x:v>
      </x:c>
      <x:c r="F245" s="63" t="str">
        <x:v>TRANSACTION_WALLET</x:v>
      </x:c>
      <x:c r="G245" s="64" t="b">
        <x:v>1</x:v>
      </x:c>
      <x:c r="H245" s="63" t="str">
        <x:v>SHADOW_ELIGIBLE_REPRESENTATIVE</x:v>
      </x:c>
      <x:c r="I245" s="63" t="str">
        <x:v>POSTERIOR</x:v>
      </x:c>
      <x:c r="J245" s="63" t="str">
        <x:v>E1</x:v>
      </x:c>
      <x:c r="K245" s="81" t="n">
        <x:v>0.6301724973788252</x:v>
      </x:c>
      <x:c r="L245" s="82" t="n">
        <x:v>17344557697.16688</x:v>
      </x:c>
      <x:c r="M245" s="82" t="n">
        <x:v>24716504998.69317</x:v>
      </x:c>
      <x:c r="N245" s="82" t="n">
        <x:v>42136519160.1735</x:v>
      </x:c>
      <x:c r="O245" s="63" t="str">
        <x:v>ZAR</x:v>
      </x:c>
      <x:c r="P245" s="81" t="n">
        <x:v>0.0990543806756391</x:v>
      </x:c>
      <x:c r="Q245" s="81" t="n">
        <x:v>0.18829699102024378</x:v>
      </x:c>
      <x:c r="R245" s="63" t="n">
        <x:v>0.2686997298672862</x:v>
      </x:c>
    </x:row>
    <x:row r="246">
      <x:c r="A246" s="63" t="str">
        <x:v>E16</x:v>
      </x:c>
      <x:c r="B246" s="63" t="str">
        <x:v>MTN Group</x:v>
      </x:c>
      <x:c r="C246" s="63" t="str">
        <x:v>COMMODITY_RISK_MANAGEMENT</x:v>
      </x:c>
      <x:c r="D246" s="63" t="str">
        <x:v>Commodity risk management</x:v>
      </x:c>
      <x:c r="E246" s="63" t="str">
        <x:v>RISK_MANAGEMENT</x:v>
      </x:c>
      <x:c r="F246" s="63" t="str">
        <x:v>EXPOSURE_NOTIONAL</x:v>
      </x:c>
      <x:c r="G246" s="64" t="b">
        <x:v>0</x:v>
      </x:c>
      <x:c r="H246" s="63" t="str">
        <x:v>FAIL_CLOSED_REQUIRED_INPUT_UNAVAILABLE</x:v>
      </x:c>
      <x:c r="I246" s="63" t="str">
        <x:v>SCENARIO</x:v>
      </x:c>
      <x:c r="J246" s="63" t="str">
        <x:v>E0</x:v>
      </x:c>
      <x:c r="K246" s="81"/>
      <x:c r="L246" s="82"/>
      <x:c r="M246" s="82"/>
      <x:c r="N246" s="82"/>
      <x:c r="O246" s="63"/>
      <x:c r="P246" s="81"/>
      <x:c r="Q246" s="81"/>
      <x:c r="R246" s="63" t="str">
        <x:v>The telecoms sector carries no governed commodity price linkage, so a hedgeable commodity notional cannot be asserted.</x:v>
      </x:c>
    </x:row>
    <x:row r="247">
      <x:c r="A247" s="63" t="str">
        <x:v>E16</x:v>
      </x:c>
      <x:c r="B247" s="63" t="str">
        <x:v>MTN Group</x:v>
      </x:c>
      <x:c r="C247" s="63" t="str">
        <x:v>CROSS_BORDER_FX</x:v>
      </x:c>
      <x:c r="D247" s="63" t="str">
        <x:v>Cross-border FX</x:v>
      </x:c>
      <x:c r="E247" s="63" t="str">
        <x:v>RISK_MANAGEMENT</x:v>
      </x:c>
      <x:c r="F247" s="63" t="str">
        <x:v>EXPOSURE_NOTIONAL</x:v>
      </x:c>
      <x:c r="G247" s="64" t="b">
        <x:v>1</x:v>
      </x:c>
      <x:c r="H247" s="63" t="str">
        <x:v>SHADOW_ELIGIBLE_REPRESENTATIVE</x:v>
      </x:c>
      <x:c r="I247" s="63" t="str">
        <x:v>POSTERIOR</x:v>
      </x:c>
      <x:c r="J247" s="63" t="str">
        <x:v>E1</x:v>
      </x:c>
      <x:c r="K247" s="81" t="n">
        <x:v>1</x:v>
      </x:c>
      <x:c r="L247" s="82" t="n">
        <x:v>21810456021.63903</x:v>
      </x:c>
      <x:c r="M247" s="82" t="n">
        <x:v>35142506895.616455</x:v>
      </x:c>
      <x:c r="N247" s="82" t="n">
        <x:v>72028523313.34477</x:v>
      </x:c>
      <x:c r="O247" s="63" t="str">
        <x:v>ZAR</x:v>
      </x:c>
      <x:c r="P247" s="81" t="n">
        <x:v>0.09745732574083232</x:v>
      </x:c>
      <x:c r="Q247" s="81" t="n">
        <x:v>0.18541672114110996</x:v>
      </x:c>
      <x:c r="R247" s="63" t="n">
        <x:v>0.26480382909189604</x:v>
      </x:c>
    </x:row>
    <x:row r="248">
      <x:c r="A248" s="63" t="str">
        <x:v>E16</x:v>
      </x:c>
      <x:c r="B248" s="63" t="str">
        <x:v>MTN Group</x:v>
      </x:c>
      <x:c r="C248" s="63" t="str">
        <x:v>DEBT_CAPITAL_MARKETS</x:v>
      </x:c>
      <x:c r="D248" s="63" t="str">
        <x:v>Debt capital markets</x:v>
      </x:c>
      <x:c r="E248" s="63" t="str">
        <x:v>CAPITAL_MARKETS</x:v>
      </x:c>
      <x:c r="F248" s="63" t="str">
        <x:v>FINANCING_REQUIREMENT</x:v>
      </x:c>
      <x:c r="G248" s="64" t="b">
        <x:v>1</x:v>
      </x:c>
      <x:c r="H248" s="63" t="str">
        <x:v>SCENARIO_BLOCKED_PENDING_CALIBRATION</x:v>
      </x:c>
      <x:c r="I248" s="63" t="str">
        <x:v>SCENARIO</x:v>
      </x:c>
      <x:c r="J248" s="63" t="str">
        <x:v>E1</x:v>
      </x:c>
      <x:c r="K248" s="81" t="n">
        <x:v>0.1375</x:v>
      </x:c>
      <x:c r="L248" s="82" t="n">
        <x:v>14204</x:v>
      </x:c>
      <x:c r="M248" s="82" t="n">
        <x:v>17755</x:v>
      </x:c>
      <x:c r="N248" s="82" t="n">
        <x:v>23081.5</x:v>
      </x:c>
      <x:c r="O248" s="63" t="str">
        <x:v>ZAR</x:v>
      </x:c>
      <x:c r="P248" s="81" t="n">
        <x:v>0.061875000000000006</x:v>
      </x:c>
      <x:c r="Q248" s="81" t="n">
        <x:v>0.10312500000000001</x:v>
      </x:c>
      <x:c r="R248" s="63" t="n">
        <x:v>0.1375</x:v>
      </x:c>
    </x:row>
    <x:row r="249">
      <x:c r="A249" s="63" t="str">
        <x:v>E16</x:v>
      </x:c>
      <x:c r="B249" s="63" t="str">
        <x:v>MTN Group</x:v>
      </x:c>
      <x:c r="C249" s="63" t="str">
        <x:v>ESCROW_AND_AGENCY</x:v>
      </x:c>
      <x:c r="D249" s="63" t="str">
        <x:v>Escrow and agency services</x:v>
      </x:c>
      <x:c r="E249" s="63" t="str">
        <x:v>ADVISORY_AND_AGENCY</x:v>
      </x:c>
      <x:c r="F249" s="63" t="str">
        <x:v>EVENT_LINKED_FLOW</x:v>
      </x:c>
      <x:c r="G249" s="64" t="b">
        <x:v>0</x:v>
      </x:c>
      <x:c r="H249" s="63" t="str">
        <x:v>FAIL_CLOSED_REQUIRED_INPUT_UNAVAILABLE</x:v>
      </x:c>
      <x:c r="I249" s="63" t="str">
        <x:v>SCENARIO</x:v>
      </x:c>
      <x:c r="J249" s="63" t="str">
        <x:v>E0</x:v>
      </x:c>
      <x:c r="K249" s="81"/>
      <x:c r="L249" s="82"/>
      <x:c r="M249" s="82"/>
      <x:c r="N249" s="82"/>
      <x:c r="O249" s="63"/>
      <x:c r="P249" s="81"/>
      <x:c r="Q249" s="81"/>
      <x:c r="R249" s="63" t="str">
        <x:v>Escrow and agency flow is event-linked, and no reviewed corporate action or capital-structure event exists for this client.</x:v>
      </x:c>
    </x:row>
    <x:row r="250">
      <x:c r="A250" s="63" t="str">
        <x:v>E16</x:v>
      </x:c>
      <x:c r="B250" s="63" t="str">
        <x:v>MTN Group</x:v>
      </x:c>
      <x:c r="C250" s="63" t="str">
        <x:v>GUARANTEES_AND_LC</x:v>
      </x:c>
      <x:c r="D250" s="63" t="str">
        <x:v>Guarantees and letters of credit</x:v>
      </x:c>
      <x:c r="E250" s="63" t="str">
        <x:v>TRADE_AND_WORKING_CAPITAL</x:v>
      </x:c>
      <x:c r="F250" s="63" t="str">
        <x:v>CONTINGENT_EXPOSURE</x:v>
      </x:c>
      <x:c r="G250" s="64" t="b">
        <x:v>1</x:v>
      </x:c>
      <x:c r="H250" s="63" t="str">
        <x:v>SCENARIO_BLOCKED_PENDING_CALIBRATION</x:v>
      </x:c>
      <x:c r="I250" s="63" t="str">
        <x:v>SCENARIO</x:v>
      </x:c>
      <x:c r="J250" s="63" t="str">
        <x:v>E0</x:v>
      </x:c>
      <x:c r="K250" s="81" t="n">
        <x:v>0.24250000000000002</x:v>
      </x:c>
      <x:c r="L250" s="82" t="n">
        <x:v>33341668.97999999</x:v>
      </x:c>
      <x:c r="M250" s="82" t="n">
        <x:v>66683337.95999998</x:v>
      </x:c>
      <x:c r="N250" s="82" t="n">
        <x:v>100025006.93999997</x:v>
      </x:c>
      <x:c r="O250" s="63" t="str">
        <x:v>ZAR</x:v>
      </x:c>
      <x:c r="P250" s="81" t="n">
        <x:v>0.10912500000000001</x:v>
      </x:c>
      <x:c r="Q250" s="81" t="n">
        <x:v>0.181875</x:v>
      </x:c>
      <x:c r="R250" s="63" t="n">
        <x:v>0.24250000000000002</x:v>
      </x:c>
    </x:row>
    <x:row r="251">
      <x:c r="A251" s="63" t="str">
        <x:v>E16</x:v>
      </x:c>
      <x:c r="B251" s="63" t="str">
        <x:v>MTN Group</x:v>
      </x:c>
      <x:c r="C251" s="63" t="str">
        <x:v>INTEREST_RATE_RISK_MANAGEMENT</x:v>
      </x:c>
      <x:c r="D251" s="63" t="str">
        <x:v>Interest-rate risk management</x:v>
      </x:c>
      <x:c r="E251" s="63" t="str">
        <x:v>RISK_MANAGEMENT</x:v>
      </x:c>
      <x:c r="F251" s="63" t="str">
        <x:v>EXPOSURE_NOTIONAL</x:v>
      </x:c>
      <x:c r="G251" s="64" t="b">
        <x:v>1</x:v>
      </x:c>
      <x:c r="H251" s="63" t="str">
        <x:v>SCENARIO_BLOCKED_PENDING_CALIBRATION</x:v>
      </x:c>
      <x:c r="I251" s="63" t="str">
        <x:v>SCENARIO</x:v>
      </x:c>
      <x:c r="J251" s="63" t="str">
        <x:v>E1</x:v>
      </x:c>
      <x:c r="K251" s="81" t="n">
        <x:v>0.29999999999999993</x:v>
      </x:c>
      <x:c r="L251" s="82" t="n">
        <x:v>5326500000</x:v>
      </x:c>
      <x:c r="M251" s="82" t="n">
        <x:v>9765250000</x:v>
      </x:c>
      <x:c r="N251" s="82" t="n">
        <x:v>14204000000</x:v>
      </x:c>
      <x:c r="O251" s="63" t="str">
        <x:v>ZAR</x:v>
      </x:c>
      <x:c r="P251" s="81" t="n">
        <x:v>0.13499999999999998</x:v>
      </x:c>
      <x:c r="Q251" s="81" t="n">
        <x:v>0.22499999999999995</x:v>
      </x:c>
      <x:c r="R251" s="63" t="n">
        <x:v>0.29999999999999993</x:v>
      </x:c>
    </x:row>
    <x:row r="252">
      <x:c r="A252" s="63" t="str">
        <x:v>E16</x:v>
      </x:c>
      <x:c r="B252" s="63" t="str">
        <x:v>MTN Group</x:v>
      </x:c>
      <x:c r="C252" s="63" t="str">
        <x:v>LIQUIDITY_CASH_MANAGEMENT</x:v>
      </x:c>
      <x:c r="D252" s="63" t="str">
        <x:v>Liquidity and cash management</x:v>
      </x:c>
      <x:c r="E252" s="63" t="str">
        <x:v>TRANSACTION_BANKING</x:v>
      </x:c>
      <x:c r="F252" s="63" t="str">
        <x:v>CASH_WALLET</x:v>
      </x:c>
      <x:c r="G252" s="64" t="b">
        <x:v>1</x:v>
      </x:c>
      <x:c r="H252" s="63" t="str">
        <x:v>SHADOW_ELIGIBLE_REPRESENTATIVE</x:v>
      </x:c>
      <x:c r="I252" s="63" t="str">
        <x:v>POSTERIOR</x:v>
      </x:c>
      <x:c r="J252" s="63" t="str">
        <x:v>E1</x:v>
      </x:c>
      <x:c r="K252" s="81" t="n">
        <x:v>1</x:v>
      </x:c>
      <x:c r="L252" s="82" t="n">
        <x:v>18416449052.902653</x:v>
      </x:c>
      <x:c r="M252" s="82" t="n">
        <x:v>29772253973.008087</x:v>
      </x:c>
      <x:c r="N252" s="82" t="n">
        <x:v>64671048809.87105</x:v>
      </x:c>
      <x:c r="O252" s="63" t="str">
        <x:v>ZAR</x:v>
      </x:c>
      <x:c r="P252" s="81" t="n">
        <x:v>0.09970363549750882</x:v>
      </x:c>
      <x:c r="Q252" s="81" t="n">
        <x:v>0.18946645606359758</x:v>
      </x:c>
      <x:c r="R252" s="63" t="n">
        <x:v>0.27027959708673677</x:v>
      </x:c>
    </x:row>
    <x:row r="253">
      <x:c r="A253" s="63" t="str">
        <x:v>E16</x:v>
      </x:c>
      <x:c r="B253" s="63" t="str">
        <x:v>MTN Group</x:v>
      </x:c>
      <x:c r="C253" s="63" t="str">
        <x:v>MA_AND_STRATEGIC_ADVISORY</x:v>
      </x:c>
      <x:c r="D253" s="63" t="str">
        <x:v>M&amp;A and strategic advisory</x:v>
      </x:c>
      <x:c r="E253" s="63" t="str">
        <x:v>ADVISORY_AND_AGENCY</x:v>
      </x:c>
      <x:c r="F253" s="63" t="str">
        <x:v>TRANSACTION_SIZE</x:v>
      </x:c>
      <x:c r="G253" s="64" t="b">
        <x:v>0</x:v>
      </x:c>
      <x:c r="H253" s="63" t="str">
        <x:v>FAIL_CLOSED_REQUIRED_INPUT_UNAVAILABLE</x:v>
      </x:c>
      <x:c r="I253" s="63" t="str">
        <x:v>SCENARIO</x:v>
      </x:c>
      <x:c r="J253" s="63" t="str">
        <x:v>E0</x:v>
      </x:c>
      <x:c r="K253" s="81"/>
      <x:c r="L253" s="82"/>
      <x:c r="M253" s="82"/>
      <x:c r="N253" s="82"/>
      <x:c r="O253" s="63"/>
      <x:c r="P253" s="81"/>
      <x:c r="Q253" s="81"/>
      <x:c r="R253" s="63" t="str">
        <x:v>No announced or reviewed transaction evidence exists, so no mandate probability or transaction size can be estimated.</x:v>
      </x:c>
    </x:row>
    <x:row r="254">
      <x:c r="A254" s="63" t="str">
        <x:v>E16</x:v>
      </x:c>
      <x:c r="B254" s="63" t="str">
        <x:v>MTN Group</x:v>
      </x:c>
      <x:c r="C254" s="63" t="str">
        <x:v>PAYMENTS</x:v>
      </x:c>
      <x:c r="D254" s="63" t="str">
        <x:v>Payments</x:v>
      </x:c>
      <x:c r="E254" s="63" t="str">
        <x:v>TRANSACTION_BANKING</x:v>
      </x:c>
      <x:c r="F254" s="63" t="str">
        <x:v>TRANSACTION_WALLET</x:v>
      </x:c>
      <x:c r="G254" s="64" t="b">
        <x:v>1</x:v>
      </x:c>
      <x:c r="H254" s="63" t="str">
        <x:v>SHADOW_ELIGIBLE_REPRESENTATIVE</x:v>
      </x:c>
      <x:c r="I254" s="63" t="str">
        <x:v>POSTERIOR</x:v>
      </x:c>
      <x:c r="J254" s="63" t="str">
        <x:v>E1</x:v>
      </x:c>
      <x:c r="K254" s="81" t="n">
        <x:v>1</x:v>
      </x:c>
      <x:c r="L254" s="82" t="n">
        <x:v>30318188955.065334</x:v>
      </x:c>
      <x:c r="M254" s="82" t="n">
        <x:v>43576483665.515564</x:v>
      </x:c>
      <x:c r="N254" s="82" t="n">
        <x:v>77989381291.40892</x:v>
      </x:c>
      <x:c r="O254" s="63" t="str">
        <x:v>ZAR</x:v>
      </x:c>
      <x:c r="P254" s="81" t="n">
        <x:v>0.0999262675014525</x:v>
      </x:c>
      <x:c r="Q254" s="81" t="n">
        <x:v>0.18986727606613307</x:v>
      </x:c>
      <x:c r="R254" s="63" t="n">
        <x:v>0.270820815349629</x:v>
      </x:c>
    </x:row>
    <x:row r="255">
      <x:c r="A255" s="63" t="str">
        <x:v>E16</x:v>
      </x:c>
      <x:c r="B255" s="63" t="str">
        <x:v>MTN Group</x:v>
      </x:c>
      <x:c r="C255" s="63" t="str">
        <x:v>PROJECT_FINANCE</x:v>
      </x:c>
      <x:c r="D255" s="63" t="str">
        <x:v>Project finance</x:v>
      </x:c>
      <x:c r="E255" s="63" t="str">
        <x:v>LENDING</x:v>
      </x:c>
      <x:c r="F255" s="63" t="str">
        <x:v>PROJECT_FUNDING_REQUIREMENT</x:v>
      </x:c>
      <x:c r="G255" s="64" t="b">
        <x:v>0</x:v>
      </x:c>
      <x:c r="H255" s="63" t="str">
        <x:v>FAIL_CLOSED_REQUIRED_INPUT_UNAVAILABLE</x:v>
      </x:c>
      <x:c r="I255" s="63" t="str">
        <x:v>SCENARIO</x:v>
      </x:c>
      <x:c r="J255" s="63" t="str">
        <x:v>E0</x:v>
      </x:c>
      <x:c r="K255" s="81"/>
      <x:c r="L255" s="82"/>
      <x:c r="M255" s="82"/>
      <x:c r="N255" s="82"/>
      <x:c r="O255" s="63"/>
      <x:c r="P255" s="81"/>
      <x:c r="Q255" s="81"/>
      <x:c r="R255" s="63" t="str">
        <x:v>No reviewed project, SPV or ring-fenced cash-flow evidence exists for this client. Project finance cannot be sized from a sector assumption, and SPV ownership is never inferred from name similarity.</x:v>
      </x:c>
    </x:row>
    <x:row r="256">
      <x:c r="A256" s="63" t="str">
        <x:v>E16</x:v>
      </x:c>
      <x:c r="B256" s="63" t="str">
        <x:v>MTN Group</x:v>
      </x:c>
      <x:c r="C256" s="63" t="str">
        <x:v>SUPPLY_CHAIN_FINANCE</x:v>
      </x:c>
      <x:c r="D256" s="63" t="str">
        <x:v>Supply-chain finance</x:v>
      </x:c>
      <x:c r="E256" s="63" t="str">
        <x:v>TRADE_AND_WORKING_CAPITAL</x:v>
      </x:c>
      <x:c r="F256" s="63" t="str">
        <x:v>ELIGIBLE_FLOW</x:v>
      </x:c>
      <x:c r="G256" s="64" t="b">
        <x:v>1</x:v>
      </x:c>
      <x:c r="H256" s="63" t="str">
        <x:v>SCENARIO_BLOCKED_PENDING_CALIBRATION</x:v>
      </x:c>
      <x:c r="I256" s="63" t="str">
        <x:v>SCENARIO</x:v>
      </x:c>
      <x:c r="J256" s="63" t="str">
        <x:v>E0</x:v>
      </x:c>
      <x:c r="K256" s="81" t="n">
        <x:v>0.29000000000000004</x:v>
      </x:c>
      <x:c r="L256" s="82" t="n">
        <x:v>1133139843.332999</x:v>
      </x:c>
      <x:c r="M256" s="82" t="n">
        <x:v>2266279686.665998</x:v>
      </x:c>
      <x:c r="N256" s="82" t="n">
        <x:v>3399419529.998997</x:v>
      </x:c>
      <x:c r="O256" s="63" t="str">
        <x:v>ZAR</x:v>
      </x:c>
      <x:c r="P256" s="81" t="n">
        <x:v>0.13050000000000003</x:v>
      </x:c>
      <x:c r="Q256" s="81" t="n">
        <x:v>0.21750000000000003</x:v>
      </x:c>
      <x:c r="R256" s="63" t="n">
        <x:v>0.29000000000000004</x:v>
      </x:c>
    </x:row>
    <x:row r="257">
      <x:c r="A257" s="63" t="str">
        <x:v>E16</x:v>
      </x:c>
      <x:c r="B257" s="63" t="str">
        <x:v>MTN Group</x:v>
      </x:c>
      <x:c r="C257" s="63" t="str">
        <x:v>SUSTAINABLE_FINANCE</x:v>
      </x:c>
      <x:c r="D257" s="63" t="str">
        <x:v>Sustainable finance</x:v>
      </x:c>
      <x:c r="E257" s="63" t="str">
        <x:v>CAPITAL_MARKETS</x:v>
      </x:c>
      <x:c r="F257" s="63" t="str">
        <x:v>ELIGIBLE_CAPEX</x:v>
      </x:c>
      <x:c r="G257" s="64" t="b">
        <x:v>0</x:v>
      </x:c>
      <x:c r="H257" s="63" t="str">
        <x:v>FAIL_CLOSED_REQUIRED_INPUT_UNAVAILABLE</x:v>
      </x:c>
      <x:c r="I257" s="63" t="str">
        <x:v>SCENARIO</x:v>
      </x:c>
      <x:c r="J257" s="63" t="str">
        <x:v>E0</x:v>
      </x:c>
      <x:c r="K257" s="81"/>
      <x:c r="L257" s="82"/>
      <x:c r="M257" s="82"/>
      <x:c r="N257" s="82"/>
      <x:c r="O257" s="63"/>
      <x:c r="P257" s="81"/>
      <x:c r="Q257" s="81"/>
      <x:c r="R257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58">
      <x:c r="A258" s="63" t="str">
        <x:v>E16</x:v>
      </x:c>
      <x:c r="B258" s="63" t="str">
        <x:v>MTN Group</x:v>
      </x:c>
      <x:c r="C258" s="63" t="str">
        <x:v>TERM_AND_SYNDICATED_LENDING</x:v>
      </x:c>
      <x:c r="D258" s="63" t="str">
        <x:v>Term and syndicated lending</x:v>
      </x:c>
      <x:c r="E258" s="63" t="str">
        <x:v>LENDING</x:v>
      </x:c>
      <x:c r="F258" s="63" t="str">
        <x:v>FACILITY_SIZE</x:v>
      </x:c>
      <x:c r="G258" s="64" t="b">
        <x:v>1</x:v>
      </x:c>
      <x:c r="H258" s="63" t="str">
        <x:v>SCENARIO_BLOCKED_PENDING_CALIBRATION</x:v>
      </x:c>
      <x:c r="I258" s="63" t="str">
        <x:v>SCENARIO</x:v>
      </x:c>
      <x:c r="J258" s="63" t="str">
        <x:v>E1</x:v>
      </x:c>
      <x:c r="K258" s="81" t="n">
        <x:v>0.1375</x:v>
      </x:c>
      <x:c r="L258" s="82" t="n">
        <x:v>15979.5</x:v>
      </x:c>
      <x:c r="M258" s="82" t="n">
        <x:v>19530.5</x:v>
      </x:c>
      <x:c r="N258" s="82" t="n">
        <x:v>24857</x:v>
      </x:c>
      <x:c r="O258" s="63" t="str">
        <x:v>ZAR</x:v>
      </x:c>
      <x:c r="P258" s="81" t="n">
        <x:v>0.061875000000000006</x:v>
      </x:c>
      <x:c r="Q258" s="81" t="n">
        <x:v>0.10312500000000001</x:v>
      </x:c>
      <x:c r="R258" s="63" t="n">
        <x:v>0.1375</x:v>
      </x:c>
    </x:row>
    <x:row r="259">
      <x:c r="A259" s="63" t="str">
        <x:v>E16</x:v>
      </x:c>
      <x:c r="B259" s="63" t="str">
        <x:v>MTN Group</x:v>
      </x:c>
      <x:c r="C259" s="63" t="str">
        <x:v>TRADE_FINANCE</x:v>
      </x:c>
      <x:c r="D259" s="63" t="str">
        <x:v>Trade finance</x:v>
      </x:c>
      <x:c r="E259" s="63" t="str">
        <x:v>TRADE_AND_WORKING_CAPITAL</x:v>
      </x:c>
      <x:c r="F259" s="63" t="str">
        <x:v>ELIGIBLE_FLOW</x:v>
      </x:c>
      <x:c r="G259" s="64" t="b">
        <x:v>1</x:v>
      </x:c>
      <x:c r="H259" s="63" t="str">
        <x:v>SHADOW_ELIGIBLE_REPRESENTATIVE</x:v>
      </x:c>
      <x:c r="I259" s="63" t="str">
        <x:v>POSTERIOR</x:v>
      </x:c>
      <x:c r="J259" s="63" t="str">
        <x:v>E1</x:v>
      </x:c>
      <x:c r="K259" s="81" t="n">
        <x:v>0.7117708254238109</x:v>
      </x:c>
      <x:c r="L259" s="82" t="n">
        <x:v>2681442968.401396</x:v>
      </x:c>
      <x:c r="M259" s="82" t="n">
        <x:v>4786688440.415171</x:v>
      </x:c>
      <x:c r="N259" s="82" t="n">
        <x:v>12086467604.900148</x:v>
      </x:c>
      <x:c r="O259" s="63" t="str">
        <x:v>ZAR</x:v>
      </x:c>
      <x:c r="P259" s="81" t="n">
        <x:v>0.12160602276027122</x:v>
      </x:c>
      <x:c r="Q259" s="81" t="n">
        <x:v>0.22842402074897084</x:v>
      </x:c>
      <x:c r="R259" s="63" t="n">
        <x:v>0.32225230684305006</x:v>
      </x:c>
    </x:row>
    <x:row r="260">
      <x:c r="A260" s="63" t="str">
        <x:v>E16</x:v>
      </x:c>
      <x:c r="B260" s="63" t="str">
        <x:v>MTN Group</x:v>
      </x:c>
      <x:c r="C260" s="63" t="str">
        <x:v>WORKING_CAPITAL_REVOLVING</x:v>
      </x:c>
      <x:c r="D260" s="63" t="str">
        <x:v>Working-capital/revolving credit</x:v>
      </x:c>
      <x:c r="E260" s="63" t="str">
        <x:v>LENDING</x:v>
      </x:c>
      <x:c r="F260" s="63" t="str">
        <x:v>FACILITY_SIZE</x:v>
      </x:c>
      <x:c r="G260" s="64" t="b">
        <x:v>0</x:v>
      </x:c>
      <x:c r="H260" s="63" t="str">
        <x:v>FAIL_CLOSED_REQUIRED_INPUT_UNAVAILABLE</x:v>
      </x:c>
      <x:c r="I260" s="63" t="str">
        <x:v>SCENARIO</x:v>
      </x:c>
      <x:c r="J260" s="63" t="str">
        <x:v>E0</x:v>
      </x:c>
      <x:c r="K260" s="81"/>
      <x:c r="L260" s="82"/>
      <x:c r="M260" s="82"/>
      <x:c r="N260" s="82"/>
      <x:c r="O260" s="63"/>
      <x:c r="P260" s="81"/>
      <x:c r="Q260" s="81"/>
      <x:c r="R260" s="63" t="str">
        <x:v>No positive working-capital gap can be computed from reviewed evidence, so a revolving facility cannot be sized.</x:v>
      </x:c>
    </x:row>
    <x:row r="261">
      <x:c r="A261" s="63" t="str">
        <x:v>E17</x:v>
      </x:c>
      <x:c r="B261" s="63" t="str">
        <x:v>Vodacom Group</x:v>
      </x:c>
      <x:c r="C261" s="63" t="str">
        <x:v>COLLECTIONS</x:v>
      </x:c>
      <x:c r="D261" s="63" t="str">
        <x:v>Collections</x:v>
      </x:c>
      <x:c r="E261" s="63" t="str">
        <x:v>TRANSACTION_BANKING</x:v>
      </x:c>
      <x:c r="F261" s="63" t="str">
        <x:v>TRANSACTION_WALLET</x:v>
      </x:c>
      <x:c r="G261" s="64" t="b">
        <x:v>1</x:v>
      </x:c>
      <x:c r="H261" s="63" t="str">
        <x:v>SHADOW_ELIGIBLE_REPRESENTATIVE</x:v>
      </x:c>
      <x:c r="I261" s="63" t="str">
        <x:v>POSTERIOR</x:v>
      </x:c>
      <x:c r="J261" s="63" t="str">
        <x:v>E1</x:v>
      </x:c>
      <x:c r="K261" s="81" t="n">
        <x:v>0.006579956180209761</x:v>
      </x:c>
      <x:c r="L261" s="82" t="n">
        <x:v>1703808154.2293212</x:v>
      </x:c>
      <x:c r="M261" s="82" t="n">
        <x:v>2382090863.31567</x:v>
      </x:c>
      <x:c r="N261" s="82" t="n">
        <x:v>4110084602.090917</x:v>
      </x:c>
      <x:c r="O261" s="63" t="str">
        <x:v>ZAR</x:v>
      </x:c>
      <x:c r="P261" s="81" t="n">
        <x:v>0.10696363665330788</x:v>
      </x:c>
      <x:c r="Q261" s="81" t="n">
        <x:v>0.20248605374051476</x:v>
      </x:c>
      <x:c r="R261" s="63" t="n">
        <x:v>0.28779104571416003</x:v>
      </x:c>
    </x:row>
    <x:row r="262">
      <x:c r="A262" s="63" t="str">
        <x:v>E17</x:v>
      </x:c>
      <x:c r="B262" s="63" t="str">
        <x:v>Vodacom Group</x:v>
      </x:c>
      <x:c r="C262" s="63" t="str">
        <x:v>COMMODITY_RISK_MANAGEMENT</x:v>
      </x:c>
      <x:c r="D262" s="63" t="str">
        <x:v>Commodity risk management</x:v>
      </x:c>
      <x:c r="E262" s="63" t="str">
        <x:v>RISK_MANAGEMENT</x:v>
      </x:c>
      <x:c r="F262" s="63" t="str">
        <x:v>EXPOSURE_NOTIONAL</x:v>
      </x:c>
      <x:c r="G262" s="64" t="b">
        <x:v>0</x:v>
      </x:c>
      <x:c r="H262" s="63" t="str">
        <x:v>FAIL_CLOSED_REQUIRED_INPUT_UNAVAILABLE</x:v>
      </x:c>
      <x:c r="I262" s="63" t="str">
        <x:v>SCENARIO</x:v>
      </x:c>
      <x:c r="J262" s="63" t="str">
        <x:v>E0</x:v>
      </x:c>
      <x:c r="K262" s="81"/>
      <x:c r="L262" s="82"/>
      <x:c r="M262" s="82"/>
      <x:c r="N262" s="82"/>
      <x:c r="O262" s="63"/>
      <x:c r="P262" s="81"/>
      <x:c r="Q262" s="81"/>
      <x:c r="R262" s="63" t="str">
        <x:v>The telecoms sector carries no governed commodity price linkage, so a hedgeable commodity notional cannot be asserted.</x:v>
      </x:c>
    </x:row>
    <x:row r="263">
      <x:c r="A263" s="63" t="str">
        <x:v>E17</x:v>
      </x:c>
      <x:c r="B263" s="63" t="str">
        <x:v>Vodacom Group</x:v>
      </x:c>
      <x:c r="C263" s="63" t="str">
        <x:v>CROSS_BORDER_FX</x:v>
      </x:c>
      <x:c r="D263" s="63" t="str">
        <x:v>Cross-border FX</x:v>
      </x:c>
      <x:c r="E263" s="63" t="str">
        <x:v>RISK_MANAGEMENT</x:v>
      </x:c>
      <x:c r="F263" s="63" t="str">
        <x:v>EXPOSURE_NOTIONAL</x:v>
      </x:c>
      <x:c r="G263" s="64" t="b">
        <x:v>1</x:v>
      </x:c>
      <x:c r="H263" s="63" t="str">
        <x:v>SHADOW_ELIGIBLE_REPRESENTATIVE</x:v>
      </x:c>
      <x:c r="I263" s="63" t="str">
        <x:v>POSTERIOR</x:v>
      </x:c>
      <x:c r="J263" s="63" t="str">
        <x:v>E1</x:v>
      </x:c>
      <x:c r="K263" s="81" t="n">
        <x:v>0.6184375962668006</x:v>
      </x:c>
      <x:c r="L263" s="82" t="n">
        <x:v>11981328879.135248</x:v>
      </x:c>
      <x:c r="M263" s="82" t="n">
        <x:v>19328420730.809532</x:v>
      </x:c>
      <x:c r="N263" s="82" t="n">
        <x:v>40181116046.83969</x:v>
      </x:c>
      <x:c r="O263" s="63" t="str">
        <x:v>ZAR</x:v>
      </x:c>
      <x:c r="P263" s="81" t="n">
        <x:v>0.09514180164614061</x:v>
      </x:c>
      <x:c r="Q263" s="81" t="n">
        <x:v>0.18123164087180765</x:v>
      </x:c>
      <x:c r="R263" s="63" t="n">
        <x:v>0.2591307376901182</x:v>
      </x:c>
    </x:row>
    <x:row r="264">
      <x:c r="A264" s="63" t="str">
        <x:v>E17</x:v>
      </x:c>
      <x:c r="B264" s="63" t="str">
        <x:v>Vodacom Group</x:v>
      </x:c>
      <x:c r="C264" s="63" t="str">
        <x:v>DEBT_CAPITAL_MARKETS</x:v>
      </x:c>
      <x:c r="D264" s="63" t="str">
        <x:v>Debt capital markets</x:v>
      </x:c>
      <x:c r="E264" s="63" t="str">
        <x:v>CAPITAL_MARKETS</x:v>
      </x:c>
      <x:c r="F264" s="63" t="str">
        <x:v>FINANCING_REQUIREMENT</x:v>
      </x:c>
      <x:c r="G264" s="64" t="b">
        <x:v>1</x:v>
      </x:c>
      <x:c r="H264" s="63" t="str">
        <x:v>SCENARIO_BLOCKED_PENDING_CALIBRATION</x:v>
      </x:c>
      <x:c r="I264" s="63" t="str">
        <x:v>SCENARIO</x:v>
      </x:c>
      <x:c r="J264" s="63" t="str">
        <x:v>E1</x:v>
      </x:c>
      <x:c r="K264" s="81" t="n">
        <x:v>0.1375</x:v>
      </x:c>
      <x:c r="L264" s="82" t="n">
        <x:v>7024.8</x:v>
      </x:c>
      <x:c r="M264" s="82" t="n">
        <x:v>8781</x:v>
      </x:c>
      <x:c r="N264" s="82" t="n">
        <x:v>11415.300000000001</x:v>
      </x:c>
      <x:c r="O264" s="63" t="str">
        <x:v>ZAR</x:v>
      </x:c>
      <x:c r="P264" s="81" t="n">
        <x:v>0.061875000000000006</x:v>
      </x:c>
      <x:c r="Q264" s="81" t="n">
        <x:v>0.10312500000000001</x:v>
      </x:c>
      <x:c r="R264" s="63" t="n">
        <x:v>0.1375</x:v>
      </x:c>
    </x:row>
    <x:row r="265">
      <x:c r="A265" s="63" t="str">
        <x:v>E17</x:v>
      </x:c>
      <x:c r="B265" s="63" t="str">
        <x:v>Vodacom Group</x:v>
      </x:c>
      <x:c r="C265" s="63" t="str">
        <x:v>ESCROW_AND_AGENCY</x:v>
      </x:c>
      <x:c r="D265" s="63" t="str">
        <x:v>Escrow and agency services</x:v>
      </x:c>
      <x:c r="E265" s="63" t="str">
        <x:v>ADVISORY_AND_AGENCY</x:v>
      </x:c>
      <x:c r="F265" s="63" t="str">
        <x:v>EVENT_LINKED_FLOW</x:v>
      </x:c>
      <x:c r="G265" s="64" t="b">
        <x:v>0</x:v>
      </x:c>
      <x:c r="H265" s="63" t="str">
        <x:v>FAIL_CLOSED_REQUIRED_INPUT_UNAVAILABLE</x:v>
      </x:c>
      <x:c r="I265" s="63" t="str">
        <x:v>SCENARIO</x:v>
      </x:c>
      <x:c r="J265" s="63" t="str">
        <x:v>E0</x:v>
      </x:c>
      <x:c r="K265" s="81"/>
      <x:c r="L265" s="82"/>
      <x:c r="M265" s="82"/>
      <x:c r="N265" s="82"/>
      <x:c r="O265" s="63"/>
      <x:c r="P265" s="81"/>
      <x:c r="Q265" s="81"/>
      <x:c r="R265" s="63" t="str">
        <x:v>Escrow and agency flow is event-linked, and no reviewed corporate action or capital-structure event exists for this client.</x:v>
      </x:c>
    </x:row>
    <x:row r="266">
      <x:c r="A266" s="63" t="str">
        <x:v>E17</x:v>
      </x:c>
      <x:c r="B266" s="63" t="str">
        <x:v>Vodacom Group</x:v>
      </x:c>
      <x:c r="C266" s="63" t="str">
        <x:v>GUARANTEES_AND_LC</x:v>
      </x:c>
      <x:c r="D266" s="63" t="str">
        <x:v>Guarantees and letters of credit</x:v>
      </x:c>
      <x:c r="E266" s="63" t="str">
        <x:v>TRADE_AND_WORKING_CAPITAL</x:v>
      </x:c>
      <x:c r="F266" s="63" t="str">
        <x:v>CONTINGENT_EXPOSURE</x:v>
      </x:c>
      <x:c r="G266" s="64" t="b">
        <x:v>1</x:v>
      </x:c>
      <x:c r="H266" s="63" t="str">
        <x:v>SCENARIO_BLOCKED_PENDING_CALIBRATION</x:v>
      </x:c>
      <x:c r="I266" s="63" t="str">
        <x:v>SCENARIO</x:v>
      </x:c>
      <x:c r="J266" s="63" t="str">
        <x:v>E0</x:v>
      </x:c>
      <x:c r="K266" s="81" t="n">
        <x:v>0.24250000000000002</x:v>
      </x:c>
      <x:c r="L266" s="82" t="n">
        <x:v>2495688.0960000004</x:v>
      </x:c>
      <x:c r="M266" s="82" t="n">
        <x:v>4991376.192000001</x:v>
      </x:c>
      <x:c r="N266" s="82" t="n">
        <x:v>7487064.288000002</x:v>
      </x:c>
      <x:c r="O266" s="63" t="str">
        <x:v>ZAR</x:v>
      </x:c>
      <x:c r="P266" s="81" t="n">
        <x:v>0.10912500000000001</x:v>
      </x:c>
      <x:c r="Q266" s="81" t="n">
        <x:v>0.181875</x:v>
      </x:c>
      <x:c r="R266" s="63" t="n">
        <x:v>0.24250000000000002</x:v>
      </x:c>
    </x:row>
    <x:row r="267">
      <x:c r="A267" s="63" t="str">
        <x:v>E17</x:v>
      </x:c>
      <x:c r="B267" s="63" t="str">
        <x:v>Vodacom Group</x:v>
      </x:c>
      <x:c r="C267" s="63" t="str">
        <x:v>INTEREST_RATE_RISK_MANAGEMENT</x:v>
      </x:c>
      <x:c r="D267" s="63" t="str">
        <x:v>Interest-rate risk management</x:v>
      </x:c>
      <x:c r="E267" s="63" t="str">
        <x:v>RISK_MANAGEMENT</x:v>
      </x:c>
      <x:c r="F267" s="63" t="str">
        <x:v>EXPOSURE_NOTIONAL</x:v>
      </x:c>
      <x:c r="G267" s="64" t="b">
        <x:v>1</x:v>
      </x:c>
      <x:c r="H267" s="63" t="str">
        <x:v>SCENARIO_BLOCKED_PENDING_CALIBRATION</x:v>
      </x:c>
      <x:c r="I267" s="63" t="str">
        <x:v>SCENARIO</x:v>
      </x:c>
      <x:c r="J267" s="63" t="str">
        <x:v>E1</x:v>
      </x:c>
      <x:c r="K267" s="81" t="n">
        <x:v>0.29999999999999993</x:v>
      </x:c>
      <x:c r="L267" s="82" t="n">
        <x:v>2634300000</x:v>
      </x:c>
      <x:c r="M267" s="82" t="n">
        <x:v>4829550000</x:v>
      </x:c>
      <x:c r="N267" s="82" t="n">
        <x:v>7024800000</x:v>
      </x:c>
      <x:c r="O267" s="63" t="str">
        <x:v>ZAR</x:v>
      </x:c>
      <x:c r="P267" s="81" t="n">
        <x:v>0.13499999999999998</x:v>
      </x:c>
      <x:c r="Q267" s="81" t="n">
        <x:v>0.22499999999999995</x:v>
      </x:c>
      <x:c r="R267" s="63" t="n">
        <x:v>0.29999999999999993</x:v>
      </x:c>
    </x:row>
    <x:row r="268">
      <x:c r="A268" s="63" t="str">
        <x:v>E17</x:v>
      </x:c>
      <x:c r="B268" s="63" t="str">
        <x:v>Vodacom Group</x:v>
      </x:c>
      <x:c r="C268" s="63" t="str">
        <x:v>LIQUIDITY_CASH_MANAGEMENT</x:v>
      </x:c>
      <x:c r="D268" s="63" t="str">
        <x:v>Liquidity and cash management</x:v>
      </x:c>
      <x:c r="E268" s="63" t="str">
        <x:v>TRANSACTION_BANKING</x:v>
      </x:c>
      <x:c r="F268" s="63" t="str">
        <x:v>CASH_WALLET</x:v>
      </x:c>
      <x:c r="G268" s="64" t="b">
        <x:v>1</x:v>
      </x:c>
      <x:c r="H268" s="63" t="str">
        <x:v>SHADOW_ELIGIBLE_REPRESENTATIVE</x:v>
      </x:c>
      <x:c r="I268" s="63" t="str">
        <x:v>POSTERIOR</x:v>
      </x:c>
      <x:c r="J268" s="63" t="str">
        <x:v>E1</x:v>
      </x:c>
      <x:c r="K268" s="81" t="n">
        <x:v>0.00677541530144684</x:v>
      </x:c>
      <x:c r="L268" s="82" t="n">
        <x:v>1374620317.549729</x:v>
      </x:c>
      <x:c r="M268" s="82" t="n">
        <x:v>2233548267.5407257</x:v>
      </x:c>
      <x:c r="N268" s="82" t="n">
        <x:v>5008340893.826429</x:v>
      </x:c>
      <x:c r="O268" s="63" t="str">
        <x:v>ZAR</x:v>
      </x:c>
      <x:c r="P268" s="81" t="n">
        <x:v>0.09728571221749327</x:v>
      </x:c>
      <x:c r="Q268" s="81" t="n">
        <x:v>0.18510691463332163</x:v>
      </x:c>
      <x:c r="R268" s="63" t="n">
        <x:v>0.2643843688243295</x:v>
      </x:c>
    </x:row>
    <x:row r="269">
      <x:c r="A269" s="63" t="str">
        <x:v>E17</x:v>
      </x:c>
      <x:c r="B269" s="63" t="str">
        <x:v>Vodacom Group</x:v>
      </x:c>
      <x:c r="C269" s="63" t="str">
        <x:v>MA_AND_STRATEGIC_ADVISORY</x:v>
      </x:c>
      <x:c r="D269" s="63" t="str">
        <x:v>M&amp;A and strategic advisory</x:v>
      </x:c>
      <x:c r="E269" s="63" t="str">
        <x:v>ADVISORY_AND_AGENCY</x:v>
      </x:c>
      <x:c r="F269" s="63" t="str">
        <x:v>TRANSACTION_SIZE</x:v>
      </x:c>
      <x:c r="G269" s="64" t="b">
        <x:v>0</x:v>
      </x:c>
      <x:c r="H269" s="63" t="str">
        <x:v>FAIL_CLOSED_REQUIRED_INPUT_UNAVAILABLE</x:v>
      </x:c>
      <x:c r="I269" s="63" t="str">
        <x:v>SCENARIO</x:v>
      </x:c>
      <x:c r="J269" s="63" t="str">
        <x:v>E0</x:v>
      </x:c>
      <x:c r="K269" s="81"/>
      <x:c r="L269" s="82"/>
      <x:c r="M269" s="82"/>
      <x:c r="N269" s="82"/>
      <x:c r="O269" s="63"/>
      <x:c r="P269" s="81"/>
      <x:c r="Q269" s="81"/>
      <x:c r="R269" s="63" t="str">
        <x:v>No announced or reviewed transaction evidence exists, so no mandate probability or transaction size can be estimated.</x:v>
      </x:c>
    </x:row>
    <x:row r="270">
      <x:c r="A270" s="63" t="str">
        <x:v>E17</x:v>
      </x:c>
      <x:c r="B270" s="63" t="str">
        <x:v>Vodacom Group</x:v>
      </x:c>
      <x:c r="C270" s="63" t="str">
        <x:v>PAYMENTS</x:v>
      </x:c>
      <x:c r="D270" s="63" t="str">
        <x:v>Payments</x:v>
      </x:c>
      <x:c r="E270" s="63" t="str">
        <x:v>TRANSACTION_BANKING</x:v>
      </x:c>
      <x:c r="F270" s="63" t="str">
        <x:v>TRANSACTION_WALLET</x:v>
      </x:c>
      <x:c r="G270" s="64" t="b">
        <x:v>1</x:v>
      </x:c>
      <x:c r="H270" s="63" t="str">
        <x:v>SHADOW_ELIGIBLE_REPRESENTATIVE</x:v>
      </x:c>
      <x:c r="I270" s="63" t="str">
        <x:v>POSTERIOR</x:v>
      </x:c>
      <x:c r="J270" s="63" t="str">
        <x:v>E1</x:v>
      </x:c>
      <x:c r="K270" s="81" t="n">
        <x:v>0.008082512009703505</x:v>
      </x:c>
      <x:c r="L270" s="82" t="n">
        <x:v>2176127868.4361334</x:v>
      </x:c>
      <x:c r="M270" s="82" t="n">
        <x:v>3100722176.1348763</x:v>
      </x:c>
      <x:c r="N270" s="82" t="n">
        <x:v>5488672357.307093</x:v>
      </x:c>
      <x:c r="O270" s="63" t="str">
        <x:v>ZAR</x:v>
      </x:c>
      <x:c r="P270" s="81" t="n">
        <x:v>0.09295545263492877</x:v>
      </x:c>
      <x:c r="Q270" s="81" t="n">
        <x:v>0.17727018909529302</x:v>
      </x:c>
      <x:c r="R270" s="63" t="n">
        <x:v>0.2537474110641894</x:v>
      </x:c>
    </x:row>
    <x:row r="271">
      <x:c r="A271" s="63" t="str">
        <x:v>E17</x:v>
      </x:c>
      <x:c r="B271" s="63" t="str">
        <x:v>Vodacom Group</x:v>
      </x:c>
      <x:c r="C271" s="63" t="str">
        <x:v>PROJECT_FINANCE</x:v>
      </x:c>
      <x:c r="D271" s="63" t="str">
        <x:v>Project finance</x:v>
      </x:c>
      <x:c r="E271" s="63" t="str">
        <x:v>LENDING</x:v>
      </x:c>
      <x:c r="F271" s="63" t="str">
        <x:v>PROJECT_FUNDING_REQUIREMENT</x:v>
      </x:c>
      <x:c r="G271" s="64" t="b">
        <x:v>0</x:v>
      </x:c>
      <x:c r="H271" s="63" t="str">
        <x:v>FAIL_CLOSED_REQUIRED_INPUT_UNAVAILABLE</x:v>
      </x:c>
      <x:c r="I271" s="63" t="str">
        <x:v>SCENARIO</x:v>
      </x:c>
      <x:c r="J271" s="63" t="str">
        <x:v>E0</x:v>
      </x:c>
      <x:c r="K271" s="81"/>
      <x:c r="L271" s="82"/>
      <x:c r="M271" s="82"/>
      <x:c r="N271" s="82"/>
      <x:c r="O271" s="63"/>
      <x:c r="P271" s="81"/>
      <x:c r="Q271" s="81"/>
      <x:c r="R271" s="63" t="str">
        <x:v>No reviewed project, SPV or ring-fenced cash-flow evidence exists for this client. Project finance cannot be sized from a sector assumption, and SPV ownership is never inferred from name similarity.</x:v>
      </x:c>
    </x:row>
    <x:row r="272">
      <x:c r="A272" s="63" t="str">
        <x:v>E17</x:v>
      </x:c>
      <x:c r="B272" s="63" t="str">
        <x:v>Vodacom Group</x:v>
      </x:c>
      <x:c r="C272" s="63" t="str">
        <x:v>SUPPLY_CHAIN_FINANCE</x:v>
      </x:c>
      <x:c r="D272" s="63" t="str">
        <x:v>Supply-chain finance</x:v>
      </x:c>
      <x:c r="E272" s="63" t="str">
        <x:v>TRADE_AND_WORKING_CAPITAL</x:v>
      </x:c>
      <x:c r="F272" s="63" t="str">
        <x:v>ELIGIBLE_FLOW</x:v>
      </x:c>
      <x:c r="G272" s="64" t="b">
        <x:v>1</x:v>
      </x:c>
      <x:c r="H272" s="63" t="str">
        <x:v>SCENARIO_BLOCKED_PENDING_CALIBRATION</x:v>
      </x:c>
      <x:c r="I272" s="63" t="str">
        <x:v>SCENARIO</x:v>
      </x:c>
      <x:c r="J272" s="63" t="str">
        <x:v>E0</x:v>
      </x:c>
      <x:c r="K272" s="81" t="n">
        <x:v>0.29000000000000004</x:v>
      </x:c>
      <x:c r="L272" s="82" t="n">
        <x:v>22743869.083499998</x:v>
      </x:c>
      <x:c r="M272" s="82" t="n">
        <x:v>45487738.166999996</x:v>
      </x:c>
      <x:c r="N272" s="82" t="n">
        <x:v>68231607.2505</x:v>
      </x:c>
      <x:c r="O272" s="63" t="str">
        <x:v>ZAR</x:v>
      </x:c>
      <x:c r="P272" s="81" t="n">
        <x:v>0.13050000000000003</x:v>
      </x:c>
      <x:c r="Q272" s="81" t="n">
        <x:v>0.21750000000000003</x:v>
      </x:c>
      <x:c r="R272" s="63" t="n">
        <x:v>0.29000000000000004</x:v>
      </x:c>
    </x:row>
    <x:row r="273">
      <x:c r="A273" s="63" t="str">
        <x:v>E17</x:v>
      </x:c>
      <x:c r="B273" s="63" t="str">
        <x:v>Vodacom Group</x:v>
      </x:c>
      <x:c r="C273" s="63" t="str">
        <x:v>SUSTAINABLE_FINANCE</x:v>
      </x:c>
      <x:c r="D273" s="63" t="str">
        <x:v>Sustainable finance</x:v>
      </x:c>
      <x:c r="E273" s="63" t="str">
        <x:v>CAPITAL_MARKETS</x:v>
      </x:c>
      <x:c r="F273" s="63" t="str">
        <x:v>ELIGIBLE_CAPEX</x:v>
      </x:c>
      <x:c r="G273" s="64" t="b">
        <x:v>0</x:v>
      </x:c>
      <x:c r="H273" s="63" t="str">
        <x:v>FAIL_CLOSED_REQUIRED_INPUT_UNAVAILABLE</x:v>
      </x:c>
      <x:c r="I273" s="63" t="str">
        <x:v>SCENARIO</x:v>
      </x:c>
      <x:c r="J273" s="63" t="str">
        <x:v>E0</x:v>
      </x:c>
      <x:c r="K273" s="81"/>
      <x:c r="L273" s="82"/>
      <x:c r="M273" s="82"/>
      <x:c r="N273" s="82"/>
      <x:c r="O273" s="63"/>
      <x:c r="P273" s="81"/>
      <x:c r="Q273" s="81"/>
      <x:c r="R273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74">
      <x:c r="A274" s="63" t="str">
        <x:v>E17</x:v>
      </x:c>
      <x:c r="B274" s="63" t="str">
        <x:v>Vodacom Group</x:v>
      </x:c>
      <x:c r="C274" s="63" t="str">
        <x:v>TERM_AND_SYNDICATED_LENDING</x:v>
      </x:c>
      <x:c r="D274" s="63" t="str">
        <x:v>Term and syndicated lending</x:v>
      </x:c>
      <x:c r="E274" s="63" t="str">
        <x:v>LENDING</x:v>
      </x:c>
      <x:c r="F274" s="63" t="str">
        <x:v>FACILITY_SIZE</x:v>
      </x:c>
      <x:c r="G274" s="64" t="b">
        <x:v>1</x:v>
      </x:c>
      <x:c r="H274" s="63" t="str">
        <x:v>SCENARIO_BLOCKED_PENDING_CALIBRATION</x:v>
      </x:c>
      <x:c r="I274" s="63" t="str">
        <x:v>SCENARIO</x:v>
      </x:c>
      <x:c r="J274" s="63" t="str">
        <x:v>E1</x:v>
      </x:c>
      <x:c r="K274" s="81" t="n">
        <x:v>0.1375</x:v>
      </x:c>
      <x:c r="L274" s="82" t="n">
        <x:v>7902.900000000001</x:v>
      </x:c>
      <x:c r="M274" s="82" t="n">
        <x:v>9659.1</x:v>
      </x:c>
      <x:c r="N274" s="82" t="n">
        <x:v>12293.4</x:v>
      </x:c>
      <x:c r="O274" s="63" t="str">
        <x:v>ZAR</x:v>
      </x:c>
      <x:c r="P274" s="81" t="n">
        <x:v>0.061875000000000006</x:v>
      </x:c>
      <x:c r="Q274" s="81" t="n">
        <x:v>0.10312500000000001</x:v>
      </x:c>
      <x:c r="R274" s="63" t="n">
        <x:v>0.1375</x:v>
      </x:c>
    </x:row>
    <x:row r="275">
      <x:c r="A275" s="63" t="str">
        <x:v>E17</x:v>
      </x:c>
      <x:c r="B275" s="63" t="str">
        <x:v>Vodacom Group</x:v>
      </x:c>
      <x:c r="C275" s="63" t="str">
        <x:v>TRADE_FINANCE</x:v>
      </x:c>
      <x:c r="D275" s="63" t="str">
        <x:v>Trade finance</x:v>
      </x:c>
      <x:c r="E275" s="63" t="str">
        <x:v>TRADE_AND_WORKING_CAPITAL</x:v>
      </x:c>
      <x:c r="F275" s="63" t="str">
        <x:v>ELIGIBLE_FLOW</x:v>
      </x:c>
      <x:c r="G275" s="64" t="b">
        <x:v>1</x:v>
      </x:c>
      <x:c r="H275" s="63" t="str">
        <x:v>SHADOW_ELIGIBLE_REPRESENTATIVE</x:v>
      </x:c>
      <x:c r="I275" s="63" t="str">
        <x:v>POSTERIOR</x:v>
      </x:c>
      <x:c r="J275" s="63" t="str">
        <x:v>E1</x:v>
      </x:c>
      <x:c r="K275" s="81" t="n">
        <x:v>0.08431653548148062</x:v>
      </x:c>
      <x:c r="L275" s="82" t="n">
        <x:v>598672084.1286885</x:v>
      </x:c>
      <x:c r="M275" s="82" t="n">
        <x:v>1063540598.1178851</x:v>
      </x:c>
      <x:c r="N275" s="82" t="n">
        <x:v>2615773536.1741834</x:v>
      </x:c>
      <x:c r="O275" s="63" t="str">
        <x:v>ZAR</x:v>
      </x:c>
      <x:c r="P275" s="81" t="n">
        <x:v>0.1327484294729696</x:v>
      </x:c>
      <x:c r="Q275" s="81" t="n">
        <x:v>0.24787471341839917</x:v>
      </x:c>
      <x:c r="R275" s="63" t="n">
        <x:v>0.3477181639790138</x:v>
      </x:c>
    </x:row>
    <x:row r="276">
      <x:c r="A276" s="63" t="str">
        <x:v>E17</x:v>
      </x:c>
      <x:c r="B276" s="63" t="str">
        <x:v>Vodacom Group</x:v>
      </x:c>
      <x:c r="C276" s="63" t="str">
        <x:v>WORKING_CAPITAL_REVOLVING</x:v>
      </x:c>
      <x:c r="D276" s="63" t="str">
        <x:v>Working-capital/revolving credit</x:v>
      </x:c>
      <x:c r="E276" s="63" t="str">
        <x:v>LENDING</x:v>
      </x:c>
      <x:c r="F276" s="63" t="str">
        <x:v>FACILITY_SIZE</x:v>
      </x:c>
      <x:c r="G276" s="64" t="b">
        <x:v>0</x:v>
      </x:c>
      <x:c r="H276" s="63" t="str">
        <x:v>FAIL_CLOSED_REQUIRED_INPUT_UNAVAILABLE</x:v>
      </x:c>
      <x:c r="I276" s="63" t="str">
        <x:v>SCENARIO</x:v>
      </x:c>
      <x:c r="J276" s="63" t="str">
        <x:v>E0</x:v>
      </x:c>
      <x:c r="K276" s="81"/>
      <x:c r="L276" s="82"/>
      <x:c r="M276" s="82"/>
      <x:c r="N276" s="82"/>
      <x:c r="O276" s="63"/>
      <x:c r="P276" s="81"/>
      <x:c r="Q276" s="81"/>
      <x:c r="R276" s="63" t="str">
        <x:v>No positive working-capital gap can be computed from reviewed evidence, so a revolving facility cannot be sized.</x:v>
      </x:c>
    </x:row>
    <x:row r="277">
      <x:c r="A277" s="63" t="str">
        <x:v>E18</x:v>
      </x:c>
      <x:c r="B277" s="63" t="str">
        <x:v>The Bidvest Group</x:v>
      </x:c>
      <x:c r="C277" s="63" t="str">
        <x:v>COLLECTIONS</x:v>
      </x:c>
      <x:c r="D277" s="63" t="str">
        <x:v>Collections</x:v>
      </x:c>
      <x:c r="E277" s="63" t="str">
        <x:v>TRANSACTION_BANKING</x:v>
      </x:c>
      <x:c r="F277" s="63" t="str">
        <x:v>TRANSACTION_WALLET</x:v>
      </x:c>
      <x:c r="G277" s="64" t="b">
        <x:v>1</x:v>
      </x:c>
      <x:c r="H277" s="63" t="str">
        <x:v>SHADOW_ELIGIBLE_REPRESENTATIVE</x:v>
      </x:c>
      <x:c r="I277" s="63" t="str">
        <x:v>POSTERIOR</x:v>
      </x:c>
      <x:c r="J277" s="63" t="str">
        <x:v>E1</x:v>
      </x:c>
      <x:c r="K277" s="81" t="n">
        <x:v>0.25080587163273754</x:v>
      </x:c>
      <x:c r="L277" s="82" t="n">
        <x:v>8836167413.838749</x:v>
      </x:c>
      <x:c r="M277" s="82" t="n">
        <x:v>12282326744.179924</x:v>
      </x:c>
      <x:c r="N277" s="82" t="n">
        <x:v>21142330467.46797</x:v>
      </x:c>
      <x:c r="O277" s="63" t="str">
        <x:v>ZAR</x:v>
      </x:c>
      <x:c r="P277" s="81" t="n">
        <x:v>0.09743181549569035</x:v>
      </x:c>
      <x:c r="Q277" s="81" t="n">
        <x:v>0.18537067232059445</x:v>
      </x:c>
      <x:c r="R277" s="63" t="n">
        <x:v>0.2647414866724326</x:v>
      </x:c>
    </x:row>
    <x:row r="278">
      <x:c r="A278" s="63" t="str">
        <x:v>E18</x:v>
      </x:c>
      <x:c r="B278" s="63" t="str">
        <x:v>The Bidvest Group</x:v>
      </x:c>
      <x:c r="C278" s="63" t="str">
        <x:v>COMMODITY_RISK_MANAGEMENT</x:v>
      </x:c>
      <x:c r="D278" s="63" t="str">
        <x:v>Commodity risk management</x:v>
      </x:c>
      <x:c r="E278" s="63" t="str">
        <x:v>RISK_MANAGEMENT</x:v>
      </x:c>
      <x:c r="F278" s="63" t="str">
        <x:v>EXPOSURE_NOTIONAL</x:v>
      </x:c>
      <x:c r="G278" s="64" t="b">
        <x:v>0</x:v>
      </x:c>
      <x:c r="H278" s="63" t="str">
        <x:v>FAIL_CLOSED_REQUIRED_INPUT_UNAVAILABLE</x:v>
      </x:c>
      <x:c r="I278" s="63" t="str">
        <x:v>SCENARIO</x:v>
      </x:c>
      <x:c r="J278" s="63" t="str">
        <x:v>E0</x:v>
      </x:c>
      <x:c r="K278" s="81"/>
      <x:c r="L278" s="82"/>
      <x:c r="M278" s="82"/>
      <x:c r="N278" s="82"/>
      <x:c r="O278" s="63"/>
      <x:c r="P278" s="81"/>
      <x:c r="Q278" s="81"/>
      <x:c r="R278" s="63" t="str">
        <x:v>The industrials_pharma sector carries no governed commodity price linkage, so a hedgeable commodity notional cannot be asserted.</x:v>
      </x:c>
    </x:row>
    <x:row r="279">
      <x:c r="A279" s="63" t="str">
        <x:v>E18</x:v>
      </x:c>
      <x:c r="B279" s="63" t="str">
        <x:v>The Bidvest Group</x:v>
      </x:c>
      <x:c r="C279" s="63" t="str">
        <x:v>CROSS_BORDER_FX</x:v>
      </x:c>
      <x:c r="D279" s="63" t="str">
        <x:v>Cross-border FX</x:v>
      </x:c>
      <x:c r="E279" s="63" t="str">
        <x:v>RISK_MANAGEMENT</x:v>
      </x:c>
      <x:c r="F279" s="63" t="str">
        <x:v>EXPOSURE_NOTIONAL</x:v>
      </x:c>
      <x:c r="G279" s="64" t="b">
        <x:v>1</x:v>
      </x:c>
      <x:c r="H279" s="63" t="str">
        <x:v>SHADOW_ELIGIBLE_REPRESENTATIVE</x:v>
      </x:c>
      <x:c r="I279" s="63" t="str">
        <x:v>POSTERIOR</x:v>
      </x:c>
      <x:c r="J279" s="63" t="str">
        <x:v>E1</x:v>
      </x:c>
      <x:c r="K279" s="81" t="n">
        <x:v>0.37908103046371505</x:v>
      </x:c>
      <x:c r="L279" s="82" t="n">
        <x:v>7763005362.90079</x:v>
      </x:c>
      <x:c r="M279" s="82" t="n">
        <x:v>12523229392.02427</x:v>
      </x:c>
      <x:c r="N279" s="82" t="n">
        <x:v>25684462936.628716</x:v>
      </x:c>
      <x:c r="O279" s="63" t="str">
        <x:v>ZAR</x:v>
      </x:c>
      <x:c r="P279" s="81" t="n">
        <x:v>0.0990980455692756</x:v>
      </x:c>
      <x:c r="Q279" s="81" t="n">
        <x:v>0.188375668502901</x:v>
      </x:c>
      <x:c r="R279" s="63" t="n">
        <x:v>0.2688060534907335</x:v>
      </x:c>
    </x:row>
    <x:row r="280">
      <x:c r="A280" s="63" t="str">
        <x:v>E18</x:v>
      </x:c>
      <x:c r="B280" s="63" t="str">
        <x:v>The Bidvest Group</x:v>
      </x:c>
      <x:c r="C280" s="63" t="str">
        <x:v>DEBT_CAPITAL_MARKETS</x:v>
      </x:c>
      <x:c r="D280" s="63" t="str">
        <x:v>Debt capital markets</x:v>
      </x:c>
      <x:c r="E280" s="63" t="str">
        <x:v>CAPITAL_MARKETS</x:v>
      </x:c>
      <x:c r="F280" s="63" t="str">
        <x:v>FINANCING_REQUIREMENT</x:v>
      </x:c>
      <x:c r="G280" s="64" t="b">
        <x:v>1</x:v>
      </x:c>
      <x:c r="H280" s="63" t="str">
        <x:v>SCENARIO_BLOCKED_PENDING_CALIBRATION</x:v>
      </x:c>
      <x:c r="I280" s="63" t="str">
        <x:v>SCENARIO</x:v>
      </x:c>
      <x:c r="J280" s="63" t="str">
        <x:v>E1</x:v>
      </x:c>
      <x:c r="K280" s="81" t="n">
        <x:v>0.1375</x:v>
      </x:c>
      <x:c r="L280" s="82" t="n">
        <x:v>4268.8904</x:v>
      </x:c>
      <x:c r="M280" s="82" t="n">
        <x:v>5336.113</x:v>
      </x:c>
      <x:c r="N280" s="82" t="n">
        <x:v>6936.946900000001</x:v>
      </x:c>
      <x:c r="O280" s="63" t="str">
        <x:v>ZAR</x:v>
      </x:c>
      <x:c r="P280" s="81" t="n">
        <x:v>0.061875000000000006</x:v>
      </x:c>
      <x:c r="Q280" s="81" t="n">
        <x:v>0.10312500000000001</x:v>
      </x:c>
      <x:c r="R280" s="63" t="n">
        <x:v>0.1375</x:v>
      </x:c>
    </x:row>
    <x:row r="281">
      <x:c r="A281" s="63" t="str">
        <x:v>E18</x:v>
      </x:c>
      <x:c r="B281" s="63" t="str">
        <x:v>The Bidvest Group</x:v>
      </x:c>
      <x:c r="C281" s="63" t="str">
        <x:v>ESCROW_AND_AGENCY</x:v>
      </x:c>
      <x:c r="D281" s="63" t="str">
        <x:v>Escrow and agency services</x:v>
      </x:c>
      <x:c r="E281" s="63" t="str">
        <x:v>ADVISORY_AND_AGENCY</x:v>
      </x:c>
      <x:c r="F281" s="63" t="str">
        <x:v>EVENT_LINKED_FLOW</x:v>
      </x:c>
      <x:c r="G281" s="64" t="b">
        <x:v>0</x:v>
      </x:c>
      <x:c r="H281" s="63" t="str">
        <x:v>FAIL_CLOSED_REQUIRED_INPUT_UNAVAILABLE</x:v>
      </x:c>
      <x:c r="I281" s="63" t="str">
        <x:v>SCENARIO</x:v>
      </x:c>
      <x:c r="J281" s="63" t="str">
        <x:v>E0</x:v>
      </x:c>
      <x:c r="K281" s="81"/>
      <x:c r="L281" s="82"/>
      <x:c r="M281" s="82"/>
      <x:c r="N281" s="82"/>
      <x:c r="O281" s="63"/>
      <x:c r="P281" s="81"/>
      <x:c r="Q281" s="81"/>
      <x:c r="R281" s="63" t="str">
        <x:v>Escrow and agency flow is event-linked, and no reviewed corporate action or capital-structure event exists for this client.</x:v>
      </x:c>
    </x:row>
    <x:row r="282">
      <x:c r="A282" s="63" t="str">
        <x:v>E18</x:v>
      </x:c>
      <x:c r="B282" s="63" t="str">
        <x:v>The Bidvest Group</x:v>
      </x:c>
      <x:c r="C282" s="63" t="str">
        <x:v>GUARANTEES_AND_LC</x:v>
      </x:c>
      <x:c r="D282" s="63" t="str">
        <x:v>Guarantees and letters of credit</x:v>
      </x:c>
      <x:c r="E282" s="63" t="str">
        <x:v>TRADE_AND_WORKING_CAPITAL</x:v>
      </x:c>
      <x:c r="F282" s="63" t="str">
        <x:v>CONTINGENT_EXPOSURE</x:v>
      </x:c>
      <x:c r="G282" s="64" t="b">
        <x:v>1</x:v>
      </x:c>
      <x:c r="H282" s="63" t="str">
        <x:v>SCENARIO_BLOCKED_PENDING_CALIBRATION</x:v>
      </x:c>
      <x:c r="I282" s="63" t="str">
        <x:v>SCENARIO</x:v>
      </x:c>
      <x:c r="J282" s="63" t="str">
        <x:v>E0</x:v>
      </x:c>
      <x:c r="K282" s="81" t="n">
        <x:v>0.24250000000000002</x:v>
      </x:c>
      <x:c r="L282" s="82" t="n">
        <x:v>41364238.210000016</x:v>
      </x:c>
      <x:c r="M282" s="82" t="n">
        <x:v>82728476.42000003</x:v>
      </x:c>
      <x:c r="N282" s="82" t="n">
        <x:v>124092714.63000004</x:v>
      </x:c>
      <x:c r="O282" s="63" t="str">
        <x:v>ZAR</x:v>
      </x:c>
      <x:c r="P282" s="81" t="n">
        <x:v>0.10912500000000001</x:v>
      </x:c>
      <x:c r="Q282" s="81" t="n">
        <x:v>0.181875</x:v>
      </x:c>
      <x:c r="R282" s="63" t="n">
        <x:v>0.24250000000000002</x:v>
      </x:c>
    </x:row>
    <x:row r="283">
      <x:c r="A283" s="63" t="str">
        <x:v>E18</x:v>
      </x:c>
      <x:c r="B283" s="63" t="str">
        <x:v>The Bidvest Group</x:v>
      </x:c>
      <x:c r="C283" s="63" t="str">
        <x:v>INTEREST_RATE_RISK_MANAGEMENT</x:v>
      </x:c>
      <x:c r="D283" s="63" t="str">
        <x:v>Interest-rate risk management</x:v>
      </x:c>
      <x:c r="E283" s="63" t="str">
        <x:v>RISK_MANAGEMENT</x:v>
      </x:c>
      <x:c r="F283" s="63" t="str">
        <x:v>EXPOSURE_NOTIONAL</x:v>
      </x:c>
      <x:c r="G283" s="64" t="b">
        <x:v>1</x:v>
      </x:c>
      <x:c r="H283" s="63" t="str">
        <x:v>SCENARIO_BLOCKED_PENDING_CALIBRATION</x:v>
      </x:c>
      <x:c r="I283" s="63" t="str">
        <x:v>SCENARIO</x:v>
      </x:c>
      <x:c r="J283" s="63" t="str">
        <x:v>E1</x:v>
      </x:c>
      <x:c r="K283" s="81" t="n">
        <x:v>0.29999999999999993</x:v>
      </x:c>
      <x:c r="L283" s="82" t="n">
        <x:v>1600833900</x:v>
      </x:c>
      <x:c r="M283" s="82" t="n">
        <x:v>2934862150</x:v>
      </x:c>
      <x:c r="N283" s="82" t="n">
        <x:v>4268890400</x:v>
      </x:c>
      <x:c r="O283" s="63" t="str">
        <x:v>ZAR</x:v>
      </x:c>
      <x:c r="P283" s="81" t="n">
        <x:v>0.13499999999999998</x:v>
      </x:c>
      <x:c r="Q283" s="81" t="n">
        <x:v>0.22499999999999995</x:v>
      </x:c>
      <x:c r="R283" s="63" t="n">
        <x:v>0.29999999999999993</x:v>
      </x:c>
    </x:row>
    <x:row r="284">
      <x:c r="A284" s="63" t="str">
        <x:v>E18</x:v>
      </x:c>
      <x:c r="B284" s="63" t="str">
        <x:v>The Bidvest Group</x:v>
      </x:c>
      <x:c r="C284" s="63" t="str">
        <x:v>LIQUIDITY_CASH_MANAGEMENT</x:v>
      </x:c>
      <x:c r="D284" s="63" t="str">
        <x:v>Liquidity and cash management</x:v>
      </x:c>
      <x:c r="E284" s="63" t="str">
        <x:v>TRANSACTION_BANKING</x:v>
      </x:c>
      <x:c r="F284" s="63" t="str">
        <x:v>CASH_WALLET</x:v>
      </x:c>
      <x:c r="G284" s="64" t="b">
        <x:v>1</x:v>
      </x:c>
      <x:c r="H284" s="63" t="str">
        <x:v>SHADOW_ELIGIBLE_REPRESENTATIVE</x:v>
      </x:c>
      <x:c r="I284" s="63" t="str">
        <x:v>POSTERIOR</x:v>
      </x:c>
      <x:c r="J284" s="63" t="str">
        <x:v>E1</x:v>
      </x:c>
      <x:c r="K284" s="81" t="n">
        <x:v>0.5286391518915414</x:v>
      </x:c>
      <x:c r="L284" s="82" t="n">
        <x:v>6043713727.778754</x:v>
      </x:c>
      <x:c r="M284" s="82" t="n">
        <x:v>9842360533.301247</x:v>
      </x:c>
      <x:c r="N284" s="82" t="n">
        <x:v>21093736082.149117</x:v>
      </x:c>
      <x:c r="O284" s="63" t="str">
        <x:v>ZAR</x:v>
      </x:c>
      <x:c r="P284" s="81" t="n">
        <x:v>0.09744906908502748</x:v>
      </x:c>
      <x:c r="Q284" s="81" t="n">
        <x:v>0.18540181710451653</x:v>
      </x:c>
      <x:c r="R284" s="63" t="n">
        <x:v>0.26478365170603624</x:v>
      </x:c>
    </x:row>
    <x:row r="285">
      <x:c r="A285" s="63" t="str">
        <x:v>E18</x:v>
      </x:c>
      <x:c r="B285" s="63" t="str">
        <x:v>The Bidvest Group</x:v>
      </x:c>
      <x:c r="C285" s="63" t="str">
        <x:v>MA_AND_STRATEGIC_ADVISORY</x:v>
      </x:c>
      <x:c r="D285" s="63" t="str">
        <x:v>M&amp;A and strategic advisory</x:v>
      </x:c>
      <x:c r="E285" s="63" t="str">
        <x:v>ADVISORY_AND_AGENCY</x:v>
      </x:c>
      <x:c r="F285" s="63" t="str">
        <x:v>TRANSACTION_SIZE</x:v>
      </x:c>
      <x:c r="G285" s="64" t="b">
        <x:v>0</x:v>
      </x:c>
      <x:c r="H285" s="63" t="str">
        <x:v>FAIL_CLOSED_REQUIRED_INPUT_UNAVAILABLE</x:v>
      </x:c>
      <x:c r="I285" s="63" t="str">
        <x:v>SCENARIO</x:v>
      </x:c>
      <x:c r="J285" s="63" t="str">
        <x:v>E0</x:v>
      </x:c>
      <x:c r="K285" s="81"/>
      <x:c r="L285" s="82"/>
      <x:c r="M285" s="82"/>
      <x:c r="N285" s="82"/>
      <x:c r="O285" s="63"/>
      <x:c r="P285" s="81"/>
      <x:c r="Q285" s="81"/>
      <x:c r="R285" s="63" t="str">
        <x:v>No announced or reviewed transaction evidence exists, so no mandate probability or transaction size can be estimated.</x:v>
      </x:c>
    </x:row>
    <x:row r="286">
      <x:c r="A286" s="63" t="str">
        <x:v>E18</x:v>
      </x:c>
      <x:c r="B286" s="63" t="str">
        <x:v>The Bidvest Group</x:v>
      </x:c>
      <x:c r="C286" s="63" t="str">
        <x:v>PAYMENTS</x:v>
      </x:c>
      <x:c r="D286" s="63" t="str">
        <x:v>Payments</x:v>
      </x:c>
      <x:c r="E286" s="63" t="str">
        <x:v>TRANSACTION_BANKING</x:v>
      </x:c>
      <x:c r="F286" s="63" t="str">
        <x:v>TRANSACTION_WALLET</x:v>
      </x:c>
      <x:c r="G286" s="64" t="b">
        <x:v>1</x:v>
      </x:c>
      <x:c r="H286" s="63" t="str">
        <x:v>SHADOW_ELIGIBLE_REPRESENTATIVE</x:v>
      </x:c>
      <x:c r="I286" s="63" t="str">
        <x:v>POSTERIOR</x:v>
      </x:c>
      <x:c r="J286" s="63" t="str">
        <x:v>E1</x:v>
      </x:c>
      <x:c r="K286" s="81" t="n">
        <x:v>0.7455083548663632</x:v>
      </x:c>
      <x:c r="L286" s="82" t="n">
        <x:v>14663771793.045164</x:v>
      </x:c>
      <x:c r="M286" s="82" t="n">
        <x:v>21249959378.30199</x:v>
      </x:c>
      <x:c r="N286" s="82" t="n">
        <x:v>37648467352.29605</x:v>
      </x:c>
      <x:c r="O286" s="63" t="str">
        <x:v>ZAR</x:v>
      </x:c>
      <x:c r="P286" s="81" t="n">
        <x:v>0.09746245716524438</x:v>
      </x:c>
      <x:c r="Q286" s="81" t="n">
        <x:v>0.1854259837738016</x:v>
      </x:c>
      <x:c r="R286" s="63" t="n">
        <x:v>0.2648163689381684</x:v>
      </x:c>
    </x:row>
    <x:row r="287">
      <x:c r="A287" s="63" t="str">
        <x:v>E18</x:v>
      </x:c>
      <x:c r="B287" s="63" t="str">
        <x:v>The Bidvest Group</x:v>
      </x:c>
      <x:c r="C287" s="63" t="str">
        <x:v>PROJECT_FINANCE</x:v>
      </x:c>
      <x:c r="D287" s="63" t="str">
        <x:v>Project finance</x:v>
      </x:c>
      <x:c r="E287" s="63" t="str">
        <x:v>LENDING</x:v>
      </x:c>
      <x:c r="F287" s="63" t="str">
        <x:v>PROJECT_FUNDING_REQUIREMENT</x:v>
      </x:c>
      <x:c r="G287" s="64" t="b">
        <x:v>0</x:v>
      </x:c>
      <x:c r="H287" s="63" t="str">
        <x:v>FAIL_CLOSED_REQUIRED_INPUT_UNAVAILABLE</x:v>
      </x:c>
      <x:c r="I287" s="63" t="str">
        <x:v>SCENARIO</x:v>
      </x:c>
      <x:c r="J287" s="63" t="str">
        <x:v>E0</x:v>
      </x:c>
      <x:c r="K287" s="81"/>
      <x:c r="L287" s="82"/>
      <x:c r="M287" s="82"/>
      <x:c r="N287" s="82"/>
      <x:c r="O287" s="63"/>
      <x:c r="P287" s="81"/>
      <x:c r="Q287" s="81"/>
      <x:c r="R287" s="63" t="str">
        <x:v>No reviewed project, SPV or ring-fenced cash-flow evidence exists for this client. Project finance cannot be sized from a sector assumption, and SPV ownership is never inferred from name similarity.</x:v>
      </x:c>
    </x:row>
    <x:row r="288">
      <x:c r="A288" s="63" t="str">
        <x:v>E18</x:v>
      </x:c>
      <x:c r="B288" s="63" t="str">
        <x:v>The Bidvest Group</x:v>
      </x:c>
      <x:c r="C288" s="63" t="str">
        <x:v>SUPPLY_CHAIN_FINANCE</x:v>
      </x:c>
      <x:c r="D288" s="63" t="str">
        <x:v>Supply-chain finance</x:v>
      </x:c>
      <x:c r="E288" s="63" t="str">
        <x:v>TRADE_AND_WORKING_CAPITAL</x:v>
      </x:c>
      <x:c r="F288" s="63" t="str">
        <x:v>ELIGIBLE_FLOW</x:v>
      </x:c>
      <x:c r="G288" s="64" t="b">
        <x:v>1</x:v>
      </x:c>
      <x:c r="H288" s="63" t="str">
        <x:v>SCENARIO_BLOCKED_PENDING_CALIBRATION</x:v>
      </x:c>
      <x:c r="I288" s="63" t="str">
        <x:v>SCENARIO</x:v>
      </x:c>
      <x:c r="J288" s="63" t="str">
        <x:v>E0</x:v>
      </x:c>
      <x:c r="K288" s="81" t="n">
        <x:v>0.4275</x:v>
      </x:c>
      <x:c r="L288" s="82" t="n">
        <x:v>507601324.3425001</x:v>
      </x:c>
      <x:c r="M288" s="82" t="n">
        <x:v>1015202648.6850002</x:v>
      </x:c>
      <x:c r="N288" s="82" t="n">
        <x:v>1522803973.0275004</x:v>
      </x:c>
      <x:c r="O288" s="63" t="str">
        <x:v>ZAR</x:v>
      </x:c>
      <x:c r="P288" s="81" t="n">
        <x:v>0.192375</x:v>
      </x:c>
      <x:c r="Q288" s="81" t="n">
        <x:v>0.320625</x:v>
      </x:c>
      <x:c r="R288" s="63" t="n">
        <x:v>0.4275</x:v>
      </x:c>
    </x:row>
    <x:row r="289">
      <x:c r="A289" s="63" t="str">
        <x:v>E18</x:v>
      </x:c>
      <x:c r="B289" s="63" t="str">
        <x:v>The Bidvest Group</x:v>
      </x:c>
      <x:c r="C289" s="63" t="str">
        <x:v>SUSTAINABLE_FINANCE</x:v>
      </x:c>
      <x:c r="D289" s="63" t="str">
        <x:v>Sustainable finance</x:v>
      </x:c>
      <x:c r="E289" s="63" t="str">
        <x:v>CAPITAL_MARKETS</x:v>
      </x:c>
      <x:c r="F289" s="63" t="str">
        <x:v>ELIGIBLE_CAPEX</x:v>
      </x:c>
      <x:c r="G289" s="64" t="b">
        <x:v>0</x:v>
      </x:c>
      <x:c r="H289" s="63" t="str">
        <x:v>FAIL_CLOSED_REQUIRED_INPUT_UNAVAILABLE</x:v>
      </x:c>
      <x:c r="I289" s="63" t="str">
        <x:v>SCENARIO</x:v>
      </x:c>
      <x:c r="J289" s="63" t="str">
        <x:v>E0</x:v>
      </x:c>
      <x:c r="K289" s="81"/>
      <x:c r="L289" s="82"/>
      <x:c r="M289" s="82"/>
      <x:c r="N289" s="82"/>
      <x:c r="O289" s="63"/>
      <x:c r="P289" s="81"/>
      <x:c r="Q289" s="81"/>
      <x:c r="R289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290">
      <x:c r="A290" s="63" t="str">
        <x:v>E18</x:v>
      </x:c>
      <x:c r="B290" s="63" t="str">
        <x:v>The Bidvest Group</x:v>
      </x:c>
      <x:c r="C290" s="63" t="str">
        <x:v>TERM_AND_SYNDICATED_LENDING</x:v>
      </x:c>
      <x:c r="D290" s="63" t="str">
        <x:v>Term and syndicated lending</x:v>
      </x:c>
      <x:c r="E290" s="63" t="str">
        <x:v>LENDING</x:v>
      </x:c>
      <x:c r="F290" s="63" t="str">
        <x:v>FACILITY_SIZE</x:v>
      </x:c>
      <x:c r="G290" s="64" t="b">
        <x:v>1</x:v>
      </x:c>
      <x:c r="H290" s="63" t="str">
        <x:v>SCENARIO_BLOCKED_PENDING_CALIBRATION</x:v>
      </x:c>
      <x:c r="I290" s="63" t="str">
        <x:v>SCENARIO</x:v>
      </x:c>
      <x:c r="J290" s="63" t="str">
        <x:v>E1</x:v>
      </x:c>
      <x:c r="K290" s="81" t="n">
        <x:v>0.1375</x:v>
      </x:c>
      <x:c r="L290" s="82" t="n">
        <x:v>4802.501700000001</x:v>
      </x:c>
      <x:c r="M290" s="82" t="n">
        <x:v>5869.724300000001</x:v>
      </x:c>
      <x:c r="N290" s="82" t="n">
        <x:v>7470.5581999999995</x:v>
      </x:c>
      <x:c r="O290" s="63" t="str">
        <x:v>ZAR</x:v>
      </x:c>
      <x:c r="P290" s="81" t="n">
        <x:v>0.061875000000000006</x:v>
      </x:c>
      <x:c r="Q290" s="81" t="n">
        <x:v>0.10312500000000001</x:v>
      </x:c>
      <x:c r="R290" s="63" t="n">
        <x:v>0.1375</x:v>
      </x:c>
    </x:row>
    <x:row r="291">
      <x:c r="A291" s="63" t="str">
        <x:v>E18</x:v>
      </x:c>
      <x:c r="B291" s="63" t="str">
        <x:v>The Bidvest Group</x:v>
      </x:c>
      <x:c r="C291" s="63" t="str">
        <x:v>TRADE_FINANCE</x:v>
      </x:c>
      <x:c r="D291" s="63" t="str">
        <x:v>Trade finance</x:v>
      </x:c>
      <x:c r="E291" s="63" t="str">
        <x:v>TRADE_AND_WORKING_CAPITAL</x:v>
      </x:c>
      <x:c r="F291" s="63" t="str">
        <x:v>ELIGIBLE_FLOW</x:v>
      </x:c>
      <x:c r="G291" s="64" t="b">
        <x:v>1</x:v>
      </x:c>
      <x:c r="H291" s="63" t="str">
        <x:v>SHADOW_ELIGIBLE_REPRESENTATIVE</x:v>
      </x:c>
      <x:c r="I291" s="63" t="str">
        <x:v>POSTERIOR</x:v>
      </x:c>
      <x:c r="J291" s="63" t="str">
        <x:v>E1</x:v>
      </x:c>
      <x:c r="K291" s="81" t="n">
        <x:v>0.8792856040434587</x:v>
      </x:c>
      <x:c r="L291" s="82" t="n">
        <x:v>2922679154.66238</x:v>
      </x:c>
      <x:c r="M291" s="82" t="n">
        <x:v>5126190015.371901</x:v>
      </x:c>
      <x:c r="N291" s="82" t="n">
        <x:v>13049539077.963501</x:v>
      </x:c>
      <x:c r="O291" s="63" t="str">
        <x:v>ZAR</x:v>
      </x:c>
      <x:c r="P291" s="81" t="n">
        <x:v>0.13072737043014027</x:v>
      </x:c>
      <x:c r="Q291" s="81" t="n">
        <x:v>0.2443650954807014</x:v>
      </x:c>
      <x:c r="R291" s="63" t="n">
        <x:v>0.34314725955373937</x:v>
      </x:c>
    </x:row>
    <x:row r="292">
      <x:c r="A292" s="63" t="str">
        <x:v>E18</x:v>
      </x:c>
      <x:c r="B292" s="63" t="str">
        <x:v>The Bidvest Group</x:v>
      </x:c>
      <x:c r="C292" s="63" t="str">
        <x:v>WORKING_CAPITAL_REVOLVING</x:v>
      </x:c>
      <x:c r="D292" s="63" t="str">
        <x:v>Working-capital/revolving credit</x:v>
      </x:c>
      <x:c r="E292" s="63" t="str">
        <x:v>LENDING</x:v>
      </x:c>
      <x:c r="F292" s="63" t="str">
        <x:v>FACILITY_SIZE</x:v>
      </x:c>
      <x:c r="G292" s="64" t="b">
        <x:v>0</x:v>
      </x:c>
      <x:c r="H292" s="63" t="str">
        <x:v>FAIL_CLOSED_REQUIRED_INPUT_UNAVAILABLE</x:v>
      </x:c>
      <x:c r="I292" s="63" t="str">
        <x:v>SCENARIO</x:v>
      </x:c>
      <x:c r="J292" s="63" t="str">
        <x:v>E0</x:v>
      </x:c>
      <x:c r="K292" s="81"/>
      <x:c r="L292" s="82"/>
      <x:c r="M292" s="82"/>
      <x:c r="N292" s="82"/>
      <x:c r="O292" s="63"/>
      <x:c r="P292" s="81"/>
      <x:c r="Q292" s="81"/>
      <x:c r="R292" s="63" t="str">
        <x:v>No positive working-capital gap can be computed from reviewed evidence, so a revolving facility cannot be sized.</x:v>
      </x:c>
    </x:row>
    <x:row r="293">
      <x:c r="A293" s="63" t="str">
        <x:v>E19</x:v>
      </x:c>
      <x:c r="B293" s="63" t="str">
        <x:v>Aspen Pharmacare</x:v>
      </x:c>
      <x:c r="C293" s="63" t="str">
        <x:v>COLLECTIONS</x:v>
      </x:c>
      <x:c r="D293" s="63" t="str">
        <x:v>Collections</x:v>
      </x:c>
      <x:c r="E293" s="63" t="str">
        <x:v>TRANSACTION_BANKING</x:v>
      </x:c>
      <x:c r="F293" s="63" t="str">
        <x:v>TRANSACTION_WALLET</x:v>
      </x:c>
      <x:c r="G293" s="64" t="b">
        <x:v>1</x:v>
      </x:c>
      <x:c r="H293" s="63" t="str">
        <x:v>SHADOW_ELIGIBLE_REPRESENTATIVE</x:v>
      </x:c>
      <x:c r="I293" s="63" t="str">
        <x:v>POSTERIOR</x:v>
      </x:c>
      <x:c r="J293" s="63" t="str">
        <x:v>E1</x:v>
      </x:c>
      <x:c r="K293" s="81" t="n">
        <x:v>0.1779078146850487</x:v>
      </x:c>
      <x:c r="L293" s="82" t="n">
        <x:v>4739338121.173918</x:v>
      </x:c>
      <x:c r="M293" s="82" t="n">
        <x:v>6747659910.531961</x:v>
      </x:c>
      <x:c r="N293" s="82" t="n">
        <x:v>11547289009.861645</x:v>
      </x:c>
      <x:c r="O293" s="63" t="str">
        <x:v>ZAR</x:v>
      </x:c>
      <x:c r="P293" s="81" t="n">
        <x:v>0.10088229924028325</x:v>
      </x:c>
      <x:c r="Q293" s="81" t="n">
        <x:v>0.19158736018056033</x:v>
      </x:c>
      <x:c r="R293" s="63" t="n">
        <x:v>0.2731418860204524</x:v>
      </x:c>
    </x:row>
    <x:row r="294">
      <x:c r="A294" s="63" t="str">
        <x:v>E19</x:v>
      </x:c>
      <x:c r="B294" s="63" t="str">
        <x:v>Aspen Pharmacare</x:v>
      </x:c>
      <x:c r="C294" s="63" t="str">
        <x:v>COMMODITY_RISK_MANAGEMENT</x:v>
      </x:c>
      <x:c r="D294" s="63" t="str">
        <x:v>Commodity risk management</x:v>
      </x:c>
      <x:c r="E294" s="63" t="str">
        <x:v>RISK_MANAGEMENT</x:v>
      </x:c>
      <x:c r="F294" s="63" t="str">
        <x:v>EXPOSURE_NOTIONAL</x:v>
      </x:c>
      <x:c r="G294" s="64" t="b">
        <x:v>0</x:v>
      </x:c>
      <x:c r="H294" s="63" t="str">
        <x:v>FAIL_CLOSED_REQUIRED_INPUT_UNAVAILABLE</x:v>
      </x:c>
      <x:c r="I294" s="63" t="str">
        <x:v>SCENARIO</x:v>
      </x:c>
      <x:c r="J294" s="63" t="str">
        <x:v>E0</x:v>
      </x:c>
      <x:c r="K294" s="81"/>
      <x:c r="L294" s="82"/>
      <x:c r="M294" s="82"/>
      <x:c r="N294" s="82"/>
      <x:c r="O294" s="63"/>
      <x:c r="P294" s="81"/>
      <x:c r="Q294" s="81"/>
      <x:c r="R294" s="63" t="str">
        <x:v>The industrials_pharma sector carries no governed commodity price linkage, so a hedgeable commodity notional cannot be asserted.</x:v>
      </x:c>
    </x:row>
    <x:row r="295">
      <x:c r="A295" s="63" t="str">
        <x:v>E19</x:v>
      </x:c>
      <x:c r="B295" s="63" t="str">
        <x:v>Aspen Pharmacare</x:v>
      </x:c>
      <x:c r="C295" s="63" t="str">
        <x:v>CROSS_BORDER_FX</x:v>
      </x:c>
      <x:c r="D295" s="63" t="str">
        <x:v>Cross-border FX</x:v>
      </x:c>
      <x:c r="E295" s="63" t="str">
        <x:v>RISK_MANAGEMENT</x:v>
      </x:c>
      <x:c r="F295" s="63" t="str">
        <x:v>EXPOSURE_NOTIONAL</x:v>
      </x:c>
      <x:c r="G295" s="64" t="b">
        <x:v>1</x:v>
      </x:c>
      <x:c r="H295" s="63" t="str">
        <x:v>SHADOW_ELIGIBLE_REPRESENTATIVE</x:v>
      </x:c>
      <x:c r="I295" s="63" t="str">
        <x:v>POSTERIOR</x:v>
      </x:c>
      <x:c r="J295" s="63" t="str">
        <x:v>E1</x:v>
      </x:c>
      <x:c r="K295" s="81" t="n">
        <x:v>0.39250589288346804</x:v>
      </x:c>
      <x:c r="L295" s="82" t="n">
        <x:v>4939898244.610894</x:v>
      </x:c>
      <x:c r="M295" s="82" t="n">
        <x:v>7852192375.209999</x:v>
      </x:c>
      <x:c r="N295" s="82" t="n">
        <x:v>15981470527.777834</x:v>
      </x:c>
      <x:c r="O295" s="63" t="str">
        <x:v>ZAR</x:v>
      </x:c>
      <x:c r="P295" s="81" t="n">
        <x:v>0.10425792165671488</x:v>
      </x:c>
      <x:c r="Q295" s="81" t="n">
        <x:v>0.19764612908525203</x:v>
      </x:c>
      <x:c r="R295" s="63" t="n">
        <x:v>0.28129787610004375</x:v>
      </x:c>
    </x:row>
    <x:row r="296">
      <x:c r="A296" s="63" t="str">
        <x:v>E19</x:v>
      </x:c>
      <x:c r="B296" s="63" t="str">
        <x:v>Aspen Pharmacare</x:v>
      </x:c>
      <x:c r="C296" s="63" t="str">
        <x:v>DEBT_CAPITAL_MARKETS</x:v>
      </x:c>
      <x:c r="D296" s="63" t="str">
        <x:v>Debt capital markets</x:v>
      </x:c>
      <x:c r="E296" s="63" t="str">
        <x:v>CAPITAL_MARKETS</x:v>
      </x:c>
      <x:c r="F296" s="63" t="str">
        <x:v>FINANCING_REQUIREMENT</x:v>
      </x:c>
      <x:c r="G296" s="64" t="b">
        <x:v>1</x:v>
      </x:c>
      <x:c r="H296" s="63" t="str">
        <x:v>SCENARIO_BLOCKED_PENDING_CALIBRATION</x:v>
      </x:c>
      <x:c r="I296" s="63" t="str">
        <x:v>SCENARIO</x:v>
      </x:c>
      <x:c r="J296" s="63" t="str">
        <x:v>E1</x:v>
      </x:c>
      <x:c r="K296" s="81" t="n">
        <x:v>0.1375</x:v>
      </x:c>
      <x:c r="L296" s="82" t="n">
        <x:v>3689.6000000000004</x:v>
      </x:c>
      <x:c r="M296" s="82" t="n">
        <x:v>4612</x:v>
      </x:c>
      <x:c r="N296" s="82" t="n">
        <x:v>5995.6</x:v>
      </x:c>
      <x:c r="O296" s="63" t="str">
        <x:v>ZAR</x:v>
      </x:c>
      <x:c r="P296" s="81" t="n">
        <x:v>0.061875000000000006</x:v>
      </x:c>
      <x:c r="Q296" s="81" t="n">
        <x:v>0.10312500000000001</x:v>
      </x:c>
      <x:c r="R296" s="63" t="n">
        <x:v>0.1375</x:v>
      </x:c>
    </x:row>
    <x:row r="297">
      <x:c r="A297" s="63" t="str">
        <x:v>E19</x:v>
      </x:c>
      <x:c r="B297" s="63" t="str">
        <x:v>Aspen Pharmacare</x:v>
      </x:c>
      <x:c r="C297" s="63" t="str">
        <x:v>ESCROW_AND_AGENCY</x:v>
      </x:c>
      <x:c r="D297" s="63" t="str">
        <x:v>Escrow and agency services</x:v>
      </x:c>
      <x:c r="E297" s="63" t="str">
        <x:v>ADVISORY_AND_AGENCY</x:v>
      </x:c>
      <x:c r="F297" s="63" t="str">
        <x:v>EVENT_LINKED_FLOW</x:v>
      </x:c>
      <x:c r="G297" s="64" t="b">
        <x:v>0</x:v>
      </x:c>
      <x:c r="H297" s="63" t="str">
        <x:v>FAIL_CLOSED_REQUIRED_INPUT_UNAVAILABLE</x:v>
      </x:c>
      <x:c r="I297" s="63" t="str">
        <x:v>SCENARIO</x:v>
      </x:c>
      <x:c r="J297" s="63" t="str">
        <x:v>E0</x:v>
      </x:c>
      <x:c r="K297" s="81"/>
      <x:c r="L297" s="82"/>
      <x:c r="M297" s="82"/>
      <x:c r="N297" s="82"/>
      <x:c r="O297" s="63"/>
      <x:c r="P297" s="81"/>
      <x:c r="Q297" s="81"/>
      <x:c r="R297" s="63" t="str">
        <x:v>Escrow and agency flow is event-linked, and no reviewed corporate action or capital-structure event exists for this client.</x:v>
      </x:c>
    </x:row>
    <x:row r="298">
      <x:c r="A298" s="63" t="str">
        <x:v>E19</x:v>
      </x:c>
      <x:c r="B298" s="63" t="str">
        <x:v>Aspen Pharmacare</x:v>
      </x:c>
      <x:c r="C298" s="63" t="str">
        <x:v>GUARANTEES_AND_LC</x:v>
      </x:c>
      <x:c r="D298" s="63" t="str">
        <x:v>Guarantees and letters of credit</x:v>
      </x:c>
      <x:c r="E298" s="63" t="str">
        <x:v>TRADE_AND_WORKING_CAPITAL</x:v>
      </x:c>
      <x:c r="F298" s="63" t="str">
        <x:v>CONTINGENT_EXPOSURE</x:v>
      </x:c>
      <x:c r="G298" s="64" t="b">
        <x:v>1</x:v>
      </x:c>
      <x:c r="H298" s="63" t="str">
        <x:v>SCENARIO_BLOCKED_PENDING_CALIBRATION</x:v>
      </x:c>
      <x:c r="I298" s="63" t="str">
        <x:v>SCENARIO</x:v>
      </x:c>
      <x:c r="J298" s="63" t="str">
        <x:v>E0</x:v>
      </x:c>
      <x:c r="K298" s="81" t="n">
        <x:v>0.24250000000000002</x:v>
      </x:c>
      <x:c r="L298" s="82" t="n">
        <x:v>8123493.290999997</x:v>
      </x:c>
      <x:c r="M298" s="82" t="n">
        <x:v>16246986.581999995</x:v>
      </x:c>
      <x:c r="N298" s="82" t="n">
        <x:v>24370479.87299999</x:v>
      </x:c>
      <x:c r="O298" s="63" t="str">
        <x:v>ZAR</x:v>
      </x:c>
      <x:c r="P298" s="81" t="n">
        <x:v>0.10912500000000001</x:v>
      </x:c>
      <x:c r="Q298" s="81" t="n">
        <x:v>0.181875</x:v>
      </x:c>
      <x:c r="R298" s="63" t="n">
        <x:v>0.24250000000000002</x:v>
      </x:c>
    </x:row>
    <x:row r="299">
      <x:c r="A299" s="63" t="str">
        <x:v>E19</x:v>
      </x:c>
      <x:c r="B299" s="63" t="str">
        <x:v>Aspen Pharmacare</x:v>
      </x:c>
      <x:c r="C299" s="63" t="str">
        <x:v>INTEREST_RATE_RISK_MANAGEMENT</x:v>
      </x:c>
      <x:c r="D299" s="63" t="str">
        <x:v>Interest-rate risk management</x:v>
      </x:c>
      <x:c r="E299" s="63" t="str">
        <x:v>RISK_MANAGEMENT</x:v>
      </x:c>
      <x:c r="F299" s="63" t="str">
        <x:v>EXPOSURE_NOTIONAL</x:v>
      </x:c>
      <x:c r="G299" s="64" t="b">
        <x:v>1</x:v>
      </x:c>
      <x:c r="H299" s="63" t="str">
        <x:v>SCENARIO_BLOCKED_PENDING_CALIBRATION</x:v>
      </x:c>
      <x:c r="I299" s="63" t="str">
        <x:v>SCENARIO</x:v>
      </x:c>
      <x:c r="J299" s="63" t="str">
        <x:v>E1</x:v>
      </x:c>
      <x:c r="K299" s="81" t="n">
        <x:v>0.29999999999999993</x:v>
      </x:c>
      <x:c r="L299" s="82" t="n">
        <x:v>1383600000</x:v>
      </x:c>
      <x:c r="M299" s="82" t="n">
        <x:v>2536600000</x:v>
      </x:c>
      <x:c r="N299" s="82" t="n">
        <x:v>3689600000</x:v>
      </x:c>
      <x:c r="O299" s="63" t="str">
        <x:v>ZAR</x:v>
      </x:c>
      <x:c r="P299" s="81" t="n">
        <x:v>0.13499999999999998</x:v>
      </x:c>
      <x:c r="Q299" s="81" t="n">
        <x:v>0.22499999999999995</x:v>
      </x:c>
      <x:c r="R299" s="63" t="n">
        <x:v>0.29999999999999993</x:v>
      </x:c>
    </x:row>
    <x:row r="300">
      <x:c r="A300" s="63" t="str">
        <x:v>E19</x:v>
      </x:c>
      <x:c r="B300" s="63" t="str">
        <x:v>Aspen Pharmacare</x:v>
      </x:c>
      <x:c r="C300" s="63" t="str">
        <x:v>LIQUIDITY_CASH_MANAGEMENT</x:v>
      </x:c>
      <x:c r="D300" s="63" t="str">
        <x:v>Liquidity and cash management</x:v>
      </x:c>
      <x:c r="E300" s="63" t="str">
        <x:v>TRANSACTION_BANKING</x:v>
      </x:c>
      <x:c r="F300" s="63" t="str">
        <x:v>CASH_WALLET</x:v>
      </x:c>
      <x:c r="G300" s="64" t="b">
        <x:v>1</x:v>
      </x:c>
      <x:c r="H300" s="63" t="str">
        <x:v>SHADOW_ELIGIBLE_REPRESENTATIVE</x:v>
      </x:c>
      <x:c r="I300" s="63" t="str">
        <x:v>POSTERIOR</x:v>
      </x:c>
      <x:c r="J300" s="63" t="str">
        <x:v>E1</x:v>
      </x:c>
      <x:c r="K300" s="81" t="n">
        <x:v>0.4595777036381919</x:v>
      </x:c>
      <x:c r="L300" s="82" t="n">
        <x:v>5041220999.885103</x:v>
      </x:c>
      <x:c r="M300" s="82" t="n">
        <x:v>8042684006.07556</x:v>
      </x:c>
      <x:c r="N300" s="82" t="n">
        <x:v>17380099455.22061</x:v>
      </x:c>
      <x:c r="O300" s="63" t="str">
        <x:v>ZAR</x:v>
      </x:c>
      <x:c r="P300" s="81" t="n">
        <x:v>0.10258113084417986</x:v>
      </x:c>
      <x:c r="Q300" s="81" t="n">
        <x:v>0.1946393732830889</x:v>
      </x:c>
      <x:c r="R300" s="63" t="n">
        <x:v>0.27725417710908706</x:v>
      </x:c>
    </x:row>
    <x:row r="301">
      <x:c r="A301" s="63" t="str">
        <x:v>E19</x:v>
      </x:c>
      <x:c r="B301" s="63" t="str">
        <x:v>Aspen Pharmacare</x:v>
      </x:c>
      <x:c r="C301" s="63" t="str">
        <x:v>MA_AND_STRATEGIC_ADVISORY</x:v>
      </x:c>
      <x:c r="D301" s="63" t="str">
        <x:v>M&amp;A and strategic advisory</x:v>
      </x:c>
      <x:c r="E301" s="63" t="str">
        <x:v>ADVISORY_AND_AGENCY</x:v>
      </x:c>
      <x:c r="F301" s="63" t="str">
        <x:v>TRANSACTION_SIZE</x:v>
      </x:c>
      <x:c r="G301" s="64" t="b">
        <x:v>0</x:v>
      </x:c>
      <x:c r="H301" s="63" t="str">
        <x:v>FAIL_CLOSED_REQUIRED_INPUT_UNAVAILABLE</x:v>
      </x:c>
      <x:c r="I301" s="63" t="str">
        <x:v>SCENARIO</x:v>
      </x:c>
      <x:c r="J301" s="63" t="str">
        <x:v>E0</x:v>
      </x:c>
      <x:c r="K301" s="81"/>
      <x:c r="L301" s="82"/>
      <x:c r="M301" s="82"/>
      <x:c r="N301" s="82"/>
      <x:c r="O301" s="63"/>
      <x:c r="P301" s="81"/>
      <x:c r="Q301" s="81"/>
      <x:c r="R301" s="63" t="str">
        <x:v>No announced or reviewed transaction evidence exists, so no mandate probability or transaction size can be estimated.</x:v>
      </x:c>
    </x:row>
    <x:row r="302">
      <x:c r="A302" s="63" t="str">
        <x:v>E19</x:v>
      </x:c>
      <x:c r="B302" s="63" t="str">
        <x:v>Aspen Pharmacare</x:v>
      </x:c>
      <x:c r="C302" s="63" t="str">
        <x:v>PAYMENTS</x:v>
      </x:c>
      <x:c r="D302" s="63" t="str">
        <x:v>Payments</x:v>
      </x:c>
      <x:c r="E302" s="63" t="str">
        <x:v>TRANSACTION_BANKING</x:v>
      </x:c>
      <x:c r="F302" s="63" t="str">
        <x:v>TRANSACTION_WALLET</x:v>
      </x:c>
      <x:c r="G302" s="64" t="b">
        <x:v>1</x:v>
      </x:c>
      <x:c r="H302" s="63" t="str">
        <x:v>SHADOW_ELIGIBLE_REPRESENTATIVE</x:v>
      </x:c>
      <x:c r="I302" s="63" t="str">
        <x:v>POSTERIOR</x:v>
      </x:c>
      <x:c r="J302" s="63" t="str">
        <x:v>E1</x:v>
      </x:c>
      <x:c r="K302" s="81" t="n">
        <x:v>0.6818152679606183</x:v>
      </x:c>
      <x:c r="L302" s="82" t="n">
        <x:v>8498145292.842821</x:v>
      </x:c>
      <x:c r="M302" s="82" t="n">
        <x:v>12218973624.356773</x:v>
      </x:c>
      <x:c r="N302" s="82" t="n">
        <x:v>21345551523.14116</x:v>
      </x:c>
      <x:c r="O302" s="63" t="str">
        <x:v>ZAR</x:v>
      </x:c>
      <x:c r="P302" s="81" t="n">
        <x:v>0.10259200591832796</x:v>
      </x:c>
      <x:c r="Q302" s="81" t="n">
        <x:v>0.19465889215830967</x:v>
      </x:c>
      <x:c r="R302" s="63" t="n">
        <x:v>0.2772804518602773</x:v>
      </x:c>
    </x:row>
    <x:row r="303">
      <x:c r="A303" s="63" t="str">
        <x:v>E19</x:v>
      </x:c>
      <x:c r="B303" s="63" t="str">
        <x:v>Aspen Pharmacare</x:v>
      </x:c>
      <x:c r="C303" s="63" t="str">
        <x:v>PROJECT_FINANCE</x:v>
      </x:c>
      <x:c r="D303" s="63" t="str">
        <x:v>Project finance</x:v>
      </x:c>
      <x:c r="E303" s="63" t="str">
        <x:v>LENDING</x:v>
      </x:c>
      <x:c r="F303" s="63" t="str">
        <x:v>PROJECT_FUNDING_REQUIREMENT</x:v>
      </x:c>
      <x:c r="G303" s="64" t="b">
        <x:v>0</x:v>
      </x:c>
      <x:c r="H303" s="63" t="str">
        <x:v>FAIL_CLOSED_REQUIRED_INPUT_UNAVAILABLE</x:v>
      </x:c>
      <x:c r="I303" s="63" t="str">
        <x:v>SCENARIO</x:v>
      </x:c>
      <x:c r="J303" s="63" t="str">
        <x:v>E0</x:v>
      </x:c>
      <x:c r="K303" s="81"/>
      <x:c r="L303" s="82"/>
      <x:c r="M303" s="82"/>
      <x:c r="N303" s="82"/>
      <x:c r="O303" s="63"/>
      <x:c r="P303" s="81"/>
      <x:c r="Q303" s="81"/>
      <x:c r="R303" s="63" t="str">
        <x:v>No reviewed project, SPV or ring-fenced cash-flow evidence exists for this client. Project finance cannot be sized from a sector assumption, and SPV ownership is never inferred from name similarity.</x:v>
      </x:c>
    </x:row>
    <x:row r="304">
      <x:c r="A304" s="63" t="str">
        <x:v>E19</x:v>
      </x:c>
      <x:c r="B304" s="63" t="str">
        <x:v>Aspen Pharmacare</x:v>
      </x:c>
      <x:c r="C304" s="63" t="str">
        <x:v>SUPPLY_CHAIN_FINANCE</x:v>
      </x:c>
      <x:c r="D304" s="63" t="str">
        <x:v>Supply-chain finance</x:v>
      </x:c>
      <x:c r="E304" s="63" t="str">
        <x:v>TRADE_AND_WORKING_CAPITAL</x:v>
      </x:c>
      <x:c r="F304" s="63" t="str">
        <x:v>ELIGIBLE_FLOW</x:v>
      </x:c>
      <x:c r="G304" s="64" t="b">
        <x:v>1</x:v>
      </x:c>
      <x:c r="H304" s="63" t="str">
        <x:v>SCENARIO_BLOCKED_PENDING_CALIBRATION</x:v>
      </x:c>
      <x:c r="I304" s="63" t="str">
        <x:v>SCENARIO</x:v>
      </x:c>
      <x:c r="J304" s="63" t="str">
        <x:v>E0</x:v>
      </x:c>
      <x:c r="K304" s="81" t="n">
        <x:v>0.6200000000000001</x:v>
      </x:c>
      <x:c r="L304" s="82" t="n">
        <x:v>388036653.53999996</x:v>
      </x:c>
      <x:c r="M304" s="82" t="n">
        <x:v>776073307.0799999</x:v>
      </x:c>
      <x:c r="N304" s="82" t="n">
        <x:v>1164109960.62</x:v>
      </x:c>
      <x:c r="O304" s="63" t="str">
        <x:v>ZAR</x:v>
      </x:c>
      <x:c r="P304" s="81" t="n">
        <x:v>0.2790000000000001</x:v>
      </x:c>
      <x:c r="Q304" s="81" t="n">
        <x:v>0.4650000000000001</x:v>
      </x:c>
      <x:c r="R304" s="63" t="n">
        <x:v>0.6200000000000001</x:v>
      </x:c>
    </x:row>
    <x:row r="305">
      <x:c r="A305" s="63" t="str">
        <x:v>E19</x:v>
      </x:c>
      <x:c r="B305" s="63" t="str">
        <x:v>Aspen Pharmacare</x:v>
      </x:c>
      <x:c r="C305" s="63" t="str">
        <x:v>SUSTAINABLE_FINANCE</x:v>
      </x:c>
      <x:c r="D305" s="63" t="str">
        <x:v>Sustainable finance</x:v>
      </x:c>
      <x:c r="E305" s="63" t="str">
        <x:v>CAPITAL_MARKETS</x:v>
      </x:c>
      <x:c r="F305" s="63" t="str">
        <x:v>ELIGIBLE_CAPEX</x:v>
      </x:c>
      <x:c r="G305" s="64" t="b">
        <x:v>0</x:v>
      </x:c>
      <x:c r="H305" s="63" t="str">
        <x:v>FAIL_CLOSED_REQUIRED_INPUT_UNAVAILABLE</x:v>
      </x:c>
      <x:c r="I305" s="63" t="str">
        <x:v>SCENARIO</x:v>
      </x:c>
      <x:c r="J305" s="63" t="str">
        <x:v>E0</x:v>
      </x:c>
      <x:c r="K305" s="81"/>
      <x:c r="L305" s="82"/>
      <x:c r="M305" s="82"/>
      <x:c r="N305" s="82"/>
      <x:c r="O305" s="63"/>
      <x:c r="P305" s="81"/>
      <x:c r="Q305" s="81"/>
      <x:c r="R305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306">
      <x:c r="A306" s="63" t="str">
        <x:v>E19</x:v>
      </x:c>
      <x:c r="B306" s="63" t="str">
        <x:v>Aspen Pharmacare</x:v>
      </x:c>
      <x:c r="C306" s="63" t="str">
        <x:v>TERM_AND_SYNDICATED_LENDING</x:v>
      </x:c>
      <x:c r="D306" s="63" t="str">
        <x:v>Term and syndicated lending</x:v>
      </x:c>
      <x:c r="E306" s="63" t="str">
        <x:v>LENDING</x:v>
      </x:c>
      <x:c r="F306" s="63" t="str">
        <x:v>FACILITY_SIZE</x:v>
      </x:c>
      <x:c r="G306" s="64" t="b">
        <x:v>1</x:v>
      </x:c>
      <x:c r="H306" s="63" t="str">
        <x:v>SCENARIO_BLOCKED_PENDING_CALIBRATION</x:v>
      </x:c>
      <x:c r="I306" s="63" t="str">
        <x:v>SCENARIO</x:v>
      </x:c>
      <x:c r="J306" s="63" t="str">
        <x:v>E1</x:v>
      </x:c>
      <x:c r="K306" s="81" t="n">
        <x:v>0.1375</x:v>
      </x:c>
      <x:c r="L306" s="82" t="n">
        <x:v>4150.8</x:v>
      </x:c>
      <x:c r="M306" s="82" t="n">
        <x:v>5073.200000000001</x:v>
      </x:c>
      <x:c r="N306" s="82" t="n">
        <x:v>6456.799999999999</x:v>
      </x:c>
      <x:c r="O306" s="63" t="str">
        <x:v>ZAR</x:v>
      </x:c>
      <x:c r="P306" s="81" t="n">
        <x:v>0.061875000000000006</x:v>
      </x:c>
      <x:c r="Q306" s="81" t="n">
        <x:v>0.10312500000000001</x:v>
      </x:c>
      <x:c r="R306" s="63" t="n">
        <x:v>0.1375</x:v>
      </x:c>
    </x:row>
    <x:row r="307">
      <x:c r="A307" s="63" t="str">
        <x:v>E19</x:v>
      </x:c>
      <x:c r="B307" s="63" t="str">
        <x:v>Aspen Pharmacare</x:v>
      </x:c>
      <x:c r="C307" s="63" t="str">
        <x:v>TRADE_FINANCE</x:v>
      </x:c>
      <x:c r="D307" s="63" t="str">
        <x:v>Trade finance</x:v>
      </x:c>
      <x:c r="E307" s="63" t="str">
        <x:v>TRADE_AND_WORKING_CAPITAL</x:v>
      </x:c>
      <x:c r="F307" s="63" t="str">
        <x:v>ELIGIBLE_FLOW</x:v>
      </x:c>
      <x:c r="G307" s="64" t="b">
        <x:v>1</x:v>
      </x:c>
      <x:c r="H307" s="63" t="str">
        <x:v>SHADOW_ELIGIBLE_REPRESENTATIVE</x:v>
      </x:c>
      <x:c r="I307" s="63" t="str">
        <x:v>POSTERIOR</x:v>
      </x:c>
      <x:c r="J307" s="63" t="str">
        <x:v>E1</x:v>
      </x:c>
      <x:c r="K307" s="81" t="n">
        <x:v>0.25921383282200977</x:v>
      </x:c>
      <x:c r="L307" s="82" t="n">
        <x:v>1053844890.8336122</x:v>
      </x:c>
      <x:c r="M307" s="82" t="n">
        <x:v>1810202798.977847</x:v>
      </x:c>
      <x:c r="N307" s="82" t="n">
        <x:v>4540879994.869672</x:v>
      </x:c>
      <x:c r="O307" s="63" t="str">
        <x:v>ZAR</x:v>
      </x:c>
      <x:c r="P307" s="81" t="n">
        <x:v>0.12479958591175433</x:v>
      </x:c>
      <x:c r="Q307" s="81" t="n">
        <x:v>0.23402423517976334</x:v>
      </x:c>
      <x:c r="R307" s="63" t="n">
        <x:v>0.32961769344776826</x:v>
      </x:c>
    </x:row>
    <x:row r="308">
      <x:c r="A308" s="63" t="str">
        <x:v>E19</x:v>
      </x:c>
      <x:c r="B308" s="63" t="str">
        <x:v>Aspen Pharmacare</x:v>
      </x:c>
      <x:c r="C308" s="63" t="str">
        <x:v>WORKING_CAPITAL_REVOLVING</x:v>
      </x:c>
      <x:c r="D308" s="63" t="str">
        <x:v>Working-capital/revolving credit</x:v>
      </x:c>
      <x:c r="E308" s="63" t="str">
        <x:v>LENDING</x:v>
      </x:c>
      <x:c r="F308" s="63" t="str">
        <x:v>FACILITY_SIZE</x:v>
      </x:c>
      <x:c r="G308" s="64" t="b">
        <x:v>0</x:v>
      </x:c>
      <x:c r="H308" s="63" t="str">
        <x:v>FAIL_CLOSED_REQUIRED_INPUT_UNAVAILABLE</x:v>
      </x:c>
      <x:c r="I308" s="63" t="str">
        <x:v>SCENARIO</x:v>
      </x:c>
      <x:c r="J308" s="63" t="str">
        <x:v>E0</x:v>
      </x:c>
      <x:c r="K308" s="81"/>
      <x:c r="L308" s="82"/>
      <x:c r="M308" s="82"/>
      <x:c r="N308" s="82"/>
      <x:c r="O308" s="63"/>
      <x:c r="P308" s="81"/>
      <x:c r="Q308" s="81"/>
      <x:c r="R308" s="63" t="str">
        <x:v>No positive working-capital gap can be computed from reviewed evidence, so a revolving facility cannot be sized.</x:v>
      </x:c>
    </x:row>
    <x:row r="309">
      <x:c r="A309" s="63" t="str">
        <x:v>E20</x:v>
      </x:c>
      <x:c r="B309" s="63" t="str">
        <x:v>Shaftesbury Capital plc</x:v>
      </x:c>
      <x:c r="C309" s="63" t="str">
        <x:v>COLLECTIONS</x:v>
      </x:c>
      <x:c r="D309" s="63" t="str">
        <x:v>Collections</x:v>
      </x:c>
      <x:c r="E309" s="63" t="str">
        <x:v>TRANSACTION_BANKING</x:v>
      </x:c>
      <x:c r="F309" s="63" t="str">
        <x:v>TRANSACTION_WALLET</x:v>
      </x:c>
      <x:c r="G309" s="64" t="b">
        <x:v>1</x:v>
      </x:c>
      <x:c r="H309" s="63" t="str">
        <x:v>SHADOW_ELIGIBLE_REPRESENTATIVE</x:v>
      </x:c>
      <x:c r="I309" s="63" t="str">
        <x:v>POSTERIOR</x:v>
      </x:c>
      <x:c r="J309" s="63" t="str">
        <x:v>E1</x:v>
      </x:c>
      <x:c r="K309" s="81" t="n">
        <x:v>0.000041875649013526164</x:v>
      </x:c>
      <x:c r="L309" s="82" t="n">
        <x:v>90292508.54629585</x:v>
      </x:c>
      <x:c r="M309" s="82" t="n">
        <x:v>127019656.1277813</x:v>
      </x:c>
      <x:c r="N309" s="82" t="n">
        <x:v>216984949.78946546</x:v>
      </x:c>
      <x:c r="O309" s="63" t="str">
        <x:v>ZAR</x:v>
      </x:c>
      <x:c r="P309" s="81" t="n">
        <x:v>0.09382045923528237</x:v>
      </x:c>
      <x:c r="Q309" s="81" t="n">
        <x:v>0.17883863989944537</x:v>
      </x:c>
      <x:c r="R309" s="63" t="n">
        <x:v>0.2558803758103485</x:v>
      </x:c>
    </x:row>
    <x:row r="310">
      <x:c r="A310" s="63" t="str">
        <x:v>E20</x:v>
      </x:c>
      <x:c r="B310" s="63" t="str">
        <x:v>Shaftesbury Capital plc</x:v>
      </x:c>
      <x:c r="C310" s="63" t="str">
        <x:v>COMMODITY_RISK_MANAGEMENT</x:v>
      </x:c>
      <x:c r="D310" s="63" t="str">
        <x:v>Commodity risk management</x:v>
      </x:c>
      <x:c r="E310" s="63" t="str">
        <x:v>RISK_MANAGEMENT</x:v>
      </x:c>
      <x:c r="F310" s="63" t="str">
        <x:v>EXPOSURE_NOTIONAL</x:v>
      </x:c>
      <x:c r="G310" s="64" t="b">
        <x:v>0</x:v>
      </x:c>
      <x:c r="H310" s="63" t="str">
        <x:v>FAIL_CLOSED_REQUIRED_INPUT_UNAVAILABLE</x:v>
      </x:c>
      <x:c r="I310" s="63" t="str">
        <x:v>SCENARIO</x:v>
      </x:c>
      <x:c r="J310" s="63" t="str">
        <x:v>E0</x:v>
      </x:c>
      <x:c r="K310" s="81"/>
      <x:c r="L310" s="82"/>
      <x:c r="M310" s="82"/>
      <x:c r="N310" s="82"/>
      <x:c r="O310" s="63"/>
      <x:c r="P310" s="81"/>
      <x:c r="Q310" s="81"/>
      <x:c r="R310" s="63" t="str">
        <x:v>The real_estate sector carries no governed commodity price linkage, so a hedgeable commodity notional cannot be asserted.</x:v>
      </x:c>
    </x:row>
    <x:row r="311">
      <x:c r="A311" s="63" t="str">
        <x:v>E20</x:v>
      </x:c>
      <x:c r="B311" s="63" t="str">
        <x:v>Shaftesbury Capital plc</x:v>
      </x:c>
      <x:c r="C311" s="63" t="str">
        <x:v>CROSS_BORDER_FX</x:v>
      </x:c>
      <x:c r="D311" s="63" t="str">
        <x:v>Cross-border FX</x:v>
      </x:c>
      <x:c r="E311" s="63" t="str">
        <x:v>RISK_MANAGEMENT</x:v>
      </x:c>
      <x:c r="F311" s="63" t="str">
        <x:v>EXPOSURE_NOTIONAL</x:v>
      </x:c>
      <x:c r="G311" s="64" t="b">
        <x:v>1</x:v>
      </x:c>
      <x:c r="H311" s="63" t="str">
        <x:v>SHADOW_ELIGIBLE_REPRESENTATIVE</x:v>
      </x:c>
      <x:c r="I311" s="63" t="str">
        <x:v>POSTERIOR</x:v>
      </x:c>
      <x:c r="J311" s="63" t="str">
        <x:v>E1</x:v>
      </x:c>
      <x:c r="K311" s="81" t="n">
        <x:v>0.01080611881900442</x:v>
      </x:c>
      <x:c r="L311" s="82" t="n">
        <x:v>344827002.15276766</x:v>
      </x:c>
      <x:c r="M311" s="82" t="n">
        <x:v>564664032.7986003</x:v>
      </x:c>
      <x:c r="N311" s="82" t="n">
        <x:v>1164618669.6193287</x:v>
      </x:c>
      <x:c r="O311" s="63" t="str">
        <x:v>ZAR</x:v>
      </x:c>
      <x:c r="P311" s="81" t="n">
        <x:v>0.10793610125948927</x:v>
      </x:c>
      <x:c r="Q311" s="81" t="n">
        <x:v>0.20422200056387974</x:v>
      </x:c>
      <x:c r="R311" s="63" t="n">
        <x:v>0.29011517529109054</x:v>
      </x:c>
    </x:row>
    <x:row r="312">
      <x:c r="A312" s="63" t="str">
        <x:v>E20</x:v>
      </x:c>
      <x:c r="B312" s="63" t="str">
        <x:v>Shaftesbury Capital plc</x:v>
      </x:c>
      <x:c r="C312" s="63" t="str">
        <x:v>DEBT_CAPITAL_MARKETS</x:v>
      </x:c>
      <x:c r="D312" s="63" t="str">
        <x:v>Debt capital markets</x:v>
      </x:c>
      <x:c r="E312" s="63" t="str">
        <x:v>CAPITAL_MARKETS</x:v>
      </x:c>
      <x:c r="F312" s="63" t="str">
        <x:v>FINANCING_REQUIREMENT</x:v>
      </x:c>
      <x:c r="G312" s="64" t="b">
        <x:v>1</x:v>
      </x:c>
      <x:c r="H312" s="63" t="str">
        <x:v>SCENARIO_BLOCKED_PENDING_CALIBRATION</x:v>
      </x:c>
      <x:c r="I312" s="63" t="str">
        <x:v>SCENARIO</x:v>
      </x:c>
      <x:c r="J312" s="63" t="str">
        <x:v>E1</x:v>
      </x:c>
      <x:c r="K312" s="81" t="n">
        <x:v>0.8625000000000003</x:v>
      </x:c>
      <x:c r="L312" s="82" t="n">
        <x:v>1506120000</x:v>
      </x:c>
      <x:c r="M312" s="82" t="n">
        <x:v>1882650000</x:v>
      </x:c>
      <x:c r="N312" s="82" t="n">
        <x:v>2447445000</x:v>
      </x:c>
      <x:c r="O312" s="63" t="str">
        <x:v>ZAR</x:v>
      </x:c>
      <x:c r="P312" s="81" t="n">
        <x:v>0.3825</x:v>
      </x:c>
      <x:c r="Q312" s="81" t="n">
        <x:v>0.6375</x:v>
      </x:c>
      <x:c r="R312" s="63" t="n">
        <x:v>0.85</x:v>
      </x:c>
    </x:row>
    <x:row r="313">
      <x:c r="A313" s="63" t="str">
        <x:v>E20</x:v>
      </x:c>
      <x:c r="B313" s="63" t="str">
        <x:v>Shaftesbury Capital plc</x:v>
      </x:c>
      <x:c r="C313" s="63" t="str">
        <x:v>ESCROW_AND_AGENCY</x:v>
      </x:c>
      <x:c r="D313" s="63" t="str">
        <x:v>Escrow and agency services</x:v>
      </x:c>
      <x:c r="E313" s="63" t="str">
        <x:v>ADVISORY_AND_AGENCY</x:v>
      </x:c>
      <x:c r="F313" s="63" t="str">
        <x:v>EVENT_LINKED_FLOW</x:v>
      </x:c>
      <x:c r="G313" s="64" t="b">
        <x:v>0</x:v>
      </x:c>
      <x:c r="H313" s="63" t="str">
        <x:v>FAIL_CLOSED_REQUIRED_INPUT_UNAVAILABLE</x:v>
      </x:c>
      <x:c r="I313" s="63" t="str">
        <x:v>SCENARIO</x:v>
      </x:c>
      <x:c r="J313" s="63" t="str">
        <x:v>E0</x:v>
      </x:c>
      <x:c r="K313" s="81"/>
      <x:c r="L313" s="82"/>
      <x:c r="M313" s="82"/>
      <x:c r="N313" s="82"/>
      <x:c r="O313" s="63"/>
      <x:c r="P313" s="81"/>
      <x:c r="Q313" s="81"/>
      <x:c r="R313" s="63" t="str">
        <x:v>Escrow and agency flow is event-linked, and no reviewed corporate action or capital-structure event exists for this client.</x:v>
      </x:c>
    </x:row>
    <x:row r="314">
      <x:c r="A314" s="63" t="str">
        <x:v>E20</x:v>
      </x:c>
      <x:c r="B314" s="63" t="str">
        <x:v>Shaftesbury Capital plc</x:v>
      </x:c>
      <x:c r="C314" s="63" t="str">
        <x:v>GUARANTEES_AND_LC</x:v>
      </x:c>
      <x:c r="D314" s="63" t="str">
        <x:v>Guarantees and letters of credit</x:v>
      </x:c>
      <x:c r="E314" s="63" t="str">
        <x:v>TRADE_AND_WORKING_CAPITAL</x:v>
      </x:c>
      <x:c r="F314" s="63" t="str">
        <x:v>CONTINGENT_EXPOSURE</x:v>
      </x:c>
      <x:c r="G314" s="64" t="b">
        <x:v>1</x:v>
      </x:c>
      <x:c r="H314" s="63" t="str">
        <x:v>SCENARIO_BLOCKED_PENDING_CALIBRATION</x:v>
      </x:c>
      <x:c r="I314" s="63" t="str">
        <x:v>SCENARIO</x:v>
      </x:c>
      <x:c r="J314" s="63" t="str">
        <x:v>E0</x:v>
      </x:c>
      <x:c r="K314" s="81" t="n">
        <x:v>0.24250000000000002</x:v>
      </x:c>
      <x:c r="L314" s="82" t="n">
        <x:v>49298.606</x:v>
      </x:c>
      <x:c r="M314" s="82" t="n">
        <x:v>98597.212</x:v>
      </x:c>
      <x:c r="N314" s="82" t="n">
        <x:v>147895.818</x:v>
      </x:c>
      <x:c r="O314" s="63" t="str">
        <x:v>ZAR</x:v>
      </x:c>
      <x:c r="P314" s="81" t="n">
        <x:v>0.10912500000000001</x:v>
      </x:c>
      <x:c r="Q314" s="81" t="n">
        <x:v>0.181875</x:v>
      </x:c>
      <x:c r="R314" s="63" t="n">
        <x:v>0.24250000000000002</x:v>
      </x:c>
    </x:row>
    <x:row r="315">
      <x:c r="A315" s="63" t="str">
        <x:v>E20</x:v>
      </x:c>
      <x:c r="B315" s="63" t="str">
        <x:v>Shaftesbury Capital plc</x:v>
      </x:c>
      <x:c r="C315" s="63" t="str">
        <x:v>INTEREST_RATE_RISK_MANAGEMENT</x:v>
      </x:c>
      <x:c r="D315" s="63" t="str">
        <x:v>Interest-rate risk management</x:v>
      </x:c>
      <x:c r="E315" s="63" t="str">
        <x:v>RISK_MANAGEMENT</x:v>
      </x:c>
      <x:c r="F315" s="63" t="str">
        <x:v>EXPOSURE_NOTIONAL</x:v>
      </x:c>
      <x:c r="G315" s="64" t="b">
        <x:v>1</x:v>
      </x:c>
      <x:c r="H315" s="63" t="str">
        <x:v>SCENARIO_BLOCKED_PENDING_CALIBRATION</x:v>
      </x:c>
      <x:c r="I315" s="63" t="str">
        <x:v>SCENARIO</x:v>
      </x:c>
      <x:c r="J315" s="63" t="str">
        <x:v>E1</x:v>
      </x:c>
      <x:c r="K315" s="81" t="n">
        <x:v>0.6275</x:v>
      </x:c>
      <x:c r="L315" s="82" t="n">
        <x:v>3215664000</x:v>
      </x:c>
      <x:c r="M315" s="82" t="n">
        <x:v>5895384000</x:v>
      </x:c>
      <x:c r="N315" s="82" t="n">
        <x:v>8575104000</x:v>
      </x:c>
      <x:c r="O315" s="63" t="str">
        <x:v>ZAR</x:v>
      </x:c>
      <x:c r="P315" s="81" t="n">
        <x:v>0.282375</x:v>
      </x:c>
      <x:c r="Q315" s="81" t="n">
        <x:v>0.47062499999999996</x:v>
      </x:c>
      <x:c r="R315" s="63" t="n">
        <x:v>0.6275</x:v>
      </x:c>
    </x:row>
    <x:row r="316">
      <x:c r="A316" s="63" t="str">
        <x:v>E20</x:v>
      </x:c>
      <x:c r="B316" s="63" t="str">
        <x:v>Shaftesbury Capital plc</x:v>
      </x:c>
      <x:c r="C316" s="63" t="str">
        <x:v>LIQUIDITY_CASH_MANAGEMENT</x:v>
      </x:c>
      <x:c r="D316" s="63" t="str">
        <x:v>Liquidity and cash management</x:v>
      </x:c>
      <x:c r="E316" s="63" t="str">
        <x:v>TRANSACTION_BANKING</x:v>
      </x:c>
      <x:c r="F316" s="63" t="str">
        <x:v>CASH_WALLET</x:v>
      </x:c>
      <x:c r="G316" s="64" t="b">
        <x:v>1</x:v>
      </x:c>
      <x:c r="H316" s="63" t="str">
        <x:v>SHADOW_ELIGIBLE_REPRESENTATIVE</x:v>
      </x:c>
      <x:c r="I316" s="63" t="str">
        <x:v>POSTERIOR</x:v>
      </x:c>
      <x:c r="J316" s="63" t="str">
        <x:v>E1</x:v>
      </x:c>
      <x:c r="K316" s="81" t="n">
        <x:v>0.00004154099859838899</x:v>
      </x:c>
      <x:c r="L316" s="82" t="n">
        <x:v>154615674.4584548</x:v>
      </x:c>
      <x:c r="M316" s="82" t="n">
        <x:v>245899819.4325149</x:v>
      </x:c>
      <x:c r="N316" s="82" t="n">
        <x:v>538576057.7816342</x:v>
      </x:c>
      <x:c r="O316" s="63" t="str">
        <x:v>ZAR</x:v>
      </x:c>
      <x:c r="P316" s="81" t="n">
        <x:v>0.09252329607965637</x:v>
      </x:c>
      <x:c r="Q316" s="81" t="n">
        <x:v>0.17648603184186895</x:v>
      </x:c>
      <x:c r="R316" s="63" t="n">
        <x:v>0.2526802585434964</x:v>
      </x:c>
    </x:row>
    <x:row r="317">
      <x:c r="A317" s="63" t="str">
        <x:v>E20</x:v>
      </x:c>
      <x:c r="B317" s="63" t="str">
        <x:v>Shaftesbury Capital plc</x:v>
      </x:c>
      <x:c r="C317" s="63" t="str">
        <x:v>MA_AND_STRATEGIC_ADVISORY</x:v>
      </x:c>
      <x:c r="D317" s="63" t="str">
        <x:v>M&amp;A and strategic advisory</x:v>
      </x:c>
      <x:c r="E317" s="63" t="str">
        <x:v>ADVISORY_AND_AGENCY</x:v>
      </x:c>
      <x:c r="F317" s="63" t="str">
        <x:v>TRANSACTION_SIZE</x:v>
      </x:c>
      <x:c r="G317" s="64" t="b">
        <x:v>0</x:v>
      </x:c>
      <x:c r="H317" s="63" t="str">
        <x:v>FAIL_CLOSED_REQUIRED_INPUT_UNAVAILABLE</x:v>
      </x:c>
      <x:c r="I317" s="63" t="str">
        <x:v>SCENARIO</x:v>
      </x:c>
      <x:c r="J317" s="63" t="str">
        <x:v>E0</x:v>
      </x:c>
      <x:c r="K317" s="81"/>
      <x:c r="L317" s="82"/>
      <x:c r="M317" s="82"/>
      <x:c r="N317" s="82"/>
      <x:c r="O317" s="63"/>
      <x:c r="P317" s="81"/>
      <x:c r="Q317" s="81"/>
      <x:c r="R317" s="63" t="str">
        <x:v>No announced or reviewed transaction evidence exists, so no mandate probability or transaction size can be estimated.</x:v>
      </x:c>
    </x:row>
    <x:row r="318">
      <x:c r="A318" s="63" t="str">
        <x:v>E20</x:v>
      </x:c>
      <x:c r="B318" s="63" t="str">
        <x:v>Shaftesbury Capital plc</x:v>
      </x:c>
      <x:c r="C318" s="63" t="str">
        <x:v>PAYMENTS</x:v>
      </x:c>
      <x:c r="D318" s="63" t="str">
        <x:v>Payments</x:v>
      </x:c>
      <x:c r="E318" s="63" t="str">
        <x:v>TRANSACTION_BANKING</x:v>
      </x:c>
      <x:c r="F318" s="63" t="str">
        <x:v>TRANSACTION_WALLET</x:v>
      </x:c>
      <x:c r="G318" s="64" t="b">
        <x:v>1</x:v>
      </x:c>
      <x:c r="H318" s="63" t="str">
        <x:v>SHADOW_ELIGIBLE_REPRESENTATIVE</x:v>
      </x:c>
      <x:c r="I318" s="63" t="str">
        <x:v>POSTERIOR</x:v>
      </x:c>
      <x:c r="J318" s="63" t="str">
        <x:v>E1</x:v>
      </x:c>
      <x:c r="K318" s="81" t="n">
        <x:v>0.00004187441066112761</x:v>
      </x:c>
      <x:c r="L318" s="82" t="n">
        <x:v>83937295.0687641</x:v>
      </x:c>
      <x:c r="M318" s="82" t="n">
        <x:v>120043724.45483819</x:v>
      </x:c>
      <x:c r="N318" s="82" t="n">
        <x:v>205652447.86707705</x:v>
      </x:c>
      <x:c r="O318" s="63" t="str">
        <x:v>ZAR</x:v>
      </x:c>
      <x:c r="P318" s="81" t="n">
        <x:v>0.09159133347322279</x:v>
      </x:c>
      <x:c r="Q318" s="81" t="n">
        <x:v>0.17479369457904248</x:v>
      </x:c>
      <x:c r="R318" s="63" t="n">
        <x:v>0.2503754404830596</x:v>
      </x:c>
    </x:row>
    <x:row r="319">
      <x:c r="A319" s="63" t="str">
        <x:v>E20</x:v>
      </x:c>
      <x:c r="B319" s="63" t="str">
        <x:v>Shaftesbury Capital plc</x:v>
      </x:c>
      <x:c r="C319" s="63" t="str">
        <x:v>PROJECT_FINANCE</x:v>
      </x:c>
      <x:c r="D319" s="63" t="str">
        <x:v>Project finance</x:v>
      </x:c>
      <x:c r="E319" s="63" t="str">
        <x:v>LENDING</x:v>
      </x:c>
      <x:c r="F319" s="63" t="str">
        <x:v>PROJECT_FUNDING_REQUIREMENT</x:v>
      </x:c>
      <x:c r="G319" s="64" t="b">
        <x:v>0</x:v>
      </x:c>
      <x:c r="H319" s="63" t="str">
        <x:v>FAIL_CLOSED_REQUIRED_INPUT_UNAVAILABLE</x:v>
      </x:c>
      <x:c r="I319" s="63" t="str">
        <x:v>SCENARIO</x:v>
      </x:c>
      <x:c r="J319" s="63" t="str">
        <x:v>E0</x:v>
      </x:c>
      <x:c r="K319" s="81"/>
      <x:c r="L319" s="82"/>
      <x:c r="M319" s="82"/>
      <x:c r="N319" s="82"/>
      <x:c r="O319" s="63"/>
      <x:c r="P319" s="81"/>
      <x:c r="Q319" s="81"/>
      <x:c r="R319" s="63" t="str">
        <x:v>No reviewed project, SPV or ring-fenced cash-flow evidence exists for this client. Project finance cannot be sized from a sector assumption, and SPV ownership is never inferred from name similarity.</x:v>
      </x:c>
    </x:row>
    <x:row r="320">
      <x:c r="A320" s="63" t="str">
        <x:v>E20</x:v>
      </x:c>
      <x:c r="B320" s="63" t="str">
        <x:v>Shaftesbury Capital plc</x:v>
      </x:c>
      <x:c r="C320" s="63" t="str">
        <x:v>SUPPLY_CHAIN_FINANCE</x:v>
      </x:c>
      <x:c r="D320" s="63" t="str">
        <x:v>Supply-chain finance</x:v>
      </x:c>
      <x:c r="E320" s="63" t="str">
        <x:v>TRADE_AND_WORKING_CAPITAL</x:v>
      </x:c>
      <x:c r="F320" s="63" t="str">
        <x:v>ELIGIBLE_FLOW</x:v>
      </x:c>
      <x:c r="G320" s="64" t="b">
        <x:v>1</x:v>
      </x:c>
      <x:c r="H320" s="63" t="str">
        <x:v>SCENARIO_BLOCKED_PENDING_CALIBRATION</x:v>
      </x:c>
      <x:c r="I320" s="63" t="str">
        <x:v>SCENARIO</x:v>
      </x:c>
      <x:c r="J320" s="63" t="str">
        <x:v>E0</x:v>
      </x:c>
      <x:c r="K320" s="81" t="n">
        <x:v>0.29000000000000004</x:v>
      </x:c>
      <x:c r="L320" s="82" t="n">
        <x:v>928040.0145</x:v>
      </x:c>
      <x:c r="M320" s="82" t="n">
        <x:v>1856080.029</x:v>
      </x:c>
      <x:c r="N320" s="82" t="n">
        <x:v>2784120.0435</x:v>
      </x:c>
      <x:c r="O320" s="63" t="str">
        <x:v>ZAR</x:v>
      </x:c>
      <x:c r="P320" s="81" t="n">
        <x:v>0.13050000000000003</x:v>
      </x:c>
      <x:c r="Q320" s="81" t="n">
        <x:v>0.21750000000000003</x:v>
      </x:c>
      <x:c r="R320" s="63" t="n">
        <x:v>0.29000000000000004</x:v>
      </x:c>
    </x:row>
    <x:row r="321">
      <x:c r="A321" s="63" t="str">
        <x:v>E20</x:v>
      </x:c>
      <x:c r="B321" s="63" t="str">
        <x:v>Shaftesbury Capital plc</x:v>
      </x:c>
      <x:c r="C321" s="63" t="str">
        <x:v>SUSTAINABLE_FINANCE</x:v>
      </x:c>
      <x:c r="D321" s="63" t="str">
        <x:v>Sustainable finance</x:v>
      </x:c>
      <x:c r="E321" s="63" t="str">
        <x:v>CAPITAL_MARKETS</x:v>
      </x:c>
      <x:c r="F321" s="63" t="str">
        <x:v>ELIGIBLE_CAPEX</x:v>
      </x:c>
      <x:c r="G321" s="64" t="b">
        <x:v>0</x:v>
      </x:c>
      <x:c r="H321" s="63" t="str">
        <x:v>FAIL_CLOSED_REQUIRED_INPUT_UNAVAILABLE</x:v>
      </x:c>
      <x:c r="I321" s="63" t="str">
        <x:v>SCENARIO</x:v>
      </x:c>
      <x:c r="J321" s="63" t="str">
        <x:v>E0</x:v>
      </x:c>
      <x:c r="K321" s="81"/>
      <x:c r="L321" s="82"/>
      <x:c r="M321" s="82"/>
      <x:c r="N321" s="82"/>
      <x:c r="O321" s="63"/>
      <x:c r="P321" s="81"/>
      <x:c r="Q321" s="81"/>
      <x:c r="R321" s="63" t="str">
        <x:v>No reviewed transition target, eligible capex programme or use-of-proceeds framework has been extracted. Sustainable finance requires evidence-qualified eligible expenditure and cannot rest on a sector assumption.</x:v>
      </x:c>
    </x:row>
    <x:row r="322">
      <x:c r="A322" s="63" t="str">
        <x:v>E20</x:v>
      </x:c>
      <x:c r="B322" s="63" t="str">
        <x:v>Shaftesbury Capital plc</x:v>
      </x:c>
      <x:c r="C322" s="63" t="str">
        <x:v>TERM_AND_SYNDICATED_LENDING</x:v>
      </x:c>
      <x:c r="D322" s="63" t="str">
        <x:v>Term and syndicated lending</x:v>
      </x:c>
      <x:c r="E322" s="63" t="str">
        <x:v>LENDING</x:v>
      </x:c>
      <x:c r="F322" s="63" t="str">
        <x:v>FACILITY_SIZE</x:v>
      </x:c>
      <x:c r="G322" s="64" t="b">
        <x:v>1</x:v>
      </x:c>
      <x:c r="H322" s="63" t="str">
        <x:v>SCENARIO_BLOCKED_PENDING_CALIBRATION</x:v>
      </x:c>
      <x:c r="I322" s="63" t="str">
        <x:v>SCENARIO</x:v>
      </x:c>
      <x:c r="J322" s="63" t="str">
        <x:v>E1</x:v>
      </x:c>
      <x:c r="K322" s="81" t="n">
        <x:v>0.8625000000000003</x:v>
      </x:c>
      <x:c r="L322" s="82" t="n">
        <x:v>1694385000</x:v>
      </x:c>
      <x:c r="M322" s="82" t="n">
        <x:v>2070915000.0000002</x:v>
      </x:c>
      <x:c r="N322" s="82" t="n">
        <x:v>2635710000</x:v>
      </x:c>
      <x:c r="O322" s="63" t="str">
        <x:v>ZAR</x:v>
      </x:c>
      <x:c r="P322" s="81" t="n">
        <x:v>0.3825</x:v>
      </x:c>
      <x:c r="Q322" s="81" t="n">
        <x:v>0.6375</x:v>
      </x:c>
      <x:c r="R322" s="63" t="n">
        <x:v>0.85</x:v>
      </x:c>
    </x:row>
    <x:row r="323">
      <x:c r="A323" s="63" t="str">
        <x:v>E20</x:v>
      </x:c>
      <x:c r="B323" s="63" t="str">
        <x:v>Shaftesbury Capital plc</x:v>
      </x:c>
      <x:c r="C323" s="63" t="str">
        <x:v>TRADE_FINANCE</x:v>
      </x:c>
      <x:c r="D323" s="63" t="str">
        <x:v>Trade finance</x:v>
      </x:c>
      <x:c r="E323" s="63" t="str">
        <x:v>TRADE_AND_WORKING_CAPITAL</x:v>
      </x:c>
      <x:c r="F323" s="63" t="str">
        <x:v>ELIGIBLE_FLOW</x:v>
      </x:c>
      <x:c r="G323" s="64" t="b">
        <x:v>1</x:v>
      </x:c>
      <x:c r="H323" s="63" t="str">
        <x:v>SHADOW_ELIGIBLE_REPRESENTATIVE</x:v>
      </x:c>
      <x:c r="I323" s="63" t="str">
        <x:v>POSTERIOR</x:v>
      </x:c>
      <x:c r="J323" s="63" t="str">
        <x:v>E1</x:v>
      </x:c>
      <x:c r="K323" s="81" t="n">
        <x:v>0.0009887631870159948</x:v>
      </x:c>
      <x:c r="L323" s="82" t="n">
        <x:v>19820610.681393392</x:v>
      </x:c>
      <x:c r="M323" s="82" t="n">
        <x:v>35977888.75307019</x:v>
      </x:c>
      <x:c r="N323" s="82" t="n">
        <x:v>92245997.04133254</x:v>
      </x:c>
      <x:c r="O323" s="63" t="str">
        <x:v>ZAR</x:v>
      </x:c>
      <x:c r="P323" s="81" t="n">
        <x:v>0.11559911346581786</x:v>
      </x:c>
      <x:c r="Q323" s="81" t="n">
        <x:v>0.21783507189755258</x:v>
      </x:c>
      <x:c r="R323" s="63" t="n">
        <x:v>0.30825264417025067</x:v>
      </x:c>
    </x:row>
    <x:row r="324">
      <x:c r="A324" s="63" t="str">
        <x:v>E20</x:v>
      </x:c>
      <x:c r="B324" s="63" t="str">
        <x:v>Shaftesbury Capital plc</x:v>
      </x:c>
      <x:c r="C324" s="63" t="str">
        <x:v>WORKING_CAPITAL_REVOLVING</x:v>
      </x:c>
      <x:c r="D324" s="63" t="str">
        <x:v>Working-capital/revolving credit</x:v>
      </x:c>
      <x:c r="E324" s="63" t="str">
        <x:v>LENDING</x:v>
      </x:c>
      <x:c r="F324" s="63" t="str">
        <x:v>FACILITY_SIZE</x:v>
      </x:c>
      <x:c r="G324" s="64" t="b">
        <x:v>0</x:v>
      </x:c>
      <x:c r="H324" s="63" t="str">
        <x:v>FAIL_CLOSED_REQUIRED_INPUT_UNAVAILABLE</x:v>
      </x:c>
      <x:c r="I324" s="63" t="str">
        <x:v>SCENARIO</x:v>
      </x:c>
      <x:c r="J324" s="63" t="str">
        <x:v>E0</x:v>
      </x:c>
      <x:c r="K324" s="81"/>
      <x:c r="L324" s="82"/>
      <x:c r="M324" s="82"/>
      <x:c r="N324" s="82"/>
      <x:c r="O324" s="63"/>
      <x:c r="P324" s="81"/>
      <x:c r="Q324" s="81"/>
      <x:c r="R324" s="63" t="str">
        <x:v>No positive working-capital gap can be computed from reviewed evidence, so a revolving facility cannot be sized.</x:v>
      </x:c>
    </x:row>
  </x:sheetData>
  <x:mergeCells>
    <x:mergeCell ref="A1:R1"/>
    <x:mergeCell ref="A2:R2"/>
  </x:mergeCells>
  <x:conditionalFormatting sqref="A5:R324">
    <x:cfRule type="expression" dxfId="4" priority="1">
      <x:formula>$G5=FALSE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5" hidden="0" customWidth="1"/>
    <x:col min="4" max="4" width="15" hidden="0" customWidth="1"/>
    <x:col min="5" max="5" width="25" hidden="0" customWidth="1"/>
    <x:col min="6" max="6" width="25" hidden="0" customWidth="1"/>
    <x:col min="7" max="7" width="2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72" hidden="0" customWidth="1"/>
    <x:col min="17" max="17" width="30" hidden="0" customWidth="1"/>
  </x:cols>
  <x:sheetData>
    <x:row r="1" ht="36" customHeight="1">
      <x:c r="A1" s="3" t="str">
        <x:v>Eight-Conversation Weekly Coverage Plan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28" customHeight="1">
      <x:c r="A2" s="7" t="str">
        <x:v>Week of 2026-07-06 | scipy.optimize.milp (HiGHS) — Rockafellar-Uryasev CVaR linearisation OPTIMAL | 512 common scenario draws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 ht="30" customHeight="1">
      <x:c r="A4" s="73" t="str">
        <x:v>Rank</x:v>
      </x:c>
      <x:c r="B4" s="73" t="str">
        <x:v>Client</x:v>
      </x:c>
      <x:c r="C4" s="73" t="str">
        <x:v>Sector</x:v>
      </x:c>
      <x:c r="D4" s="73" t="str">
        <x:v>Stakeholder</x:v>
      </x:c>
      <x:c r="E4" s="73" t="str">
        <x:v>Business problem</x:v>
      </x:c>
      <x:c r="F4" s="73" t="str">
        <x:v>Solution</x:v>
      </x:c>
      <x:c r="G4" s="73" t="str">
        <x:v>Family</x:v>
      </x:c>
      <x:c r="H4" s="73" t="str">
        <x:v>Action</x:v>
      </x:c>
      <x:c r="I4" s="73" t="str">
        <x:v>Eligibility</x:v>
      </x:c>
      <x:c r="J4" s="73" t="str">
        <x:v>Client value median</x:v>
      </x:c>
      <x:c r="K4" s="73" t="str">
        <x:v>Bank value median</x:v>
      </x:c>
      <x:c r="L4" s="73" t="str">
        <x:v>Selection stability</x:v>
      </x:c>
      <x:c r="M4" s="73" t="str">
        <x:v>Expected adjusted benefit</x:v>
      </x:c>
      <x:c r="N4" s="73" t="str">
        <x:v>CVaR10</x:v>
      </x:c>
      <x:c r="O4" s="73" t="str">
        <x:v>Frontier</x:v>
      </x:c>
      <x:c r="P4" s="73" t="str">
        <x:v>Why now</x:v>
      </x:c>
      <x:c r="Q4" s="73" t="str">
        <x:v>Conversation ID</x:v>
      </x:c>
    </x:row>
    <x:row r="5">
      <x:c r="A5" s="63" t="n">
        <x:v>1</x:v>
      </x:c>
      <x:c r="B5" s="63" t="str">
        <x:v>Bid Corporation</x:v>
      </x:c>
      <x:c r="C5" s="63" t="str">
        <x:v>consumer</x:v>
      </x:c>
      <x:c r="D5" s="63" t="str">
        <x:v>TREASURER</x:v>
      </x:c>
      <x:c r="E5" s="63" t="str">
        <x:v>Liquidity fragmentation</x:v>
      </x:c>
      <x:c r="F5" s="63" t="str">
        <x:v>Liquidity and cash management</x:v>
      </x:c>
      <x:c r="G5" s="63" t="str">
        <x:v>TRANSACTION_BANKING</x:v>
      </x:c>
      <x:c r="H5" s="63" t="str">
        <x:v>DISCOVERY</x:v>
      </x:c>
      <x:c r="I5" s="63" t="str">
        <x:v>DISCOVERY_ONLY</x:v>
      </x:c>
      <x:c r="J5" s="82" t="n">
        <x:v>13699974.255886909</x:v>
      </x:c>
      <x:c r="K5" s="82" t="n">
        <x:v>3990239.8374591703</x:v>
      </x:c>
      <x:c r="L5" s="81" t="n">
        <x:v>0.7917</x:v>
      </x:c>
      <x:c r="M5" s="81" t="n">
        <x:v>0.164969</x:v>
      </x:c>
      <x:c r="N5" s="81" t="n">
        <x:v>0.120066</x:v>
      </x:c>
      <x:c r="O5" s="63" t="str">
        <x:v>PORTFOLIO_FRONTIER</x:v>
      </x:c>
      <x:c r="P5" s="63" t="str">
        <x:v>No dated, supported trigger event is established for this client and problem. There is no time-critical reason to act this week; the window below reflects background likelihood only.</x:v>
      </x:c>
      <x:c r="Q5" s="63" t="str">
        <x:v>conv:504c125520e75f057de8457a</x:v>
      </x:c>
    </x:row>
    <x:row r="6">
      <x:c r="A6" s="63" t="n">
        <x:v>2</x:v>
      </x:c>
      <x:c r="B6" s="63" t="str">
        <x:v>Sanlam</x:v>
      </x:c>
      <x:c r="C6" s="63" t="str">
        <x:v>insurance</x:v>
      </x:c>
      <x:c r="D6" s="63" t="str">
        <x:v>FINANCE_OPERATIONS</x:v>
      </x:c>
      <x:c r="E6" s="63" t="str">
        <x:v>Payments inefficiency</x:v>
      </x:c>
      <x:c r="F6" s="63" t="str">
        <x:v>Payments</x:v>
      </x:c>
      <x:c r="G6" s="63" t="str">
        <x:v>TRANSACTION_BANKING</x:v>
      </x:c>
      <x:c r="H6" s="63" t="str">
        <x:v>DISCOVERY</x:v>
      </x:c>
      <x:c r="I6" s="63" t="str">
        <x:v>DISCOVERY_ONLY</x:v>
      </x:c>
      <x:c r="J6" s="82" t="n">
        <x:v>17043798.44962556</x:v>
      </x:c>
      <x:c r="K6" s="82" t="n">
        <x:v>3842587.28699085</x:v>
      </x:c>
      <x:c r="L6" s="81" t="n">
        <x:v>0.625</x:v>
      </x:c>
      <x:c r="M6" s="81" t="n">
        <x:v>0.166677</x:v>
      </x:c>
      <x:c r="N6" s="81" t="n">
        <x:v>0.117704</x:v>
      </x:c>
      <x:c r="O6" s="63" t="str">
        <x:v>PORTFOLIO_FRONTIER</x:v>
      </x:c>
      <x:c r="P6" s="63" t="str">
        <x:v>No dated, supported trigger event is established for this client and problem. There is no time-critical reason to act this week; the window below reflects background likelihood only.</x:v>
      </x:c>
      <x:c r="Q6" s="63" t="str">
        <x:v>conv:4dcc62a808b41be93cc51ebd</x:v>
      </x:c>
    </x:row>
    <x:row r="7">
      <x:c r="A7" s="63" t="n">
        <x:v>3</x:v>
      </x:c>
      <x:c r="B7" s="63" t="str">
        <x:v>Sanlam</x:v>
      </x:c>
      <x:c r="C7" s="63" t="str">
        <x:v>insurance</x:v>
      </x:c>
      <x:c r="D7" s="63" t="str">
        <x:v>TREASURER</x:v>
      </x:c>
      <x:c r="E7" s="63" t="str">
        <x:v>Liquidity fragmentation</x:v>
      </x:c>
      <x:c r="F7" s="63" t="str">
        <x:v>Liquidity and cash management</x:v>
      </x:c>
      <x:c r="G7" s="63" t="str">
        <x:v>TRANSACTION_BANKING</x:v>
      </x:c>
      <x:c r="H7" s="63" t="str">
        <x:v>DISCOVERY</x:v>
      </x:c>
      <x:c r="I7" s="63" t="str">
        <x:v>DISCOVERY_ONLY</x:v>
      </x:c>
      <x:c r="J7" s="82" t="n">
        <x:v>17043798.44962556</x:v>
      </x:c>
      <x:c r="K7" s="82" t="n">
        <x:v>3842587.28699085</x:v>
      </x:c>
      <x:c r="L7" s="81" t="n">
        <x:v>0.2917</x:v>
      </x:c>
      <x:c r="M7" s="81" t="n">
        <x:v>0.164145</x:v>
      </x:c>
      <x:c r="N7" s="81" t="n">
        <x:v>0.119109</x:v>
      </x:c>
      <x:c r="O7" s="63" t="str">
        <x:v>PORTFOLIO_FRONTIER</x:v>
      </x:c>
      <x:c r="P7" s="63" t="str">
        <x:v>No dated, supported trigger event is established for this client and problem. There is no time-critical reason to act this week; the window below reflects background likelihood only.</x:v>
      </x:c>
      <x:c r="Q7" s="63" t="str">
        <x:v>conv:57bc02dc26b94d7df908b280</x:v>
      </x:c>
    </x:row>
    <x:row r="8">
      <x:c r="A8" s="63" t="n">
        <x:v>4</x:v>
      </x:c>
      <x:c r="B8" s="63" t="str">
        <x:v>BHP Group</x:v>
      </x:c>
      <x:c r="C8" s="63" t="str">
        <x:v>mining</x:v>
      </x:c>
      <x:c r="D8" s="63" t="str">
        <x:v>TREASURER</x:v>
      </x:c>
      <x:c r="E8" s="63" t="str">
        <x:v>FX exposure</x:v>
      </x:c>
      <x:c r="F8" s="63" t="str">
        <x:v>Cross-border FX</x:v>
      </x:c>
      <x:c r="G8" s="63" t="str">
        <x:v>RISK_MANAGEMENT</x:v>
      </x:c>
      <x:c r="H8" s="63" t="str">
        <x:v>DISCOVERY</x:v>
      </x:c>
      <x:c r="I8" s="63" t="str">
        <x:v>DISCOVERY_ONLY</x:v>
      </x:c>
      <x:c r="J8" s="82" t="n">
        <x:v>14644484.693159997</x:v>
      </x:c>
      <x:c r="K8" s="82" t="n">
        <x:v>8059727.110613627</x:v>
      </x:c>
      <x:c r="L8" s="81" t="n">
        <x:v>0.3333</x:v>
      </x:c>
      <x:c r="M8" s="81" t="n">
        <x:v>0.158346</x:v>
      </x:c>
      <x:c r="N8" s="81" t="n">
        <x:v>0.11153</x:v>
      </x:c>
      <x:c r="O8" s="63" t="str">
        <x:v>PORTFOLIO_FRONTIER</x:v>
      </x:c>
      <x:c r="P8" s="63" t="str">
        <x:v>No dated, supported trigger event is established for this client and problem. There is no time-critical reason to act this week; the window below reflects background likelihood only.</x:v>
      </x:c>
      <x:c r="Q8" s="63" t="str">
        <x:v>conv:686ef2a1e7530b6d84a28714</x:v>
      </x:c>
    </x:row>
    <x:row r="9">
      <x:c r="A9" s="63" t="n">
        <x:v>5</x:v>
      </x:c>
      <x:c r="B9" s="63" t="str">
        <x:v>Shoprite Holdings</x:v>
      </x:c>
      <x:c r="C9" s="63" t="str">
        <x:v>consumer</x:v>
      </x:c>
      <x:c r="D9" s="63" t="str">
        <x:v>TREASURER</x:v>
      </x:c>
      <x:c r="E9" s="63" t="str">
        <x:v>FX exposure</x:v>
      </x:c>
      <x:c r="F9" s="63" t="str">
        <x:v>Cross-border FX</x:v>
      </x:c>
      <x:c r="G9" s="63" t="str">
        <x:v>RISK_MANAGEMENT</x:v>
      </x:c>
      <x:c r="H9" s="63" t="str">
        <x:v>DISCOVERY</x:v>
      </x:c>
      <x:c r="I9" s="63" t="str">
        <x:v>DISCOVERY_ONLY</x:v>
      </x:c>
      <x:c r="J9" s="82" t="n">
        <x:v>5864009.507289702</x:v>
      </x:c>
      <x:c r="K9" s="82" t="n">
        <x:v>416150.4051456016</x:v>
      </x:c>
      <x:c r="L9" s="81" t="n">
        <x:v>1</x:v>
      </x:c>
      <x:c r="M9" s="81" t="n">
        <x:v>0.151372</x:v>
      </x:c>
      <x:c r="N9" s="81" t="n">
        <x:v>0.104021</x:v>
      </x:c>
      <x:c r="O9" s="63" t="str">
        <x:v>PORTFOLIO_FRONTIER</x:v>
      </x:c>
      <x:c r="P9" s="63" t="str">
        <x:v>No dated, supported trigger event is established for this client and problem. There is no time-critical reason to act this week; the window below reflects background likelihood only.</x:v>
      </x:c>
      <x:c r="Q9" s="63" t="str">
        <x:v>conv:0fde130159d2456e74470bd8</x:v>
      </x:c>
    </x:row>
    <x:row r="10">
      <x:c r="A10" s="63" t="n">
        <x:v>6</x:v>
      </x:c>
      <x:c r="B10" s="63" t="str">
        <x:v>MTN Group</x:v>
      </x:c>
      <x:c r="C10" s="63" t="str">
        <x:v>telecoms</x:v>
      </x:c>
      <x:c r="D10" s="63" t="str">
        <x:v>TREASURER</x:v>
      </x:c>
      <x:c r="E10" s="63" t="str">
        <x:v>FX exposure</x:v>
      </x:c>
      <x:c r="F10" s="63" t="str">
        <x:v>Cross-border FX</x:v>
      </x:c>
      <x:c r="G10" s="63" t="str">
        <x:v>RISK_MANAGEMENT</x:v>
      </x:c>
      <x:c r="H10" s="63" t="str">
        <x:v>DISCOVERY</x:v>
      </x:c>
      <x:c r="I10" s="63" t="str">
        <x:v>DISCOVERY_ONLY</x:v>
      </x:c>
      <x:c r="J10" s="82" t="n">
        <x:v>11871141.548220752</x:v>
      </x:c>
      <x:c r="K10" s="82" t="n">
        <x:v>8370638.218229776</x:v>
      </x:c>
      <x:c r="L10" s="81" t="n">
        <x:v>1</x:v>
      </x:c>
      <x:c r="M10" s="81" t="n">
        <x:v>0.150073</x:v>
      </x:c>
      <x:c r="N10" s="81" t="n">
        <x:v>0.10396</x:v>
      </x:c>
      <x:c r="O10" s="63" t="str">
        <x:v>PORTFOLIO_FRONTIER</x:v>
      </x:c>
      <x:c r="P10" s="63" t="str">
        <x:v>No dated, supported trigger event is established for this client and problem. There is no time-critical reason to act this week; the window below reflects background likelihood only.</x:v>
      </x:c>
      <x:c r="Q10" s="63" t="str">
        <x:v>conv:4e544ae7a21dd12ec6799cf6</x:v>
      </x:c>
    </x:row>
    <x:row r="11">
      <x:c r="A11" s="63" t="n">
        <x:v>7</x:v>
      </x:c>
      <x:c r="B11" s="63" t="str">
        <x:v>BHP Group</x:v>
      </x:c>
      <x:c r="C11" s="63" t="str">
        <x:v>mining</x:v>
      </x:c>
      <x:c r="D11" s="63" t="str">
        <x:v>COO</x:v>
      </x:c>
      <x:c r="E11" s="63" t="str">
        <x:v>Supply-chain risk</x:v>
      </x:c>
      <x:c r="F11" s="63" t="str">
        <x:v>Trade finance</x:v>
      </x:c>
      <x:c r="G11" s="63" t="str">
        <x:v>TRADE_AND_WORKING_CAPITAL</x:v>
      </x:c>
      <x:c r="H11" s="63" t="str">
        <x:v>DISCOVERY</x:v>
      </x:c>
      <x:c r="I11" s="63" t="str">
        <x:v>DISCOVERY_ONLY</x:v>
      </x:c>
      <x:c r="J11" s="82" t="n">
        <x:v>7907086849.315069</x:v>
      </x:c>
      <x:c r="K11" s="82" t="n">
        <x:v>11454815.038353356</x:v>
      </x:c>
      <x:c r="L11" s="81" t="n">
        <x:v>0.7917</x:v>
      </x:c>
      <x:c r="M11" s="81" t="n">
        <x:v>0.072145</x:v>
      </x:c>
      <x:c r="N11" s="81" t="n">
        <x:v>0.048783</x:v>
      </x:c>
      <x:c r="O11" s="63" t="str">
        <x:v>PORTFOLIO_FRONTIER</x:v>
      </x:c>
      <x:c r="P11" s="63" t="str">
        <x:v>106 bank-observed trade events are dated inside the next 90 days. The event is dated 2026-08-14 (45 days away) and preparation takes about 45 days, so the conversation window opens 2026-06-30.</x:v>
      </x:c>
      <x:c r="Q11" s="63" t="str">
        <x:v>conv:776b644f9e2a4dfbc5da7bb1</x:v>
      </x:c>
    </x:row>
    <x:row r="12">
      <x:c r="A12" s="63" t="n">
        <x:v>8</x:v>
      </x:c>
      <x:c r="B12" s="63" t="str">
        <x:v>Shoprite Holdings</x:v>
      </x:c>
      <x:c r="C12" s="63" t="str">
        <x:v>consumer</x:v>
      </x:c>
      <x:c r="D12" s="63" t="str">
        <x:v>COO</x:v>
      </x:c>
      <x:c r="E12" s="63" t="str">
        <x:v>Supply-chain risk</x:v>
      </x:c>
      <x:c r="F12" s="63" t="str">
        <x:v>Trade finance</x:v>
      </x:c>
      <x:c r="G12" s="63" t="str">
        <x:v>TRADE_AND_WORKING_CAPITAL</x:v>
      </x:c>
      <x:c r="H12" s="63" t="str">
        <x:v>DISCOVERY</x:v>
      </x:c>
      <x:c r="I12" s="63" t="str">
        <x:v>DISCOVERY_ONLY</x:v>
      </x:c>
      <x:c r="J12" s="82" t="n">
        <x:v>2619986301.369863</x:v>
      </x:c>
      <x:c r="K12" s="82" t="n">
        <x:v>1539017.496007613</x:v>
      </x:c>
      <x:c r="L12" s="81" t="n">
        <x:v>1</x:v>
      </x:c>
      <x:c r="M12" s="81" t="n">
        <x:v>0.069922</x:v>
      </x:c>
      <x:c r="N12" s="81" t="n">
        <x:v>0.046864</x:v>
      </x:c>
      <x:c r="O12" s="63" t="str">
        <x:v>PORTFOLIO_FRONTIER</x:v>
      </x:c>
      <x:c r="P12" s="63" t="str">
        <x:v>152 bank-observed trade events are dated inside the next 90 days. The event is dated 2026-08-14 (45 days away) and preparation takes about 45 days, so the conversation window opens 2026-06-30.</x:v>
      </x:c>
      <x:c r="Q12" s="63" t="str">
        <x:v>conv:dcb34f9d3ff8878d757df2ad</x:v>
      </x:c>
    </x:row>
  </x:sheetData>
  <x:mergeCells>
    <x:mergeCell ref="A1:Q1"/>
    <x:mergeCell ref="A2:Q2"/>
  </x:mergeCells>
  <x:conditionalFormatting sqref="A5:Q12">
    <x:cfRule type="expression" dxfId="5" priority="1">
      <x:formula>$H5="DISCOVERY"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0" hidden="0" customWidth="1"/>
    <x:col min="8" max="8" width="40" hidden="0" customWidth="1"/>
  </x:cols>
  <x:sheetData>
    <x:row r="1" ht="36" customHeight="1">
      <x:c r="A1" s="3" t="str">
        <x:v>Workbook &amp; Decision Controls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Checks reconcile the workbook to the V3.1 validation report; open external gates are reported rather than disguised.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87" t="str">
        <x:v>Check</x:v>
      </x:c>
      <x:c r="B4" s="87" t="str">
        <x:v>Actual</x:v>
      </x:c>
      <x:c r="C4" s="87" t="str">
        <x:v>Expected</x:v>
      </x:c>
      <x:c r="D4" s="87" t="str">
        <x:v>Difference</x:v>
      </x:c>
      <x:c r="E4" s="87" t="str">
        <x:v>Tolerance</x:v>
      </x:c>
      <x:c r="F4" s="87" t="str">
        <x:v>Status</x:v>
      </x:c>
      <x:c r="G4" s="87" t="str">
        <x:v>Where to fix</x:v>
      </x:c>
      <x:c r="H4" s="87" t="str">
        <x:v>Notes</x:v>
      </x:c>
    </x:row>
    <x:row r="5">
      <x:c r="A5" s="63" t="str">
        <x:v>Clients</x:v>
      </x:c>
      <x:c r="B5" s="63" t="n">
        <x:f>COUNTA('Client Coverage'!$A$5:$A$24)</x:f>
        <x:v>20</x:v>
      </x:c>
      <x:c r="C5" s="63" t="n">
        <x:v>20</x:v>
      </x:c>
      <x:c r="D5" s="63" t="n">
        <x:f>B5-C5</x:f>
        <x:v>0</x:v>
      </x:c>
      <x:c r="E5" s="63" t="n">
        <x:v>0</x:v>
      </x:c>
      <x:c r="F5" s="63" t="str">
        <x:f>IF(ABS(D5)&lt;=E5,"OK","FAIL")</x:f>
        <x:v>OK</x:v>
      </x:c>
      <x:c r="G5" s="63" t="str">
        <x:v>Contracts/evidence</x:v>
      </x:c>
      <x:c r="H5" s="63" t="str"/>
    </x:row>
    <x:row r="6">
      <x:c r="A6" s="63" t="str">
        <x:v>Twin components</x:v>
      </x:c>
      <x:c r="B6" s="63" t="n">
        <x:f>COUNTA('Business Twin'!$A$5:$A$244)</x:f>
        <x:v>240</x:v>
      </x:c>
      <x:c r="C6" s="63" t="n">
        <x:v>240</x:v>
      </x:c>
      <x:c r="D6" s="63" t="n">
        <x:f>B6-C6</x:f>
        <x:v>0</x:v>
      </x:c>
      <x:c r="E6" s="63" t="n">
        <x:v>0</x:v>
      </x:c>
      <x:c r="F6" s="63" t="str">
        <x:f>IF(ABS(D6)&lt;=E6,"OK","FAIL")</x:f>
        <x:v>OK</x:v>
      </x:c>
      <x:c r="G6" s="63" t="str">
        <x:v>Business Twin</x:v>
      </x:c>
      <x:c r="H6" s="63" t="str"/>
    </x:row>
    <x:row r="7">
      <x:c r="A7" s="63" t="str">
        <x:v>Typed evidence claims</x:v>
      </x:c>
      <x:c r="B7" s="63" t="n">
        <x:f>COUNTA('Evidence Claims'!$A$5:$A$909)</x:f>
        <x:v>905</x:v>
      </x:c>
      <x:c r="C7" s="63" t="n">
        <x:v>905</x:v>
      </x:c>
      <x:c r="D7" s="63" t="n">
        <x:f>B7-C7</x:f>
        <x:v>0</x:v>
      </x:c>
      <x:c r="E7" s="63" t="n">
        <x:v>0</x:v>
      </x:c>
      <x:c r="F7" s="63" t="str">
        <x:f>IF(ABS(D7)&lt;=E7,"OK","FAIL")</x:f>
        <x:v>OK</x:v>
      </x:c>
      <x:c r="G7" s="63" t="str">
        <x:v>Evidence programme</x:v>
      </x:c>
      <x:c r="H7" s="63" t="str"/>
    </x:row>
    <x:row r="8">
      <x:c r="A8" s="63" t="str">
        <x:v>Pending facts</x:v>
      </x:c>
      <x:c r="B8" s="63" t="n">
        <x:f>COUNTIF('Evidence Claims'!$P$5:$P$909,"PENDING_REVIEW")</x:f>
        <x:v>51</x:v>
      </x:c>
      <x:c r="C8" s="63" t="n">
        <x:v>51</x:v>
      </x:c>
      <x:c r="D8" s="63" t="n">
        <x:f>B8-C8</x:f>
        <x:v>0</x:v>
      </x:c>
      <x:c r="E8" s="63" t="n">
        <x:v>0</x:v>
      </x:c>
      <x:c r="F8" s="63" t="str">
        <x:f>IF(ABS(D8)&lt;=E8,"OK","FAIL")</x:f>
        <x:v>OK</x:v>
      </x:c>
      <x:c r="G8" s="63" t="str">
        <x:v>Finance-SME review</x:v>
      </x:c>
      <x:c r="H8" s="63" t="str"/>
    </x:row>
    <x:row r="9">
      <x:c r="A9" s="63" t="str">
        <x:v>Solution projections</x:v>
      </x:c>
      <x:c r="B9" s="63" t="n">
        <x:f>COUNTA('Solution Estimates'!$A$5:$A$324)</x:f>
        <x:v>320</x:v>
      </x:c>
      <x:c r="C9" s="63" t="n">
        <x:v>320</x:v>
      </x:c>
      <x:c r="D9" s="63" t="n">
        <x:f>B9-C9</x:f>
        <x:v>0</x:v>
      </x:c>
      <x:c r="E9" s="63" t="n">
        <x:v>0</x:v>
      </x:c>
      <x:c r="F9" s="63" t="str">
        <x:f>IF(ABS(D9)&lt;=E9,"OK","FAIL")</x:f>
        <x:v>OK</x:v>
      </x:c>
      <x:c r="G9" s="63" t="str">
        <x:v>Solution estimators</x:v>
      </x:c>
      <x:c r="H9" s="63" t="str"/>
    </x:row>
    <x:row r="10">
      <x:c r="A10" s="63" t="str">
        <x:v>Weekly plan capacity</x:v>
      </x:c>
      <x:c r="B10" s="63" t="n">
        <x:f>COUNTA('Weekly Plan'!$A$5:$A$12)</x:f>
        <x:v>8</x:v>
      </x:c>
      <x:c r="C10" s="63" t="n">
        <x:v>8</x:v>
      </x:c>
      <x:c r="D10" s="63" t="n">
        <x:f>B10-C10</x:f>
        <x:v>0</x:v>
      </x:c>
      <x:c r="E10" s="63" t="n">
        <x:v>0</x:v>
      </x:c>
      <x:c r="F10" s="63" t="str">
        <x:f>IF(ABS(D10)&lt;=E10,"OK","FAIL")</x:f>
        <x:v>OK</x:v>
      </x:c>
      <x:c r="G10" s="63" t="str">
        <x:v>Coverage optimizer</x:v>
      </x:c>
      <x:c r="H10" s="63" t="str"/>
    </x:row>
    <x:row r="11">
      <x:c r="A11" s="63" t="str">
        <x:v>Named stakeholders</x:v>
      </x:c>
      <x:c r="B11" s="63" t="n">
        <x:v>0</x:v>
      </x:c>
      <x:c r="C11" s="63" t="n">
        <x:v>0</x:v>
      </x:c>
      <x:c r="D11" s="63" t="n">
        <x:f>B11-C11</x:f>
        <x:v>0</x:v>
      </x:c>
      <x:c r="E11" s="63" t="n">
        <x:v>0</x:v>
      </x:c>
      <x:c r="F11" s="63" t="str">
        <x:f>IF(ABS(D11)&lt;=E11,"OK","FAIL")</x:f>
        <x:v>OK</x:v>
      </x:c>
      <x:c r="G11" s="63" t="str">
        <x:v>Stakeholder policy</x:v>
      </x:c>
      <x:c r="H11" s="63" t="str"/>
    </x:row>
    <x:row r="12">
      <x:c r="A12" s="63" t="str">
        <x:v>Opaque confidence scores</x:v>
      </x:c>
      <x:c r="B12" s="63" t="n">
        <x:v>0</x:v>
      </x:c>
      <x:c r="C12" s="63" t="n">
        <x:v>0</x:v>
      </x:c>
      <x:c r="D12" s="63" t="n">
        <x:f>B12-C12</x:f>
        <x:v>0</x:v>
      </x:c>
      <x:c r="E12" s="63" t="n">
        <x:v>0</x:v>
      </x:c>
      <x:c r="F12" s="63" t="str">
        <x:f>IF(ABS(D12)&lt;=E12,"OK","FAIL")</x:f>
        <x:v>OK</x:v>
      </x:c>
      <x:c r="G12" s="63" t="str">
        <x:v>Workbench</x:v>
      </x:c>
      <x:c r="H12" s="63" t="str"/>
    </x:row>
    <x:row r="13">
      <x:c r="A13" s="63" t="str">
        <x:v>Measured competitor-share claims</x:v>
      </x:c>
      <x:c r="B13" s="63" t="n">
        <x:v>0</x:v>
      </x:c>
      <x:c r="C13" s="63" t="n">
        <x:v>0</x:v>
      </x:c>
      <x:c r="D13" s="63" t="n">
        <x:f>B13-C13</x:f>
        <x:v>0</x:v>
      </x:c>
      <x:c r="E13" s="63" t="n">
        <x:v>0</x:v>
      </x:c>
      <x:c r="F13" s="63" t="str">
        <x:f>IF(ABS(D13)&lt;=E13,"OK","FAIL")</x:f>
        <x:v>OK</x:v>
      </x:c>
      <x:c r="G13" s="63" t="str">
        <x:v>Claim compiler</x:v>
      </x:c>
      <x:c r="H13" s="63" t="str"/>
    </x:row>
    <x:row r="14">
      <x:c r="A14" s="63" t="str">
        <x:v>Causal value claims</x:v>
      </x:c>
      <x:c r="B14" s="63" t="n">
        <x:v>0</x:v>
      </x:c>
      <x:c r="C14" s="63" t="n">
        <x:v>0</x:v>
      </x:c>
      <x:c r="D14" s="63" t="n">
        <x:f>B14-C14</x:f>
        <x:v>0</x:v>
      </x:c>
      <x:c r="E14" s="63" t="n">
        <x:v>0</x:v>
      </x:c>
      <x:c r="F14" s="63" t="str">
        <x:f>IF(ABS(D14)&lt;=E14,"OK","FAIL")</x:f>
        <x:v>OK</x:v>
      </x:c>
      <x:c r="G14" s="63" t="str">
        <x:v>Experiment gate</x:v>
      </x:c>
      <x:c r="H14" s="63" t="str"/>
    </x:row>
    <x:row r="16" ht="28" customHeight="1">
      <x:c r="A16" s="88" t="str">
        <x:v>MODEL STATUS</x:v>
      </x:c>
      <x:c r="B16" s="88"/>
      <x:c r="C16" s="88"/>
      <x:c r="D16" s="88"/>
      <x:c r="E16" s="88"/>
      <x:c r="F16" s="88" t="str">
        <x:f>IF(COUNTIF(F5:F14,"FAIL")=0,"PASS — INTERNAL REPRODUCTION","FAIL")</x:f>
        <x:v>PASS — INTERNAL REPRODUCTION</x:v>
      </x:c>
      <x:c r="G16" s="88"/>
      <x:c r="H16" s="88"/>
    </x:row>
    <x:row r="18">
      <x:c r="A18" s="43" t="str">
        <x:v>External production gates remain open: the 15-approved-E1-per-client threshold, E3 multibank calibration, bank-approved economics, bank infrastructure/identity/entitlements/SIEM, live-provider adjudication, RM pilot, randomized trial and 30 clean shadow days. Internal PASS never means bank-production promotability.</x:v>
      </x:c>
      <x:c r="B18" s="43"/>
      <x:c r="C18" s="43"/>
      <x:c r="D18" s="43"/>
      <x:c r="E18" s="43"/>
      <x:c r="F18" s="43"/>
      <x:c r="G18" s="43"/>
      <x:c r="H18" s="43"/>
    </x:row>
    <x:row r="19">
      <x:c r="A19" s="43"/>
      <x:c r="B19" s="43"/>
      <x:c r="C19" s="43"/>
      <x:c r="D19" s="43"/>
      <x:c r="E19" s="43"/>
      <x:c r="F19" s="43"/>
      <x:c r="G19" s="43"/>
      <x:c r="H19" s="43"/>
    </x:row>
    <x:row r="20">
      <x:c r="A20" s="43"/>
      <x:c r="B20" s="43"/>
      <x:c r="C20" s="43"/>
      <x:c r="D20" s="43"/>
      <x:c r="E20" s="43"/>
      <x:c r="F20" s="43"/>
      <x:c r="G20" s="43"/>
      <x:c r="H20" s="43"/>
    </x:row>
    <x:row r="21">
      <x:c r="A21" s="43"/>
      <x:c r="B21" s="43"/>
      <x:c r="C21" s="43"/>
      <x:c r="D21" s="43"/>
      <x:c r="E21" s="43"/>
      <x:c r="F21" s="43"/>
      <x:c r="G21" s="43"/>
      <x:c r="H21" s="43"/>
    </x:row>
  </x:sheetData>
  <x:mergeCells>
    <x:mergeCell ref="A1:H1"/>
    <x:mergeCell ref="A2:H2"/>
    <x:mergeCell ref="A16:E16"/>
    <x:mergeCell ref="F16:H16"/>
    <x:mergeCell ref="A18:H21"/>
  </x:mergeCells>
  <x:conditionalFormatting sqref="F5:F14">
    <x:cfRule type="containsText" dxfId="6" priority="1" operator="containsText" text="OK"/>
    <x:cfRule type="containsText" dxfId="7" priority="2" operator="containsText" text="FAIL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75" hidden="0" customWidth="1"/>
    <x:col min="5" max="5" width="20" hidden="0" customWidth="1"/>
    <x:col min="6" max="6" width="46" hidden="0" customWidth="1"/>
  </x:cols>
  <x:sheetData>
    <x:row r="1" ht="36" customHeight="1">
      <x:c r="A1" s="3" t="str">
        <x:v>Sources &amp; Artifact Lineage</x:v>
      </x:c>
      <x:c r="B1" s="3"/>
      <x:c r="C1" s="3"/>
      <x:c r="D1" s="3"/>
      <x:c r="E1" s="3"/>
      <x:c r="F1" s="3"/>
    </x:row>
    <x:row r="2" ht="28" customHeight="1">
      <x:c r="A2" s="7" t="str">
        <x:v>Stable repository paths and public-source URLs needed to reproduce and audit this workbook.</x:v>
      </x:c>
      <x:c r="B2" s="7"/>
      <x:c r="C2" s="7"/>
      <x:c r="D2" s="7"/>
      <x:c r="E2" s="7"/>
      <x:c r="F2" s="7"/>
    </x:row>
    <x:row r="4" ht="30" customHeight="1">
      <x:c r="A4" s="79" t="str">
        <x:v>Item</x:v>
      </x:c>
      <x:c r="B4" s="79" t="str">
        <x:v>Type</x:v>
      </x:c>
      <x:c r="C4" s="79" t="str">
        <x:v>As-of</x:v>
      </x:c>
      <x:c r="D4" s="79" t="str">
        <x:v>Source / path</x:v>
      </x:c>
      <x:c r="E4" s="79" t="str">
        <x:v>Owner</x:v>
      </x:c>
      <x:c r="F4" s="79" t="str">
        <x:v>Notes</x:v>
      </x:c>
    </x:row>
    <x:row r="5">
      <x:c r="A5" s="63" t="str">
        <x:v>V3.1 business claims</x:v>
      </x:c>
      <x:c r="B5" s="63" t="str">
        <x:v>Repository artifact</x:v>
      </x:c>
      <x:c r="C5" s="63" t="str">
        <x:v>2026-06-30</x:v>
      </x:c>
      <x:c r="D5" s="63" t="str">
        <x:v>outputs/v31/v31_business_evidence_claims.json</x:v>
      </x:c>
      <x:c r="E5" s="63" t="str">
        <x:v>Evidence service</x:v>
      </x:c>
      <x:c r="F5" s="63" t="str">
        <x:v>Typed and versioned claims</x:v>
      </x:c>
    </x:row>
    <x:row r="6">
      <x:c r="A6" s="63" t="str">
        <x:v>V3.1 Business Twins</x:v>
      </x:c>
      <x:c r="B6" s="63" t="str">
        <x:v>Repository artifact</x:v>
      </x:c>
      <x:c r="C6" s="63" t="str">
        <x:v>2026-06-30</x:v>
      </x:c>
      <x:c r="D6" s="63" t="str">
        <x:v>outputs/v31/v31_business_twins.json</x:v>
      </x:c>
      <x:c r="E6" s="63" t="str">
        <x:v>Business Twin service</x:v>
      </x:c>
      <x:c r="F6" s="63" t="str">
        <x:v>Twenty point-in-time snapshots</x:v>
      </x:c>
    </x:row>
    <x:row r="7">
      <x:c r="A7" s="63" t="str">
        <x:v>V3.1 solution estimates</x:v>
      </x:c>
      <x:c r="B7" s="63" t="str">
        <x:v>Repository artifact</x:v>
      </x:c>
      <x:c r="C7" s="63" t="str">
        <x:v>2026-06-30</x:v>
      </x:c>
      <x:c r="D7" s="63" t="str">
        <x:v>outputs/v31/v31_solution_estimates.json</x:v>
      </x:c>
      <x:c r="E7" s="63" t="str">
        <x:v>Wallet model service</x:v>
      </x:c>
      <x:c r="F7" s="63" t="str">
        <x:v>320 projections including fail-closed rows</x:v>
      </x:c>
    </x:row>
    <x:row r="8">
      <x:c r="A8" s="63" t="str">
        <x:v>V3.1 weekly plan</x:v>
      </x:c>
      <x:c r="B8" s="63" t="str">
        <x:v>Repository artifact</x:v>
      </x:c>
      <x:c r="C8" s="63" t="str">
        <x:v>2026-07-06</x:v>
      </x:c>
      <x:c r="D8" s="63" t="str">
        <x:v>outputs/v31/v31_coverage_plan.json</x:v>
      </x:c>
      <x:c r="E8" s="63" t="str">
        <x:v>Recommendation service</x:v>
      </x:c>
      <x:c r="F8" s="63" t="str">
        <x:v>CVaR plan and constraints</x:v>
      </x:c>
    </x:row>
    <x:row r="9">
      <x:c r="A9" s="63" t="str">
        <x:v>V3.1 validation</x:v>
      </x:c>
      <x:c r="B9" s="63" t="str">
        <x:v>Repository artifact</x:v>
      </x:c>
      <x:c r="C9" s="63" t="str">
        <x:v>2026-06-30</x:v>
      </x:c>
      <x:c r="D9" s="63" t="str">
        <x:v>outputs/v31/v31_validation_report.json</x:v>
      </x:c>
      <x:c r="E9" s="63" t="str">
        <x:v>Model risk</x:v>
      </x:c>
      <x:c r="F9" s="63" t="str">
        <x:v>Reproduction and open-gate report</x:v>
      </x:c>
    </x:row>
    <x:row r="10">
      <x:c r="A10" s="63" t="str">
        <x:v>Audited current debt-maturity/refinancing anchor</x:v>
      </x:c>
      <x:c r="B10" s="63" t="str">
        <x:v>Public evidence</x:v>
      </x:c>
      <x:c r="C10" s="63" t="str">
        <x:v>2025-08-19</x:v>
      </x:c>
      <x:c r="D10" s="63" t="str">
        <x:v>https://www.bhp.com/-/media/documents/investors/annual-reports/2025/250819_bhpannualreport2025.pdf</x:v>
      </x:c>
      <x:c r="E10" s="63" t="str">
        <x:v>Finance SME</x:v>
      </x:c>
      <x:c r="F10" s="63" t="str">
        <x:v>Claim bec:E01:maturity:current-debt; page 119; available 2025-08-19</x:v>
      </x:c>
    </x:row>
    <x:row r="11">
      <x:c r="A11" s="63" t="str">
        <x:v>Syn Bank transaction and relationship simulation</x:v>
      </x:c>
      <x:c r="B11" s="63" t="str">
        <x:v>Governed/simulated source</x:v>
      </x:c>
      <x:c r="C11" s="63" t="str">
        <x:v>2026-06-30</x:v>
      </x:c>
      <x:c r="D11" s="63" t="str">
        <x:v>internal://syn-bank/simulation/ltm</x:v>
      </x:c>
      <x:c r="E11" s="63" t="str">
        <x:v>Coverage Analytics</x:v>
      </x:c>
      <x:c r="F11" s="63" t="str">
        <x:v>Claim bec:E20:obs:events:trade-90d-value; page n/a; available 2026-06-30</x:v>
      </x:c>
    </x:row>
    <x:row r="12">
      <x:c r="A12" s="63" t="str">
        <x:v>Governed sector operating-model and responsibility policy</x:v>
      </x:c>
      <x:c r="B12" s="63" t="str">
        <x:v>Governed/simulated source</x:v>
      </x:c>
      <x:c r="C12" s="63" t="str">
        <x:v>2026-06-30</x:v>
      </x:c>
      <x:c r="D12" s="63" t="str">
        <x:v>internal://v31/governed-policy</x:v>
      </x:c>
      <x:c r="E12" s="63" t="str">
        <x:v>Coverage Analytics</x:v>
      </x:c>
      <x:c r="F12" s="63" t="str">
        <x:v>Claim bec:E20:struct:responsibility:working_capital_pressure; page n/a; available 2026-06-30</x:v>
      </x:c>
    </x:row>
    <x:row r="13">
      <x:c r="A13" s="63" t="str">
        <x:v>Audited current debt-maturity/refinancing anchor</x:v>
      </x:c>
      <x:c r="B13" s="63" t="str">
        <x:v>Public evidence</x:v>
      </x:c>
      <x:c r="C13" s="63" t="str">
        <x:v>2026-03-10</x:v>
      </x:c>
      <x:c r="D13" s="63" t="str">
        <x:v>https://www.glencore.com/.rest/api/v1/documents/static/9b103e11-72e7-40bf-ae7c-eabe57361522/GLEN-2025-Annual-Report.pdf</x:v>
      </x:c>
      <x:c r="E13" s="63" t="str">
        <x:v>Finance SME</x:v>
      </x:c>
      <x:c r="F13" s="63" t="str">
        <x:v>Claim bec:E02:maturity:current-debt; page 138; available 2026-03-10</x:v>
      </x:c>
    </x:row>
    <x:row r="14">
      <x:c r="A14" s="63" t="str">
        <x:v>Anglo American Integrated Annual Report 2025</x:v>
      </x:c>
      <x:c r="B14" s="63" t="str">
        <x:v>Public evidence</x:v>
      </x:c>
      <x:c r="C14" s="63" t="str">
        <x:v>2026-03-02</x:v>
      </x:c>
      <x:c r="D14" s="63" t="str">
        <x:v>https://www.angloamerican.com/~/media/Files/A/Anglo-American-Group-v9/PLC/investors/annual-reporting/2025/aa-annual-report-full-2025.pdf</x:v>
      </x:c>
      <x:c r="E14" s="63" t="str">
        <x:v>Evidence Review</x:v>
      </x:c>
      <x:c r="F14" s="63" t="str">
        <x:v>Claim bec:AA-2025-DEBT; page 274; available 2026-03-02</x:v>
      </x:c>
    </x:row>
    <x:row r="15">
      <x:c r="A15" s="63" t="str">
        <x:v>AngloGold Ashanti Annual Report 2025</x:v>
      </x:c>
      <x:c r="B15" s="63" t="str">
        <x:v>Public evidence</x:v>
      </x:c>
      <x:c r="C15" s="63" t="str">
        <x:v>2026-03-26</x:v>
      </x:c>
      <x:c r="D15" s="63" t="str">
        <x:v>https://reports.anglogoldashanti.com/25/download/AGA-AR25.pdf</x:v>
      </x:c>
      <x:c r="E15" s="63" t="str">
        <x:v>Evidence Review</x:v>
      </x:c>
      <x:c r="F15" s="63" t="str">
        <x:v>Claim bec:AGA-2025-DEBT; page 160; available 2026-03-26</x:v>
      </x:c>
    </x:row>
    <x:row r="16">
      <x:c r="A16" s="63" t="str">
        <x:v>Gold Fields Annual Financial Report 2025</x:v>
      </x:c>
      <x:c r="B16" s="63" t="str">
        <x:v>Public evidence</x:v>
      </x:c>
      <x:c r="C16" s="63" t="str">
        <x:v>2026-03-27</x:v>
      </x:c>
      <x:c r="D16" s="63" t="str">
        <x:v>https://www.goldfields.com/pdf/investors/integrated-annual-reports/2025/afs-2025.pdf</x:v>
      </x:c>
      <x:c r="E16" s="63" t="str">
        <x:v>Evidence Review</x:v>
      </x:c>
      <x:c r="F16" s="63" t="str">
        <x:v>Claim bec:GF-2025-DEBT; page 74; available 2026-03-27</x:v>
      </x:c>
    </x:row>
    <x:row r="17">
      <x:c r="A17" s="63" t="str">
        <x:v>Valterra Platinum Annual Financial Statements 2025</x:v>
      </x:c>
      <x:c r="B17" s="63" t="str">
        <x:v>Public evidence</x:v>
      </x:c>
      <x:c r="C17" s="63" t="str">
        <x:v>2026-03-27</x:v>
      </x:c>
      <x:c r="D17" s="63" t="str">
        <x:v>https://www.valterraplatinum.com/wp-content/uploads/2026/05/annual-financial-statements-2025.pdf</x:v>
      </x:c>
      <x:c r="E17" s="63" t="str">
        <x:v>Evidence Review</x:v>
      </x:c>
      <x:c r="F17" s="63" t="str">
        <x:v>Claim bec:VALTERRA-2025-DEBT; page 25; available 2026-03-27</x:v>
      </x:c>
    </x:row>
    <x:row r="18">
      <x:c r="A18" s="63" t="str">
        <x:v>OUTsurance Group Annual Financial Statements 2025</x:v>
      </x:c>
      <x:c r="B18" s="63" t="str">
        <x:v>Public evidence</x:v>
      </x:c>
      <x:c r="C18" s="63" t="str">
        <x:v>2025-09-15</x:v>
      </x:c>
      <x:c r="D18" s="63" t="str">
        <x:v>https://group.outsurance.co.za/globalassets/documents/investor-relations/reports-and-results/2025/ogl-annual-financial-statements-2025.pdf</x:v>
      </x:c>
      <x:c r="E18" s="63" t="str">
        <x:v>Evidence Review</x:v>
      </x:c>
      <x:c r="F18" s="63" t="str">
        <x:v>Claim bec:OUT-2025-INS-LIAB; page 21; available 2025-09-15</x:v>
      </x:c>
    </x:row>
    <x:row r="19">
      <x:c r="A19" s="63" t="str">
        <x:v>Sanlam Annual Financial Statements 2024</x:v>
      </x:c>
      <x:c r="B19" s="63" t="str">
        <x:v>Public evidence</x:v>
      </x:c>
      <x:c r="C19" s="63" t="str">
        <x:v>2025-03-07</x:v>
      </x:c>
      <x:c r="D19" s="63" t="str">
        <x:v>https://www.sanlam.com/downloads/integrated-report-and-annual-financial-statements/2024/Sanlam-AFS-2024-spreads.pdf</x:v>
      </x:c>
      <x:c r="E19" s="63" t="str">
        <x:v>Evidence Review</x:v>
      </x:c>
      <x:c r="F19" s="63" t="str">
        <x:v>Claim bec:SANLAM-2024-TERM; page 42; available 2025-03-07</x:v>
      </x:c>
    </x:row>
    <x:row r="20">
      <x:c r="A20" s="63" t="str">
        <x:v>Audited current debt-maturity/refinancing anchor</x:v>
      </x:c>
      <x:c r="B20" s="63" t="str">
        <x:v>Public evidence</x:v>
      </x:c>
      <x:c r="C20" s="63" t="str">
        <x:v>2025-10-13</x:v>
      </x:c>
      <x:c r="D20" s="63" t="str">
        <x:v>https://www.shopriteholdings.co.za/docs/shp-afs-2025.pdf</x:v>
      </x:c>
      <x:c r="E20" s="63" t="str">
        <x:v>Finance SME</x:v>
      </x:c>
      <x:c r="F20" s="63" t="str">
        <x:v>Claim bec:E09:maturity:current-debt; page 18; available 2025-10-13</x:v>
      </x:c>
    </x:row>
    <x:row r="21">
      <x:c r="A21" s="63" t="str">
        <x:v>Bidcorp Annual Integrated Report 2025</x:v>
      </x:c>
      <x:c r="B21" s="63" t="str">
        <x:v>Public evidence</x:v>
      </x:c>
      <x:c r="C21" s="63" t="str">
        <x:v>2025-10-30</x:v>
      </x:c>
      <x:c r="D21" s="63" t="str">
        <x:v>https://www.bidcorpgroup.com/pdf/reports/2025/Bidcorp-2025-AIR.pdf</x:v>
      </x:c>
      <x:c r="E21" s="63" t="str">
        <x:v>Evidence Review</x:v>
      </x:c>
      <x:c r="F21" s="63" t="str">
        <x:v>Claim bec:BIDCORP-2025-CL; page 19; available 2025-10-30</x:v>
      </x:c>
    </x:row>
    <x:row r="22">
      <x:c r="A22" s="63" t="str">
        <x:v>Pepkor Annual Financial Statements 2025</x:v>
      </x:c>
      <x:c r="B22" s="63" t="str">
        <x:v>Public evidence</x:v>
      </x:c>
      <x:c r="C22" s="63" t="str">
        <x:v>2025-12-15</x:v>
      </x:c>
      <x:c r="D22" s="63" t="str">
        <x:v>https://pepkor.co.za/wp-content/uploads/Pepkor-annual-financial-statements-2025.pdf</x:v>
      </x:c>
      <x:c r="E22" s="63" t="str">
        <x:v>Evidence Review</x:v>
      </x:c>
      <x:c r="F22" s="63" t="str">
        <x:v>Claim bec:PEPKOR-2025-DEBT; page 23; available 2025-12-15</x:v>
      </x:c>
    </x:row>
    <x:row r="23">
      <x:c r="A23" s="63" t="str">
        <x:v>Clicks Group Annual Financial Statements 2025</x:v>
      </x:c>
      <x:c r="B23" s="63" t="str">
        <x:v>Public evidence</x:v>
      </x:c>
      <x:c r="C23" s="63" t="str">
        <x:v>2025-11-06</x:v>
      </x:c>
      <x:c r="D23" s="63" t="str">
        <x:v>https://clicksgroup.co.za/iar2025/wp-content/uploads/CGL-YE25-Annual-financial-statements.pdf</x:v>
      </x:c>
      <x:c r="E23" s="63" t="str">
        <x:v>Evidence Review</x:v>
      </x:c>
      <x:c r="F23" s="63" t="str">
        <x:v>Claim bec:CLICKS-2025-PAY; page 10; available 2025-11-06</x:v>
      </x:c>
    </x:row>
    <x:row r="24">
      <x:c r="A24" s="63" t="str">
        <x:v>NEPI Rockcastle Annual Report 2025</x:v>
      </x:c>
      <x:c r="B24" s="63" t="str">
        <x:v>Public evidence</x:v>
      </x:c>
      <x:c r="C24" s="63" t="str">
        <x:v>2026-03-18</x:v>
      </x:c>
      <x:c r="D24" s="63" t="str">
        <x:v>https://nepirockcastle.com/wp-content/uploads/2026/03/NEPI_Rockcastle_Annual_Report_2025.pdf</x:v>
      </x:c>
      <x:c r="E24" s="63" t="str">
        <x:v>Evidence Review</x:v>
      </x:c>
      <x:c r="F24" s="63" t="str">
        <x:v>Claim bec:NEPI-2025-DEBT; page 310; available 2026-03-18</x:v>
      </x:c>
    </x:row>
    <x:row r="25">
      <x:c r="A25" s="63" t="str">
        <x:v>Prosus Annual Report 2026</x:v>
      </x:c>
      <x:c r="B25" s="63" t="str">
        <x:v>Public evidence</x:v>
      </x:c>
      <x:c r="C25" s="63" t="str">
        <x:v>2026-06-29</x:v>
      </x:c>
      <x:c r="D25" s="63" t="str">
        <x:v>https://www.prosus.com/~/media/Files/P/prosus-corp-v2/results-reports-and-events-archive/annual-report/2026/fy2026-annual-report.pdf</x:v>
      </x:c>
      <x:c r="E25" s="63" t="str">
        <x:v>Evidence Review</x:v>
      </x:c>
      <x:c r="F25" s="63" t="str">
        <x:v>Claim bec:PROSUS-2026-DEBT; page 140; available 2026-06-29</x:v>
      </x:c>
    </x:row>
    <x:row r="26">
      <x:c r="A26" s="63" t="str">
        <x:v>Naspers Annual Financial Statements 2026</x:v>
      </x:c>
      <x:c r="B26" s="63" t="str">
        <x:v>Public evidence</x:v>
      </x:c>
      <x:c r="C26" s="63" t="str">
        <x:v>2026-06-29</x:v>
      </x:c>
      <x:c r="D26" s="63" t="str">
        <x:v>https://www.naspers.com/~/media/Files/N/Naspers-Corp-V2/results-reports-and-events-archive/latest-results/fy-2026/naspers-annual-financial-statements-2026.pdf</x:v>
      </x:c>
      <x:c r="E26" s="63" t="str">
        <x:v>Evidence Review</x:v>
      </x:c>
      <x:c r="F26" s="63" t="str">
        <x:v>Claim bec:NASPERS-2026-DEBT; page 32; available 2026-06-29</x:v>
      </x:c>
    </x:row>
    <x:row r="27">
      <x:c r="A27" s="63" t="str">
        <x:v>MTN Group Annual Financial Statements 2025</x:v>
      </x:c>
      <x:c r="B27" s="63" t="str">
        <x:v>Public evidence</x:v>
      </x:c>
      <x:c r="C27" s="63" t="str">
        <x:v>2026-03-16</x:v>
      </x:c>
      <x:c r="D27" s="63" t="str">
        <x:v>https://www.mtn.com/wp-content/uploads/2026/03/MTN-Group-FY-25-Annual-Financial-Statements.pdf</x:v>
      </x:c>
      <x:c r="E27" s="63" t="str">
        <x:v>Evidence Review</x:v>
      </x:c>
      <x:c r="F27" s="63" t="str">
        <x:v>Claim bec:MTN-2025-DEBT; page 23; available 2026-03-16</x:v>
      </x:c>
    </x:row>
    <x:row r="28">
      <x:c r="A28" s="63" t="str">
        <x:v>Vodacom Consolidated and Separate Financial Statements 2026</x:v>
      </x:c>
      <x:c r="B28" s="63" t="str">
        <x:v>Public evidence</x:v>
      </x:c>
      <x:c r="C28" s="63" t="str">
        <x:v>2026-06-12</x:v>
      </x:c>
      <x:c r="D28" s="63" t="str">
        <x:v>https://vodacom-reports.co.za/integrated-reports/ir-2026/documents/vodacom-consolidated-and-separate-financial-statements-2026.pdf</x:v>
      </x:c>
      <x:c r="E28" s="63" t="str">
        <x:v>Evidence Review</x:v>
      </x:c>
      <x:c r="F28" s="63" t="str">
        <x:v>Claim bec:VODACOM-2026-DEBT; page 21; available 2026-06-12</x:v>
      </x:c>
    </x:row>
    <x:row r="29">
      <x:c r="A29" s="63" t="str">
        <x:v>Bidvest Integrated Report 2025</x:v>
      </x:c>
      <x:c r="B29" s="63" t="str">
        <x:v>Public evidence</x:v>
      </x:c>
      <x:c r="C29" s="63" t="str">
        <x:v>2025-10-24</x:v>
      </x:c>
      <x:c r="D29" s="63" t="str">
        <x:v>https://bidvest.co.za/pdf/annual-reports/2025/bidvest-iar-2025.pdf</x:v>
      </x:c>
      <x:c r="E29" s="63" t="str">
        <x:v>Evidence Review</x:v>
      </x:c>
      <x:c r="F29" s="63" t="str">
        <x:v>Claim bec:BIDVEST-2025-DEBT; page 44; available 2025-10-24</x:v>
      </x:c>
    </x:row>
    <x:row r="30">
      <x:c r="A30" s="63" t="str">
        <x:v>Aspen Annual Financial Statements 2025</x:v>
      </x:c>
      <x:c r="B30" s="63" t="str">
        <x:v>Public evidence</x:v>
      </x:c>
      <x:c r="C30" s="63" t="str">
        <x:v>2025-10-02</x:v>
      </x:c>
      <x:c r="D30" s="63" t="str">
        <x:v>https://www.aspenpharma.com/download/annual-financial-statements-2/</x:v>
      </x:c>
      <x:c r="E30" s="63" t="str">
        <x:v>Evidence Review</x:v>
      </x:c>
      <x:c r="F30" s="63" t="str">
        <x:v>Claim bec:ASPEN-2025-DEBT; page 15; available 2025-10-02</x:v>
      </x:c>
    </x:row>
    <x:row r="31">
      <x:c r="A31" s="63" t="str">
        <x:v>Shaftesbury Capital Audited Preliminary Results 2025</x:v>
      </x:c>
      <x:c r="B31" s="63" t="str">
        <x:v>Public evidence</x:v>
      </x:c>
      <x:c r="C31" s="63" t="str">
        <x:v>2026-02-25</x:v>
      </x:c>
      <x:c r="D31" s="63" t="str">
        <x:v>https://senspdf.jse.co.za/documents/2026/JSE/isse/SHCE/FY25Result.pdf</x:v>
      </x:c>
      <x:c r="E31" s="63" t="str">
        <x:v>Evidence Review</x:v>
      </x:c>
      <x:c r="F31" s="63" t="str">
        <x:v>Claim bec:SHC-2025-DEBT; page 22; available 2026-02-25</x:v>
      </x:c>
    </x:row>
  </x:sheetData>
  <x:mergeCells>
    <x:mergeCell ref="A1:F1"/>
    <x:mergeCell ref="A2:F2"/>
  </x:mergeCells>
  <x:pageMargins left="0.7" right="0.7" top="0.75" bottom="0.75" header="0.3" footer="0.3"/>
</x:worksheet>
</file>