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b3948c95cb754b95" /></Relationships>
</file>

<file path=xl/workbook.xml><?xml version="1.0" encoding="utf-8"?>
<x:workbook xmlns:x="http://schemas.openxmlformats.org/spreadsheetml/2006/main">
  <x:sheets>
    <x:sheet xmlns:r="http://schemas.openxmlformats.org/officeDocument/2006/relationships" name="Cover" sheetId="1" r:id="Rb867f6c0fef847f1"/>
    <x:sheet xmlns:r="http://schemas.openxmlformats.org/officeDocument/2006/relationships" name="Public Facts" sheetId="2" r:id="R1a1da575606341db"/>
    <x:sheet xmlns:r="http://schemas.openxmlformats.org/officeDocument/2006/relationships" name="Client Coverage" sheetId="3" r:id="R0e9c17a9a4cf4fe6"/>
    <x:sheet xmlns:r="http://schemas.openxmlformats.org/officeDocument/2006/relationships" name="Approved Anchors" sheetId="4" r:id="Rce4e04a3b6b041db"/>
    <x:sheet xmlns:r="http://schemas.openxmlformats.org/officeDocument/2006/relationships" name="V3 Decision Impact" sheetId="5" r:id="Rbb6ddb7325364b33"/>
    <x:sheet xmlns:r="http://schemas.openxmlformats.org/officeDocument/2006/relationships" name="Evidence Queue" sheetId="6" r:id="Rb63a667aeba246fd"/>
    <x:sheet xmlns:r="http://schemas.openxmlformats.org/officeDocument/2006/relationships" name="Sensitivity" sheetId="7" r:id="R0765a8ac812f4cce"/>
    <x:sheet xmlns:r="http://schemas.openxmlformats.org/officeDocument/2006/relationships" name="Checks" sheetId="8" r:id="Reccecb0236f4459b"/>
    <x:sheet xmlns:r="http://schemas.openxmlformats.org/officeDocument/2006/relationships" name="Sources" sheetId="9" r:id="R3a4d8a26ff054411"/>
  </x:sheets>
</x:workbook>
</file>

<file path=xl/comments1.xml><?xml version="1.0" encoding="utf-8"?>
<x:comments xmlns:x="http://schemas.openxmlformats.org/spreadsheetml/2006/main">
  <x:authors>
    <x:author>tc={22773D43-FAB9-FC01-045B-CF97666EFB15}</x:author>
    <x:author>tc={E9DFF5A7-8E64-2E91-FE20-14949983BCE4}</x:author>
    <x:author>tc={B0BF161C-A794-07D2-0157-8A95106CEFFC}</x:author>
    <x:author>tc={3258E77C-667D-12E9-0992-7D69D5736834}</x:author>
    <x:author>tc={1D9F0292-25FA-1178-5A5D-96B371B4D231}</x:author>
    <x:author>tc={D6A8F5F8-2772-4925-9DFC-C4031DF5C655}</x:author>
    <x:author>tc={185EA2FB-53DA-EE35-2FDF-24AC00F68806}</x:author>
    <x:author>tc={D6464E7B-B7DE-FFFB-619A-4B4EEE8E3F3F}</x:author>
    <x:author>tc={C860C53E-E628-3347-6A5E-1EE60FDB01E1}</x:author>
    <x:author>tc={956C1E53-0910-9F84-B4A8-DF32E11941F6}</x:author>
    <x:author>tc={9A4FDF6C-EB90-5A18-A559-5CA5A7014C75}</x:author>
    <x:author>tc={3221D1C0-BA19-1EB3-3142-90A67F0BA94E}</x:author>
    <x:author>tc={98A4D537-0D61-7142-79EF-F04DD5A9CD0F}</x:author>
    <x:author>tc={F85E446E-D3FC-717F-1987-1873BC3E2718}</x:author>
    <x:author>tc={82A9A928-6972-65C5-459E-D22C01CF42DE}</x:author>
    <x:author>tc={4D6CE363-F075-37C4-68A2-618941D03560}</x:author>
    <x:author>tc={9788B65D-CF07-0D91-EA5B-B19D032288AE}</x:author>
    <x:author>tc={F5FC54FA-7E28-4D8B-1F07-0FED8EFDC00D}</x:author>
    <x:author>tc={978042AF-4666-916B-4F5D-798E634E171B}</x:author>
    <x:author>tc={0D485A67-134D-B37A-B407-33E53ACDC506}</x:author>
    <x:author>tc={EEE94344-F525-B901-B380-3E5B3935DB6F}</x:author>
    <x:author>tc={25C5C8A7-E137-F1F0-6C39-1F9FB2DA2235}</x:author>
    <x:author>tc={58E1F8CD-D1B1-F3C0-D365-49733099D92F}</x:author>
    <x:author>tc={499D0843-9104-DCF3-500F-DF0DAB07167E}</x:author>
    <x:author>tc={C3E9B745-4195-BFAF-35CC-705582D5445F}</x:author>
    <x:author>tc={DD75A4A1-71B0-9E33-C1AE-4CFD989D9FD7}</x:author>
    <x:author>tc={E7CEB198-A44F-DDD6-897F-22EF78D95E9E}</x:author>
    <x:author>tc={BDB07245-A806-E702-C4BB-F7EBA48691F0}</x:author>
    <x:author>tc={E0AC9B3D-D295-9FCC-D9D6-CD5CCFE70EFB}</x:author>
    <x:author>tc={749602A5-342D-0F7B-4B7E-740F589689FD}</x:author>
    <x:author>tc={9EC37724-7051-92B3-D0A8-AA63F708FD98}</x:author>
    <x:author>tc={2B8F6507-8070-F50C-A0F5-7C57AEA4DD7E}</x:author>
    <x:author>tc={728D4859-2EF4-F608-A9F2-4291E5F0D365}</x:author>
    <x:author>tc={AE1DEEC5-2C12-B148-0EF6-BCD6A29A71F5}</x:author>
    <x:author>tc={5569BAC3-1CC6-2400-EDE6-79BD0A28E7E6}</x:author>
    <x:author>tc={90A20B10-4C05-2667-735F-D24375FBC6B2}</x:author>
    <x:author>tc={A62359DE-122D-B241-CCA4-F947F9326FE5}</x:author>
    <x:author>tc={8F0D61DD-22C1-A829-15F7-5381D82C3A43}</x:author>
    <x:author>tc={E6564741-39C6-D50B-E0E3-390206D8B1C2}</x:author>
    <x:author>tc={8222790F-FDDE-EAEE-0B0B-8B3EEEF6979E}</x:author>
    <x:author>tc={8B332D9E-1E64-06A3-5CA3-4A91A1D654A2}</x:author>
    <x:author>tc={EB1BB68E-D329-A03B-BE56-F248233102DB}</x:author>
    <x:author>tc={33A17254-BC83-27B0-1C4B-DC622374D427}</x:author>
    <x:author>tc={D66EE95F-12AD-BB64-7903-1E1AA7F66126}</x:author>
    <x:author>tc={CADFC401-771E-F6F4-CA0A-9E7E1B9F2DC5}</x:author>
    <x:author>tc={0F99E5C9-F668-5EE1-88F3-EC30C306522F}</x:author>
    <x:author>tc={34335FAA-6E0B-078D-994A-6322D80E2CFB}</x:author>
    <x:author>tc={D2510F94-36D5-E070-8B41-7430DC890861}</x:author>
    <x:author>tc={98620E32-55F8-44A7-2D5F-1DBD881497BA}</x:author>
    <x:author>tc={5AF6A096-CA17-90D4-109F-EF2925EFA601}</x:author>
    <x:author>tc={A31A24BE-FE86-55D5-2377-F5D635CB8D3E}</x:author>
    <x:author>tc={622DC48F-DCFC-8D87-318A-88BEF8AE3EF1}</x:author>
    <x:author>tc={2ECA1ECB-8EA4-A212-CFE1-927D7708657F}</x:author>
    <x:author>tc={42B2E8F0-7D7D-6829-6051-F636FFA20943}</x:author>
    <x:author>tc={6B661919-3248-DCCA-0E00-FF465C0A2838}</x:author>
    <x:author>tc={0FCE42CD-409C-203F-C15A-29788CF669C1}</x:author>
    <x:author>tc={0B8E0670-470B-664D-6CC4-F7186346AF4D}</x:author>
    <x:author>tc={7886F39D-6ABA-72AD-A9EE-4AE25CC3F1F2}</x:author>
    <x:author>tc={52CE6677-B860-43F1-721A-E244F9AAEE31}</x:author>
    <x:author>tc={C4E92B58-4594-9348-4B72-A4515C05D2CF}</x:author>
    <x:author>tc={671F94F0-0CB9-6E9D-02BC-932BF0D0D61D}</x:author>
    <x:author>tc={2A310C62-6852-2D3D-5473-33F69442B476}</x:author>
    <x:author>tc={406D486E-EE3B-F87F-B518-8450C9704020}</x:author>
    <x:author>tc={BBDCB4A7-D3AF-3C66-DF78-0B478E350D6B}</x:author>
    <x:author>tc={D29CC9FF-F3C9-2670-D0D3-7370A80109B8}</x:author>
    <x:author>tc={FBED41EF-8FF3-E2E5-64B2-55EB69A4FEB0}</x:author>
    <x:author>tc={D6713C01-1D5C-BA01-33E4-2CF5B646275F}</x:author>
    <x:author>tc={BA640651-1B09-6145-D3F4-3C5DA6A2C107}</x:author>
    <x:author>tc={6D5845E1-BE77-B3B4-5BEB-28A2A6D290B6}</x:author>
    <x:author>tc={ABA7F4FE-1DC2-C02D-8E02-CD8E388744A8}</x:author>
    <x:author>tc={8B8060D6-07DD-397A-4D37-8128C1068138}</x:author>
    <x:author>tc={BCAE7A2F-6889-95A1-425A-1C07C9CB0FA1}</x:author>
    <x:author>tc={2032616C-7D78-4497-4E66-97AD7273E341}</x:author>
    <x:author>tc={B5C55D19-6332-23A1-391C-CCDE4BF18121}</x:author>
    <x:author>tc={7174478E-77C0-5153-FDEE-7F0E09AA49E5}</x:author>
    <x:author>tc={B73BB52F-6B5D-BFEC-44E6-2D21A098D31A}</x:author>
    <x:author>tc={FACD6649-8E9C-AC62-AD31-FAED5BE1BF42}</x:author>
    <x:author>tc={D0E95AD8-5D77-2C76-7D40-19F36C81EB82}</x:author>
    <x:author>tc={F0EAE78D-B837-9394-ABAF-B16FF292F4C1}</x:author>
    <x:author>tc={868270FA-74F7-F8CF-1F3C-8F0A558E10FF}</x:author>
    <x:author>tc={7CCA5971-AE8C-0B39-0F1A-25D781A57DFB}</x:author>
    <x:author>tc={D5D20B8A-E3F0-324C-9297-316AA3A64894}</x:author>
  </x:authors>
  <x:commentList>
    <x:comment ref="P5" authorId="0">
      <x:text>
        <x:r>
          <x:t>[Threaded comment]
Your version of Excel allows you to read this threaded comment; however, any edits to it will get removed if the file is opened in a newer version of Excel. Learn more: https://go.microsoft.com/fwlink/?linkid=870924
Comment:
    Source: https://www.bhp.com/-/media/documents/investors/annual-reports/2025/250819_bhpannualreport2025.pdf
Page: 139
Available: 2025-08-19
SHA-256: seed-register-hash:BHP-2025-AP-CLOSE</x:t>
        </x:r>
      </x:text>
    </x:comment>
    <x:comment ref="P6" authorId="1">
      <x:text>
        <x:r>
          <x:t>[Threaded comment]
Your version of Excel allows you to read this threaded comment; however, any edits to it will get removed if the file is opened in a newer version of Excel. Learn more: https://go.microsoft.com/fwlink/?linkid=870924
Comment:
    Source: https://www.bhp.com/-/media/documents/investors/annual-reports/2025/250819_bhpannualreport2025.pdf
Page: 139
Available: 2025-08-19
SHA-256: seed-register-hash:BHP-2025-AP-OPEN</x:t>
        </x:r>
      </x:text>
    </x:comment>
    <x:comment ref="P7" authorId="2">
      <x:text>
        <x:r>
          <x:t>[Threaded comment]
Your version of Excel allows you to read this threaded comment; however, any edits to it will get removed if the file is opened in a newer version of Excel. Learn more: https://go.microsoft.com/fwlink/?linkid=870924
Comment:
    Source: https://www.bhp.com/-/media/documents/investors/annual-reports/2025/250819_bhpannualreport2025.pdf
Page: 139
Available: 2025-08-19
SHA-256: seed-register-hash:BHP-2025-AR-CLOSE</x:t>
        </x:r>
      </x:text>
    </x:comment>
    <x:comment ref="P8" authorId="3">
      <x:text>
        <x:r>
          <x:t>[Threaded comment]
Your version of Excel allows you to read this threaded comment; however, any edits to it will get removed if the file is opened in a newer version of Excel. Learn more: https://go.microsoft.com/fwlink/?linkid=870924
Comment:
    Source: https://www.bhp.com/-/media/documents/investors/annual-reports/2025/250819_bhpannualreport2025.pdf
Page: 139
Available: 2025-08-19
SHA-256: seed-register-hash:BHP-2025-AR-OPEN</x:t>
        </x:r>
      </x:text>
    </x:comment>
    <x:comment ref="P9" authorId="4">
      <x:text>
        <x:r>
          <x:t>[Threaded comment]
Your version of Excel allows you to read this threaded comment; however, any edits to it will get removed if the file is opened in a newer version of Excel. Learn more: https://go.microsoft.com/fwlink/?linkid=870924
Comment:
    Source: https://www.bhp.com/-/media/documents/investors/annual-reports/2025/250819_bhpannualreport2025.pdf
Page: 118
Available: 2025-08-19
SHA-256: seed-register-hash:BHP-2025-COST</x:t>
        </x:r>
      </x:text>
    </x:comment>
    <x:comment ref="P10" authorId="5">
      <x:text>
        <x:r>
          <x:t>[Threaded comment]
Your version of Excel allows you to read this threaded comment; however, any edits to it will get removed if the file is opened in a newer version of Excel. Learn more: https://go.microsoft.com/fwlink/?linkid=870924
Comment:
    Source: https://www.bhp.com/-/media/documents/investors/annual-reports/2025/250819_bhpannualreport2025.pdf
Page: 119
Available: 2025-08-19
SHA-256: seed-register-hash:BHP-2025-DEBT</x:t>
        </x:r>
      </x:text>
    </x:comment>
    <x:comment ref="P11" authorId="6">
      <x:text>
        <x:r>
          <x:t>[Threaded comment]
Your version of Excel allows you to read this threaded comment; however, any edits to it will get removed if the file is opened in a newer version of Excel. Learn more: https://go.microsoft.com/fwlink/?linkid=870924
Comment:
    Source: https://www.bhp.com/-/media/documents/investors/annual-reports/2025/250819_bhpannualreport2025.pdf
Page: 160
Available: 2025-08-19
SHA-256: seed-register-hash:BHP-2025-FX</x:t>
        </x:r>
      </x:text>
    </x:comment>
    <x:comment ref="P12" authorId="7">
      <x:text>
        <x:r>
          <x:t>[Threaded comment]
Your version of Excel allows you to read this threaded comment; however, any edits to it will get removed if the file is opened in a newer version of Excel. Learn more: https://go.microsoft.com/fwlink/?linkid=870924
Comment:
    Source: https://www.bhp.com/-/media/documents/investors/annual-reports/2025/250819_bhpannualreport2025.pdf
Page: 139
Available: 2025-08-19
SHA-256: seed-register-hash:BHP-2025-INV-CLOSE</x:t>
        </x:r>
      </x:text>
    </x:comment>
    <x:comment ref="P13" authorId="8">
      <x:text>
        <x:r>
          <x:t>[Threaded comment]
Your version of Excel allows you to read this threaded comment; however, any edits to it will get removed if the file is opened in a newer version of Excel. Learn more: https://go.microsoft.com/fwlink/?linkid=870924
Comment:
    Source: https://www.bhp.com/-/media/documents/investors/annual-reports/2025/250819_bhpannualreport2025.pdf
Page: 139
Available: 2025-08-19
SHA-256: seed-register-hash:BHP-2025-INV-OPEN</x:t>
        </x:r>
      </x:text>
    </x:comment>
    <x:comment ref="P14" authorId="9">
      <x:text>
        <x:r>
          <x:t>[Threaded comment]
Your version of Excel allows you to read this threaded comment; however, any edits to it will get removed if the file is opened in a newer version of Excel. Learn more: https://go.microsoft.com/fwlink/?linkid=870924
Comment:
    Source: https://www.bhp.com/-/media/documents/investors/annual-reports/2025/250819_bhpannualreport2025.pdf
Page: 118
Available: 2025-08-19
SHA-256: seed-register-hash:BHP-2025-REV</x:t>
        </x:r>
      </x:text>
    </x:comment>
    <x:comment ref="P15" authorId="10">
      <x:text>
        <x:r>
          <x:t>[Threaded comment]
Your version of Excel allows you to read this threaded comment; however, any edits to it will get removed if the file is opened in a newer version of Excel. Learn more: https://go.microsoft.com/fwlink/?linkid=870924
Comment:
    Source: https://www.glencore.com/.rest/api/v1/documents/static/9b103e11-72e7-40bf-ae7c-eabe57361522/GLEN-2025-Annual-Report.pdf
Page: 205
Available: 2026-03-10
SHA-256: seed-register-hash:GLEN-2025-AP-CLOSE</x:t>
        </x:r>
      </x:text>
    </x:comment>
    <x:comment ref="P16" authorId="11">
      <x:text>
        <x:r>
          <x:t>[Threaded comment]
Your version of Excel allows you to read this threaded comment; however, any edits to it will get removed if the file is opened in a newer version of Excel. Learn more: https://go.microsoft.com/fwlink/?linkid=870924
Comment:
    Source: https://www.glencore.com/.rest/api/v1/documents/static/9b103e11-72e7-40bf-ae7c-eabe57361522/GLEN-2025-Annual-Report.pdf
Page: 205
Available: 2026-03-10
SHA-256: seed-register-hash:GLEN-2025-AP-OPEN</x:t>
        </x:r>
      </x:text>
    </x:comment>
    <x:comment ref="P17" authorId="12">
      <x:text>
        <x:r>
          <x:t>[Threaded comment]
Your version of Excel allows you to read this threaded comment; however, any edits to it will get removed if the file is opened in a newer version of Excel. Learn more: https://go.microsoft.com/fwlink/?linkid=870924
Comment:
    Source: https://www.glencore.com/.rest/api/v1/documents/static/9b103e11-72e7-40bf-ae7c-eabe57361522/GLEN-2025-Annual-Report.pdf
Page: 186
Available: 2026-03-10
SHA-256: seed-register-hash:GLEN-2025-AR-CLOSE</x:t>
        </x:r>
      </x:text>
    </x:comment>
    <x:comment ref="P18" authorId="13">
      <x:text>
        <x:r>
          <x:t>[Threaded comment]
Your version of Excel allows you to read this threaded comment; however, any edits to it will get removed if the file is opened in a newer version of Excel. Learn more: https://go.microsoft.com/fwlink/?linkid=870924
Comment:
    Source: https://www.glencore.com/.rest/api/v1/documents/static/9b103e11-72e7-40bf-ae7c-eabe57361522/GLEN-2025-Annual-Report.pdf
Page: 186
Available: 2026-03-10
SHA-256: seed-register-hash:GLEN-2025-AR-OPEN</x:t>
        </x:r>
      </x:text>
    </x:comment>
    <x:comment ref="P19" authorId="14">
      <x:text>
        <x:r>
          <x:t>[Threaded comment]
Your version of Excel allows you to read this threaded comment; however, any edits to it will get removed if the file is opened in a newer version of Excel. Learn more: https://go.microsoft.com/fwlink/?linkid=870924
Comment:
    Source: https://www.glencore.com/.rest/api/v1/documents/static/9b103e11-72e7-40bf-ae7c-eabe57361522/GLEN-2025-Annual-Report.pdf
Page: 136
Available: 2026-03-10
SHA-256: seed-register-hash:GLEN-2025-COST</x:t>
        </x:r>
      </x:text>
    </x:comment>
    <x:comment ref="P20" authorId="15">
      <x:text>
        <x:r>
          <x:t>[Threaded comment]
Your version of Excel allows you to read this threaded comment; however, any edits to it will get removed if the file is opened in a newer version of Excel. Learn more: https://go.microsoft.com/fwlink/?linkid=870924
Comment:
    Source: https://www.glencore.com/.rest/api/v1/documents/static/9b103e11-72e7-40bf-ae7c-eabe57361522/GLEN-2025-Annual-Report.pdf
Page: 138
Available: 2026-03-10
SHA-256: seed-register-hash:GLEN-2025-DEBT</x:t>
        </x:r>
      </x:text>
    </x:comment>
    <x:comment ref="P21" authorId="16">
      <x:text>
        <x:r>
          <x:t>[Threaded comment]
Your version of Excel allows you to read this threaded comment; however, any edits to it will get removed if the file is opened in a newer version of Excel. Learn more: https://go.microsoft.com/fwlink/?linkid=870924
Comment:
    Source: https://www.glencore.com/.rest/api/v1/documents/static/9b103e11-72e7-40bf-ae7c-eabe57361522/GLEN-2025-Annual-Report.pdf
Page: 212
Available: 2026-03-10
SHA-256: seed-register-hash:GLEN-2025-FX</x:t>
        </x:r>
      </x:text>
    </x:comment>
    <x:comment ref="P22" authorId="17">
      <x:text>
        <x:r>
          <x:t>[Threaded comment]
Your version of Excel allows you to read this threaded comment; however, any edits to it will get removed if the file is opened in a newer version of Excel. Learn more: https://go.microsoft.com/fwlink/?linkid=870924
Comment:
    Source: https://www.glencore.com/.rest/api/v1/documents/static/9b103e11-72e7-40bf-ae7c-eabe57361522/GLEN-2025-Annual-Report.pdf
Page: 185
Available: 2026-03-10
SHA-256: seed-register-hash:GLEN-2025-INV-CLOSE</x:t>
        </x:r>
      </x:text>
    </x:comment>
    <x:comment ref="P23" authorId="18">
      <x:text>
        <x:r>
          <x:t>[Threaded comment]
Your version of Excel allows you to read this threaded comment; however, any edits to it will get removed if the file is opened in a newer version of Excel. Learn more: https://go.microsoft.com/fwlink/?linkid=870924
Comment:
    Source: https://www.glencore.com/.rest/api/v1/documents/static/9b103e11-72e7-40bf-ae7c-eabe57361522/GLEN-2025-Annual-Report.pdf
Page: 185
Available: 2026-03-10
SHA-256: seed-register-hash:GLEN-2025-INV-OPEN</x:t>
        </x:r>
      </x:text>
    </x:comment>
    <x:comment ref="P24" authorId="19">
      <x:text>
        <x:r>
          <x:t>[Threaded comment]
Your version of Excel allows you to read this threaded comment; however, any edits to it will get removed if the file is opened in a newer version of Excel. Learn more: https://go.microsoft.com/fwlink/?linkid=870924
Comment:
    Source: https://www.glencore.com/.rest/api/v1/documents/static/9b103e11-72e7-40bf-ae7c-eabe57361522/GLEN-2025-Annual-Report.pdf
Page: 136
Available: 2026-03-10
SHA-256: seed-register-hash:GLEN-2025-REV</x:t>
        </x:r>
      </x:text>
    </x:comment>
    <x:comment ref="P25" authorId="20">
      <x:text>
        <x:r>
          <x:t>[Threaded comment]
Your version of Excel allows you to read this threaded comment; however, any edits to it will get removed if the file is opened in a newer version of Excel. Learn more: https://go.microsoft.com/fwlink/?linkid=870924
Comment:
    Source: https://www.angloamerican.com/~/media/Files/A/Anglo-American-Group-v9/PLC/investors/annual-reporting/2025/aa-annual-report-full-2025.pdf
Page: 274
Available: 2026-03-02
SHA-256: 362b9ebb43ca8ce3cf0a87f5ba174047ab499c4cd8f5a48eeb1bf83530a176fb</x:t>
        </x:r>
      </x:text>
    </x:comment>
    <x:comment ref="P26" authorId="21">
      <x:text>
        <x:r>
          <x:t>[Threaded comment]
Your version of Excel allows you to read this threaded comment; however, any edits to it will get removed if the file is opened in a newer version of Excel. Learn more: https://go.microsoft.com/fwlink/?linkid=870924
Comment:
    Source: https://www.angloamerican.com/~/media/Files/A/Anglo-American-Group-v9/PLC/investors/annual-reporting/2025/aa-annual-report-full-2025.pdf
Page: 274
Available: 2026-03-02
SHA-256: 362b9ebb43ca8ce3cf0a87f5ba174047ab499c4cd8f5a48eeb1bf83530a176fb</x:t>
        </x:r>
      </x:text>
    </x:comment>
    <x:comment ref="P27" authorId="22">
      <x:text>
        <x:r>
          <x:t>[Threaded comment]
Your version of Excel allows you to read this threaded comment; however, any edits to it will get removed if the file is opened in a newer version of Excel. Learn more: https://go.microsoft.com/fwlink/?linkid=870924
Comment:
    Source: https://www.angloamerican.com/~/media/Files/A/Anglo-American-Group-v9/PLC/investors/annual-reporting/2025/aa-annual-report-full-2025.pdf
Page: 272
Available: 2026-03-02
SHA-256: 362b9ebb43ca8ce3cf0a87f5ba174047ab499c4cd8f5a48eeb1bf83530a176fb</x:t>
        </x:r>
      </x:text>
    </x:comment>
    <x:comment ref="P28" authorId="23">
      <x:text>
        <x:r>
          <x:t>[Threaded comment]
Your version of Excel allows you to read this threaded comment; however, any edits to it will get removed if the file is opened in a newer version of Excel. Learn more: https://go.microsoft.com/fwlink/?linkid=870924
Comment:
    Source: https://reports.anglogoldashanti.com/25/download/AGA-AR25.pdf
Page: 160
Available: 2026-03-26
SHA-256: 958d89150d1125af3eb9032ac7f3c9da2c22c8bfd67e8447c688c8ad0c21dd35</x:t>
        </x:r>
      </x:text>
    </x:comment>
    <x:comment ref="P29" authorId="24">
      <x:text>
        <x:r>
          <x:t>[Threaded comment]
Your version of Excel allows you to read this threaded comment; however, any edits to it will get removed if the file is opened in a newer version of Excel. Learn more: https://go.microsoft.com/fwlink/?linkid=870924
Comment:
    Source: https://reports.anglogoldashanti.com/25/download/AGA-AR25.pdf
Page: 160
Available: 2026-03-26
SHA-256: 958d89150d1125af3eb9032ac7f3c9da2c22c8bfd67e8447c688c8ad0c21dd35</x:t>
        </x:r>
      </x:text>
    </x:comment>
    <x:comment ref="P30" authorId="25">
      <x:text>
        <x:r>
          <x:t>[Threaded comment]
Your version of Excel allows you to read this threaded comment; however, any edits to it will get removed if the file is opened in a newer version of Excel. Learn more: https://go.microsoft.com/fwlink/?linkid=870924
Comment:
    Source: https://reports.anglogoldashanti.com/25/download/AGA-AR25.pdf
Page: 158
Available: 2026-03-26
SHA-256: 958d89150d1125af3eb9032ac7f3c9da2c22c8bfd67e8447c688c8ad0c21dd35</x:t>
        </x:r>
      </x:text>
    </x:comment>
    <x:comment ref="P31" authorId="26">
      <x:text>
        <x:r>
          <x:t>[Threaded comment]
Your version of Excel allows you to read this threaded comment; however, any edits to it will get removed if the file is opened in a newer version of Excel. Learn more: https://go.microsoft.com/fwlink/?linkid=870924
Comment:
    Source: https://www.goldfields.com/pdf/investors/integrated-annual-reports/2025/afs-2025.pdf
Page: 74
Available: 2026-03-27
SHA-256: 0819d8e37085aaa5adb8305c3bcdd5b5a9631cf40f594950beaeb6c77077fc0a</x:t>
        </x:r>
      </x:text>
    </x:comment>
    <x:comment ref="P32" authorId="27">
      <x:text>
        <x:r>
          <x:t>[Threaded comment]
Your version of Excel allows you to read this threaded comment; however, any edits to it will get removed if the file is opened in a newer version of Excel. Learn more: https://go.microsoft.com/fwlink/?linkid=870924
Comment:
    Source: https://www.goldfields.com/pdf/investors/integrated-annual-reports/2025/afs-2025.pdf
Page: 74
Available: 2026-03-27
SHA-256: 0819d8e37085aaa5adb8305c3bcdd5b5a9631cf40f594950beaeb6c77077fc0a</x:t>
        </x:r>
      </x:text>
    </x:comment>
    <x:comment ref="P33" authorId="28">
      <x:text>
        <x:r>
          <x:t>[Threaded comment]
Your version of Excel allows you to read this threaded comment; however, any edits to it will get removed if the file is opened in a newer version of Excel. Learn more: https://go.microsoft.com/fwlink/?linkid=870924
Comment:
    Source: https://www.goldfields.com/pdf/investors/integrated-annual-reports/2025/afs-2025.pdf
Page: 72
Available: 2026-03-27
SHA-256: 0819d8e37085aaa5adb8305c3bcdd5b5a9631cf40f594950beaeb6c77077fc0a</x:t>
        </x:r>
      </x:text>
    </x:comment>
    <x:comment ref="P34" authorId="29">
      <x:text>
        <x:r>
          <x:t>[Threaded comment]
Your version of Excel allows you to read this threaded comment; however, any edits to it will get removed if the file is opened in a newer version of Excel. Learn more: https://go.microsoft.com/fwlink/?linkid=870924
Comment:
    Source: https://www.valterraplatinum.com/wp-content/uploads/2026/05/annual-financial-statements-2025.pdf
Page: 25
Available: 2026-03-27
SHA-256: 84ab45295a07c93d3fa39a24962c05ac600f45ed2c9683b16b4dc2cc7ba170f8</x:t>
        </x:r>
      </x:text>
    </x:comment>
    <x:comment ref="P35" authorId="30">
      <x:text>
        <x:r>
          <x:t>[Threaded comment]
Your version of Excel allows you to read this threaded comment; however, any edits to it will get removed if the file is opened in a newer version of Excel. Learn more: https://go.microsoft.com/fwlink/?linkid=870924
Comment:
    Source: https://www.valterraplatinum.com/wp-content/uploads/2026/05/annual-financial-statements-2025.pdf
Page: 25
Available: 2026-03-27
SHA-256: 84ab45295a07c93d3fa39a24962c05ac600f45ed2c9683b16b4dc2cc7ba170f8</x:t>
        </x:r>
      </x:text>
    </x:comment>
    <x:comment ref="P36" authorId="31">
      <x:text>
        <x:r>
          <x:t>[Threaded comment]
Your version of Excel allows you to read this threaded comment; however, any edits to it will get removed if the file is opened in a newer version of Excel. Learn more: https://go.microsoft.com/fwlink/?linkid=870924
Comment:
    Source: https://www.valterraplatinum.com/wp-content/uploads/2026/05/annual-financial-statements-2025.pdf
Page: 24
Available: 2026-03-27
SHA-256: 84ab45295a07c93d3fa39a24962c05ac600f45ed2c9683b16b4dc2cc7ba170f8</x:t>
        </x:r>
      </x:text>
    </x:comment>
    <x:comment ref="P37" authorId="32">
      <x:text>
        <x:r>
          <x:t>[Threaded comment]
Your version of Excel allows you to read this threaded comment; however, any edits to it will get removed if the file is opened in a newer version of Excel. Learn more: https://go.microsoft.com/fwlink/?linkid=870924
Comment:
    Source: https://group.outsurance.co.za/globalassets/documents/investor-relations/reports-and-results/2025/ogl-annual-financial-statements-2025.pdf
Page: 21
Available: 2025-09-15
SHA-256: 3f03545e101a357d73e3f26863473adc341b4b0382ab2b8248b322900ef38b3c</x:t>
        </x:r>
      </x:text>
    </x:comment>
    <x:comment ref="P38" authorId="33">
      <x:text>
        <x:r>
          <x:t>[Threaded comment]
Your version of Excel allows you to read this threaded comment; however, any edits to it will get removed if the file is opened in a newer version of Excel. Learn more: https://go.microsoft.com/fwlink/?linkid=870924
Comment:
    Source: https://group.outsurance.co.za/globalassets/documents/investor-relations/reports-and-results/2025/ogl-annual-financial-statements-2025.pdf
Page: 21
Available: 2025-09-15
SHA-256: 3f03545e101a357d73e3f26863473adc341b4b0382ab2b8248b322900ef38b3c</x:t>
        </x:r>
      </x:text>
    </x:comment>
    <x:comment ref="P39" authorId="34">
      <x:text>
        <x:r>
          <x:t>[Threaded comment]
Your version of Excel allows you to read this threaded comment; however, any edits to it will get removed if the file is opened in a newer version of Excel. Learn more: https://go.microsoft.com/fwlink/?linkid=870924
Comment:
    Source: https://group.outsurance.co.za/globalassets/documents/investor-relations/reports-and-results/2025/ogl-annual-financial-statements-2025.pdf
Page: 19
Available: 2025-09-15
SHA-256: 3f03545e101a357d73e3f26863473adc341b4b0382ab2b8248b322900ef38b3c</x:t>
        </x:r>
      </x:text>
    </x:comment>
    <x:comment ref="P40" authorId="35">
      <x:text>
        <x:r>
          <x:t>[Threaded comment]
Your version of Excel allows you to read this threaded comment; however, any edits to it will get removed if the file is opened in a newer version of Excel. Learn more: https://go.microsoft.com/fwlink/?linkid=870924
Comment:
    Source: https://www.sanlam.com/downloads/integrated-report-and-annual-financial-statements/2024/Sanlam-AFS-2024-spreads.pdf
Page: 42
Available: 2025-03-07
SHA-256: fc2487f72420917e9c52f78bc4a7800a1e4270781aa2117632f69680b4ca14da</x:t>
        </x:r>
      </x:text>
    </x:comment>
    <x:comment ref="P41" authorId="36">
      <x:text>
        <x:r>
          <x:t>[Threaded comment]
Your version of Excel allows you to read this threaded comment; however, any edits to it will get removed if the file is opened in a newer version of Excel. Learn more: https://go.microsoft.com/fwlink/?linkid=870924
Comment:
    Source: https://www.sanlam.com/downloads/integrated-report-and-annual-financial-statements/2024/Sanlam-AFS-2024-spreads.pdf
Page: 42
Available: 2025-03-07
SHA-256: fc2487f72420917e9c52f78bc4a7800a1e4270781aa2117632f69680b4ca14da</x:t>
        </x:r>
      </x:text>
    </x:comment>
    <x:comment ref="P42" authorId="37">
      <x:text>
        <x:r>
          <x:t>[Threaded comment]
Your version of Excel allows you to read this threaded comment; however, any edits to it will get removed if the file is opened in a newer version of Excel. Learn more: https://go.microsoft.com/fwlink/?linkid=870924
Comment:
    Source: https://www.sanlam.com/downloads/integrated-report-and-annual-financial-statements/2024/Sanlam-AFS-2024-spreads.pdf
Page: 42
Available: 2025-03-07
SHA-256: fc2487f72420917e9c52f78bc4a7800a1e4270781aa2117632f69680b4ca14da</x:t>
        </x:r>
      </x:text>
    </x:comment>
    <x:comment ref="P43" authorId="38">
      <x:text>
        <x:r>
          <x:t>[Threaded comment]
Your version of Excel allows you to read this threaded comment; however, any edits to it will get removed if the file is opened in a newer version of Excel. Learn more: https://go.microsoft.com/fwlink/?linkid=870924
Comment:
    Source: https://www.shopriteholdings.co.za/docs/shp-afs-2025.pdf
Page: 18
Available: 2025-10-13
SHA-256: seed-register-hash:SHP-2025-AP-CLOSE</x:t>
        </x:r>
      </x:text>
    </x:comment>
    <x:comment ref="P44" authorId="39">
      <x:text>
        <x:r>
          <x:t>[Threaded comment]
Your version of Excel allows you to read this threaded comment; however, any edits to it will get removed if the file is opened in a newer version of Excel. Learn more: https://go.microsoft.com/fwlink/?linkid=870924
Comment:
    Source: https://www.shopriteholdings.co.za/docs/shp-afs-2025.pdf
Page: 18
Available: 2025-10-13
SHA-256: seed-register-hash:SHP-2025-AP-OPEN</x:t>
        </x:r>
      </x:text>
    </x:comment>
    <x:comment ref="P45" authorId="40">
      <x:text>
        <x:r>
          <x:t>[Threaded comment]
Your version of Excel allows you to read this threaded comment; however, any edits to it will get removed if the file is opened in a newer version of Excel. Learn more: https://go.microsoft.com/fwlink/?linkid=870924
Comment:
    Source: https://www.shopriteholdings.co.za/docs/shp-afs-2025.pdf
Page: 18
Available: 2025-10-13
SHA-256: seed-register-hash:SHP-2025-AR-CLOSE</x:t>
        </x:r>
      </x:text>
    </x:comment>
    <x:comment ref="P46" authorId="41">
      <x:text>
        <x:r>
          <x:t>[Threaded comment]
Your version of Excel allows you to read this threaded comment; however, any edits to it will get removed if the file is opened in a newer version of Excel. Learn more: https://go.microsoft.com/fwlink/?linkid=870924
Comment:
    Source: https://www.shopriteholdings.co.za/docs/shp-afs-2025.pdf
Page: 18
Available: 2025-10-13
SHA-256: seed-register-hash:SHP-2025-AR-OPEN</x:t>
        </x:r>
      </x:text>
    </x:comment>
    <x:comment ref="P47" authorId="42">
      <x:text>
        <x:r>
          <x:t>[Threaded comment]
Your version of Excel allows you to read this threaded comment; however, any edits to it will get removed if the file is opened in a newer version of Excel. Learn more: https://go.microsoft.com/fwlink/?linkid=870924
Comment:
    Source: https://www.shopriteholdings.co.za/docs/shp-afs-2025.pdf
Page: 19
Available: 2025-10-13
SHA-256: seed-register-hash:SHP-2025-COST</x:t>
        </x:r>
      </x:text>
    </x:comment>
    <x:comment ref="P48" authorId="43">
      <x:text>
        <x:r>
          <x:t>[Threaded comment]
Your version of Excel allows you to read this threaded comment; however, any edits to it will get removed if the file is opened in a newer version of Excel. Learn more: https://go.microsoft.com/fwlink/?linkid=870924
Comment:
    Source: https://www.shopriteholdings.co.za/docs/shp-afs-2025.pdf
Page: 18
Available: 2025-10-13
SHA-256: seed-register-hash:SHP-2025-DEBT</x:t>
        </x:r>
      </x:text>
    </x:comment>
    <x:comment ref="P49" authorId="44">
      <x:text>
        <x:r>
          <x:t>[Threaded comment]
Your version of Excel allows you to read this threaded comment; however, any edits to it will get removed if the file is opened in a newer version of Excel. Learn more: https://go.microsoft.com/fwlink/?linkid=870924
Comment:
    Source: https://www.shopriteholdings.co.za/docs/shp-afs-2025.pdf
Page: 118
Available: 2025-10-13
SHA-256: seed-register-hash:SHP-2025-FX</x:t>
        </x:r>
      </x:text>
    </x:comment>
    <x:comment ref="P50" authorId="45">
      <x:text>
        <x:r>
          <x:t>[Threaded comment]
Your version of Excel allows you to read this threaded comment; however, any edits to it will get removed if the file is opened in a newer version of Excel. Learn more: https://go.microsoft.com/fwlink/?linkid=870924
Comment:
    Source: https://www.shopriteholdings.co.za/docs/shp-afs-2025.pdf
Page: 18
Available: 2025-10-13
SHA-256: seed-register-hash:SHP-2025-INV-CLOSE</x:t>
        </x:r>
      </x:text>
    </x:comment>
    <x:comment ref="P51" authorId="46">
      <x:text>
        <x:r>
          <x:t>[Threaded comment]
Your version of Excel allows you to read this threaded comment; however, any edits to it will get removed if the file is opened in a newer version of Excel. Learn more: https://go.microsoft.com/fwlink/?linkid=870924
Comment:
    Source: https://www.shopriteholdings.co.za/docs/shp-afs-2025.pdf
Page: 18
Available: 2025-10-13
SHA-256: seed-register-hash:SHP-2025-INV-OPEN</x:t>
        </x:r>
      </x:text>
    </x:comment>
    <x:comment ref="P52" authorId="47">
      <x:text>
        <x:r>
          <x:t>[Threaded comment]
Your version of Excel allows you to read this threaded comment; however, any edits to it will get removed if the file is opened in a newer version of Excel. Learn more: https://go.microsoft.com/fwlink/?linkid=870924
Comment:
    Source: https://www.shopriteholdings.co.za/docs/shp-afs-2025.pdf
Page: 19
Available: 2025-10-13
SHA-256: seed-register-hash:SHP-2025-REV</x:t>
        </x:r>
      </x:text>
    </x:comment>
    <x:comment ref="P53" authorId="48">
      <x:text>
        <x:r>
          <x:t>[Threaded comment]
Your version of Excel allows you to read this threaded comment; however, any edits to it will get removed if the file is opened in a newer version of Excel. Learn more: https://go.microsoft.com/fwlink/?linkid=870924
Comment:
    Source: https://www.shopriteholdings.co.za/docs/shp-afs-2025.pdf
Page: 18
Available: 2025-10-13
SHA-256: seed-register-hash:SHP-2025-STF</x:t>
        </x:r>
      </x:text>
    </x:comment>
    <x:comment ref="P54" authorId="49">
      <x:text>
        <x:r>
          <x:t>[Threaded comment]
Your version of Excel allows you to read this threaded comment; however, any edits to it will get removed if the file is opened in a newer version of Excel. Learn more: https://go.microsoft.com/fwlink/?linkid=870924
Comment:
    Source: https://www.bidcorpgroup.com/pdf/reports/2025/Bidcorp-2025-AIR.pdf
Page: 19
Available: 2025-10-30
SHA-256: f2516d780aff52d4a5de8be9a2f02e753e948e13450e77f2b1603784b5215c9f</x:t>
        </x:r>
      </x:text>
    </x:comment>
    <x:comment ref="P55" authorId="50">
      <x:text>
        <x:r>
          <x:t>[Threaded comment]
Your version of Excel allows you to read this threaded comment; however, any edits to it will get removed if the file is opened in a newer version of Excel. Learn more: https://go.microsoft.com/fwlink/?linkid=870924
Comment:
    Source: https://www.bidcorpgroup.com/pdf/reports/2025/Bidcorp-2025-AIR.pdf
Page: 19
Available: 2025-10-30
SHA-256: f2516d780aff52d4a5de8be9a2f02e753e948e13450e77f2b1603784b5215c9f</x:t>
        </x:r>
      </x:text>
    </x:comment>
    <x:comment ref="P56" authorId="51">
      <x:text>
        <x:r>
          <x:t>[Threaded comment]
Your version of Excel allows you to read this threaded comment; however, any edits to it will get removed if the file is opened in a newer version of Excel. Learn more: https://go.microsoft.com/fwlink/?linkid=870924
Comment:
    Source: https://www.bidcorpgroup.com/pdf/reports/2025/Bidcorp-2025-AIR.pdf
Page: 18
Available: 2025-10-30
SHA-256: f2516d780aff52d4a5de8be9a2f02e753e948e13450e77f2b1603784b5215c9f</x:t>
        </x:r>
      </x:text>
    </x:comment>
    <x:comment ref="P57" authorId="52">
      <x:text>
        <x:r>
          <x:t>[Threaded comment]
Your version of Excel allows you to read this threaded comment; however, any edits to it will get removed if the file is opened in a newer version of Excel. Learn more: https://go.microsoft.com/fwlink/?linkid=870924
Comment:
    Source: https://pepkor.co.za/wp-content/uploads/Pepkor-annual-financial-statements-2025.pdf
Page: 23
Available: 2025-12-15
SHA-256: 7715894a86e0e6b06b26b90b6e5bad3ffb85b8cd6166701bf52ddf8e053193d3</x:t>
        </x:r>
      </x:text>
    </x:comment>
    <x:comment ref="P58" authorId="53">
      <x:text>
        <x:r>
          <x:t>[Threaded comment]
Your version of Excel allows you to read this threaded comment; however, any edits to it will get removed if the file is opened in a newer version of Excel. Learn more: https://go.microsoft.com/fwlink/?linkid=870924
Comment:
    Source: https://pepkor.co.za/wp-content/uploads/Pepkor-annual-financial-statements-2025.pdf
Page: 23
Available: 2025-12-15
SHA-256: 7715894a86e0e6b06b26b90b6e5bad3ffb85b8cd6166701bf52ddf8e053193d3</x:t>
        </x:r>
      </x:text>
    </x:comment>
    <x:comment ref="P59" authorId="54">
      <x:text>
        <x:r>
          <x:t>[Threaded comment]
Your version of Excel allows you to read this threaded comment; however, any edits to it will get removed if the file is opened in a newer version of Excel. Learn more: https://go.microsoft.com/fwlink/?linkid=870924
Comment:
    Source: https://pepkor.co.za/wp-content/uploads/Pepkor-annual-financial-statements-2025.pdf
Page: 21
Available: 2025-12-15
SHA-256: 7715894a86e0e6b06b26b90b6e5bad3ffb85b8cd6166701bf52ddf8e053193d3</x:t>
        </x:r>
      </x:text>
    </x:comment>
    <x:comment ref="P60" authorId="55">
      <x:text>
        <x:r>
          <x:t>[Threaded comment]
Your version of Excel allows you to read this threaded comment; however, any edits to it will get removed if the file is opened in a newer version of Excel. Learn more: https://go.microsoft.com/fwlink/?linkid=870924
Comment:
    Source: https://clicksgroup.co.za/iar2025/wp-content/uploads/CGL-YE25-Annual-financial-statements.pdf
Page: 10
Available: 2025-11-06
SHA-256: 664c3ce033c0d36157277ae5ef9f28a933edd4acebc8cec649069cd20d9c576d</x:t>
        </x:r>
      </x:text>
    </x:comment>
    <x:comment ref="P61" authorId="56">
      <x:text>
        <x:r>
          <x:t>[Threaded comment]
Your version of Excel allows you to read this threaded comment; however, any edits to it will get removed if the file is opened in a newer version of Excel. Learn more: https://go.microsoft.com/fwlink/?linkid=870924
Comment:
    Source: https://clicksgroup.co.za/iar2025/wp-content/uploads/CGL-YE25-Annual-financial-statements.pdf
Page: 10
Available: 2025-11-06
SHA-256: 664c3ce033c0d36157277ae5ef9f28a933edd4acebc8cec649069cd20d9c576d</x:t>
        </x:r>
      </x:text>
    </x:comment>
    <x:comment ref="P62" authorId="57">
      <x:text>
        <x:r>
          <x:t>[Threaded comment]
Your version of Excel allows you to read this threaded comment; however, any edits to it will get removed if the file is opened in a newer version of Excel. Learn more: https://go.microsoft.com/fwlink/?linkid=870924
Comment:
    Source: https://clicksgroup.co.za/iar2025/wp-content/uploads/CGL-YE25-Annual-financial-statements.pdf
Page: 10
Available: 2025-11-06
SHA-256: 664c3ce033c0d36157277ae5ef9f28a933edd4acebc8cec649069cd20d9c576d</x:t>
        </x:r>
      </x:text>
    </x:comment>
    <x:comment ref="P63" authorId="58">
      <x:text>
        <x:r>
          <x:t>[Threaded comment]
Your version of Excel allows you to read this threaded comment; however, any edits to it will get removed if the file is opened in a newer version of Excel. Learn more: https://go.microsoft.com/fwlink/?linkid=870924
Comment:
    Source: https://nepirockcastle.com/wp-content/uploads/2026/03/NEPI_Rockcastle_Annual_Report_2025.pdf
Page: 310
Available: 2026-03-18
SHA-256: 4124bee2bfb55a181cda56963bd733605a2cc53a7882b1d6108358b33da479f3</x:t>
        </x:r>
      </x:text>
    </x:comment>
    <x:comment ref="P64" authorId="59">
      <x:text>
        <x:r>
          <x:t>[Threaded comment]
Your version of Excel allows you to read this threaded comment; however, any edits to it will get removed if the file is opened in a newer version of Excel. Learn more: https://go.microsoft.com/fwlink/?linkid=870924
Comment:
    Source: https://nepirockcastle.com/wp-content/uploads/2026/03/NEPI_Rockcastle_Annual_Report_2025.pdf
Page: 310
Available: 2026-03-18
SHA-256: 4124bee2bfb55a181cda56963bd733605a2cc53a7882b1d6108358b33da479f3</x:t>
        </x:r>
      </x:text>
    </x:comment>
    <x:comment ref="P65" authorId="60">
      <x:text>
        <x:r>
          <x:t>[Threaded comment]
Your version of Excel allows you to read this threaded comment; however, any edits to it will get removed if the file is opened in a newer version of Excel. Learn more: https://go.microsoft.com/fwlink/?linkid=870924
Comment:
    Source: https://nepirockcastle.com/wp-content/uploads/2026/03/NEPI_Rockcastle_Annual_Report_2025.pdf
Page: 311
Available: 2026-03-18
SHA-256: 4124bee2bfb55a181cda56963bd733605a2cc53a7882b1d6108358b33da479f3</x:t>
        </x:r>
      </x:text>
    </x:comment>
    <x:comment ref="P66" authorId="61">
      <x:text>
        <x:r>
          <x:t>[Threaded comment]
Your version of Excel allows you to read this threaded comment; however, any edits to it will get removed if the file is opened in a newer version of Excel. Learn more: https://go.microsoft.com/fwlink/?linkid=870924
Comment:
    Source: https://www.prosus.com/~/media/Files/P/prosus-corp-v2/results-reports-and-events-archive/annual-report/2026/fy2026-annual-report.pdf
Page: 140
Available: 2026-06-29
SHA-256: 3ea6278d374118f72fe41ac635d4b622bc1b59be44f5db9c0a7bc321ceabf077</x:t>
        </x:r>
      </x:text>
    </x:comment>
    <x:comment ref="P67" authorId="62">
      <x:text>
        <x:r>
          <x:t>[Threaded comment]
Your version of Excel allows you to read this threaded comment; however, any edits to it will get removed if the file is opened in a newer version of Excel. Learn more: https://go.microsoft.com/fwlink/?linkid=870924
Comment:
    Source: https://www.prosus.com/~/media/Files/P/prosus-corp-v2/results-reports-and-events-archive/annual-report/2026/fy2026-annual-report.pdf
Page: 140
Available: 2026-06-29
SHA-256: 3ea6278d374118f72fe41ac635d4b622bc1b59be44f5db9c0a7bc321ceabf077</x:t>
        </x:r>
      </x:text>
    </x:comment>
    <x:comment ref="P68" authorId="63">
      <x:text>
        <x:r>
          <x:t>[Threaded comment]
Your version of Excel allows you to read this threaded comment; however, any edits to it will get removed if the file is opened in a newer version of Excel. Learn more: https://go.microsoft.com/fwlink/?linkid=870924
Comment:
    Source: https://www.prosus.com/~/media/Files/P/prosus-corp-v2/results-reports-and-events-archive/annual-report/2026/fy2026-annual-report.pdf
Page: 141
Available: 2026-06-29
SHA-256: 3ea6278d374118f72fe41ac635d4b622bc1b59be44f5db9c0a7bc321ceabf077</x:t>
        </x:r>
      </x:text>
    </x:comment>
    <x:comment ref="P69" authorId="64">
      <x:text>
        <x:r>
          <x:t>[Threaded comment]
Your version of Excel allows you to read this threaded comment; however, any edits to it will get removed if the file is opened in a newer version of Excel. Learn more: https://go.microsoft.com/fwlink/?linkid=870924
Comment:
    Source: https://www.naspers.com/~/media/Files/N/Naspers-Corp-V2/results-reports-and-events-archive/latest-results/fy-2026/naspers-annual-financial-statements-2026.pdf
Page: 32
Available: 2026-06-29
SHA-256: e0d23733f611c2b81f2b8c7362c492178fe52b3109472db1e08efe824298f17b</x:t>
        </x:r>
      </x:text>
    </x:comment>
    <x:comment ref="P70" authorId="65">
      <x:text>
        <x:r>
          <x:t>[Threaded comment]
Your version of Excel allows you to read this threaded comment; however, any edits to it will get removed if the file is opened in a newer version of Excel. Learn more: https://go.microsoft.com/fwlink/?linkid=870924
Comment:
    Source: https://www.naspers.com/~/media/Files/N/Naspers-Corp-V2/results-reports-and-events-archive/latest-results/fy-2026/naspers-annual-financial-statements-2026.pdf
Page: 32
Available: 2026-06-29
SHA-256: e0d23733f611c2b81f2b8c7362c492178fe52b3109472db1e08efe824298f17b</x:t>
        </x:r>
      </x:text>
    </x:comment>
    <x:comment ref="P71" authorId="66">
      <x:text>
        <x:r>
          <x:t>[Threaded comment]
Your version of Excel allows you to read this threaded comment; however, any edits to it will get removed if the file is opened in a newer version of Excel. Learn more: https://go.microsoft.com/fwlink/?linkid=870924
Comment:
    Source: https://www.naspers.com/~/media/Files/N/Naspers-Corp-V2/results-reports-and-events-archive/latest-results/fy-2026/naspers-annual-financial-statements-2026.pdf
Page: 33
Available: 2026-06-29
SHA-256: e0d23733f611c2b81f2b8c7362c492178fe52b3109472db1e08efe824298f17b</x:t>
        </x:r>
      </x:text>
    </x:comment>
    <x:comment ref="P72" authorId="67">
      <x:text>
        <x:r>
          <x:t>[Threaded comment]
Your version of Excel allows you to read this threaded comment; however, any edits to it will get removed if the file is opened in a newer version of Excel. Learn more: https://go.microsoft.com/fwlink/?linkid=870924
Comment:
    Source: https://www.mtn.com/wp-content/uploads/2026/03/MTN-Group-FY-25-Annual-Financial-Statements.pdf
Page: 23
Available: 2026-03-16
SHA-256: bea72f5adefd24ecb4dd8ed36e523730e19a3efb2fa9f79b63567bc4fac2e59b</x:t>
        </x:r>
      </x:text>
    </x:comment>
    <x:comment ref="P73" authorId="68">
      <x:text>
        <x:r>
          <x:t>[Threaded comment]
Your version of Excel allows you to read this threaded comment; however, any edits to it will get removed if the file is opened in a newer version of Excel. Learn more: https://go.microsoft.com/fwlink/?linkid=870924
Comment:
    Source: https://www.mtn.com/wp-content/uploads/2026/03/MTN-Group-FY-25-Annual-Financial-Statements.pdf
Page: 23
Available: 2026-03-16
SHA-256: bea72f5adefd24ecb4dd8ed36e523730e19a3efb2fa9f79b63567bc4fac2e59b</x:t>
        </x:r>
      </x:text>
    </x:comment>
    <x:comment ref="P74" authorId="69">
      <x:text>
        <x:r>
          <x:t>[Threaded comment]
Your version of Excel allows you to read this threaded comment; however, any edits to it will get removed if the file is opened in a newer version of Excel. Learn more: https://go.microsoft.com/fwlink/?linkid=870924
Comment:
    Source: https://www.mtn.com/wp-content/uploads/2026/03/MTN-Group-FY-25-Annual-Financial-Statements.pdf
Page: 21
Available: 2026-03-16
SHA-256: bea72f5adefd24ecb4dd8ed36e523730e19a3efb2fa9f79b63567bc4fac2e59b</x:t>
        </x:r>
      </x:text>
    </x:comment>
    <x:comment ref="P75" authorId="70">
      <x:text>
        <x:r>
          <x:t>[Threaded comment]
Your version of Excel allows you to read this threaded comment; however, any edits to it will get removed if the file is opened in a newer version of Excel. Learn more: https://go.microsoft.com/fwlink/?linkid=870924
Comment:
    Source: https://vodacom-reports.co.za/integrated-reports/ir-2026/documents/vodacom-consolidated-and-separate-financial-statements-2026.pdf
Page: 21
Available: 2026-06-12
SHA-256: d6f149d15a1e7a0edc82acd536f2d59644e2c9acce621a65878aa322390fd896</x:t>
        </x:r>
      </x:text>
    </x:comment>
    <x:comment ref="P76" authorId="71">
      <x:text>
        <x:r>
          <x:t>[Threaded comment]
Your version of Excel allows you to read this threaded comment; however, any edits to it will get removed if the file is opened in a newer version of Excel. Learn more: https://go.microsoft.com/fwlink/?linkid=870924
Comment:
    Source: https://vodacom-reports.co.za/integrated-reports/ir-2026/documents/vodacom-consolidated-and-separate-financial-statements-2026.pdf
Page: 21
Available: 2026-06-12
SHA-256: d6f149d15a1e7a0edc82acd536f2d59644e2c9acce621a65878aa322390fd896</x:t>
        </x:r>
      </x:text>
    </x:comment>
    <x:comment ref="P77" authorId="72">
      <x:text>
        <x:r>
          <x:t>[Threaded comment]
Your version of Excel allows you to read this threaded comment; however, any edits to it will get removed if the file is opened in a newer version of Excel. Learn more: https://go.microsoft.com/fwlink/?linkid=870924
Comment:
    Source: https://vodacom-reports.co.za/integrated-reports/ir-2026/documents/vodacom-consolidated-and-separate-financial-statements-2026.pdf
Page: 19
Available: 2026-06-12
SHA-256: d6f149d15a1e7a0edc82acd536f2d59644e2c9acce621a65878aa322390fd896</x:t>
        </x:r>
      </x:text>
    </x:comment>
    <x:comment ref="P78" authorId="73">
      <x:text>
        <x:r>
          <x:t>[Threaded comment]
Your version of Excel allows you to read this threaded comment; however, any edits to it will get removed if the file is opened in a newer version of Excel. Learn more: https://go.microsoft.com/fwlink/?linkid=870924
Comment:
    Source: https://bidvest.co.za/pdf/annual-reports/2025/bidvest-iar-2025.pdf
Page: 43
Available: 2025-10-24
SHA-256: 2a44e26a70a3c05c45814de4aba756ef39bfa15e05137f49edd3ec22b722260a</x:t>
        </x:r>
      </x:text>
    </x:comment>
    <x:comment ref="P79" authorId="74">
      <x:text>
        <x:r>
          <x:t>[Threaded comment]
Your version of Excel allows you to read this threaded comment; however, any edits to it will get removed if the file is opened in a newer version of Excel. Learn more: https://go.microsoft.com/fwlink/?linkid=870924
Comment:
    Source: https://bidvest.co.za/pdf/annual-reports/2025/bidvest-iar-2025.pdf
Page: 44
Available: 2025-10-24
SHA-256: 2a44e26a70a3c05c45814de4aba756ef39bfa15e05137f49edd3ec22b722260a</x:t>
        </x:r>
      </x:text>
    </x:comment>
    <x:comment ref="P80" authorId="75">
      <x:text>
        <x:r>
          <x:t>[Threaded comment]
Your version of Excel allows you to read this threaded comment; however, any edits to it will get removed if the file is opened in a newer version of Excel. Learn more: https://go.microsoft.com/fwlink/?linkid=870924
Comment:
    Source: https://bidvest.co.za/pdf/annual-reports/2025/bidvest-iar-2025.pdf
Page: 40
Available: 2025-10-24
SHA-256: 2a44e26a70a3c05c45814de4aba756ef39bfa15e05137f49edd3ec22b722260a</x:t>
        </x:r>
      </x:text>
    </x:comment>
    <x:comment ref="P81" authorId="76">
      <x:text>
        <x:r>
          <x:t>[Threaded comment]
Your version of Excel allows you to read this threaded comment; however, any edits to it will get removed if the file is opened in a newer version of Excel. Learn more: https://go.microsoft.com/fwlink/?linkid=870924
Comment:
    Source: https://www.aspenpharma.com/download/annual-financial-statements-2/
Page: 15
Available: 2025-10-02
SHA-256: a091fee4d4b575781836440b929291617c128f8f857b2dd0a7e0dfb4c1bcc53d</x:t>
        </x:r>
      </x:text>
    </x:comment>
    <x:comment ref="P82" authorId="77">
      <x:text>
        <x:r>
          <x:t>[Threaded comment]
Your version of Excel allows you to read this threaded comment; however, any edits to it will get removed if the file is opened in a newer version of Excel. Learn more: https://go.microsoft.com/fwlink/?linkid=870924
Comment:
    Source: https://www.aspenpharma.com/download/annual-financial-statements-2/
Page: 15
Available: 2025-10-02
SHA-256: a091fee4d4b575781836440b929291617c128f8f857b2dd0a7e0dfb4c1bcc53d</x:t>
        </x:r>
      </x:text>
    </x:comment>
    <x:comment ref="P83" authorId="78">
      <x:text>
        <x:r>
          <x:t>[Threaded comment]
Your version of Excel allows you to read this threaded comment; however, any edits to it will get removed if the file is opened in a newer version of Excel. Learn more: https://go.microsoft.com/fwlink/?linkid=870924
Comment:
    Source: https://www.aspenpharma.com/download/annual-financial-statements-2/
Page: 16
Available: 2025-10-02
SHA-256: a091fee4d4b575781836440b929291617c128f8f857b2dd0a7e0dfb4c1bcc53d</x:t>
        </x:r>
      </x:text>
    </x:comment>
    <x:comment ref="P84" authorId="79">
      <x:text>
        <x:r>
          <x:t>[Threaded comment]
Your version of Excel allows you to read this threaded comment; however, any edits to it will get removed if the file is opened in a newer version of Excel. Learn more: https://go.microsoft.com/fwlink/?linkid=870924
Comment:
    Source: https://senspdf.jse.co.za/documents/2026/JSE/isse/SHCE/FY25Result.pdf
Page: 22
Available: 2026-02-25
SHA-256: 71bcff13a20668eea8842f5ef28273ba787b0042b2fe7e1ea9faeb03b581ed53</x:t>
        </x:r>
      </x:text>
    </x:comment>
    <x:comment ref="P85" authorId="80">
      <x:text>
        <x:r>
          <x:t>[Threaded comment]
Your version of Excel allows you to read this threaded comment; however, any edits to it will get removed if the file is opened in a newer version of Excel. Learn more: https://go.microsoft.com/fwlink/?linkid=870924
Comment:
    Source: https://senspdf.jse.co.za/documents/2026/JSE/isse/SHCE/FY25Result.pdf
Page: 22
Available: 2026-02-25
SHA-256: 71bcff13a20668eea8842f5ef28273ba787b0042b2fe7e1ea9faeb03b581ed53</x:t>
        </x:r>
      </x:text>
    </x:comment>
    <x:comment ref="P86" authorId="81">
      <x:text>
        <x:r>
          <x:t>[Threaded comment]
Your version of Excel allows you to read this threaded comment; however, any edits to it will get removed if the file is opened in a newer version of Excel. Learn more: https://go.microsoft.com/fwlink/?linkid=870924
Comment:
    Source: https://senspdf.jse.co.za/documents/2026/JSE/isse/SHCE/FY25Result.pdf
Page: 21
Available: 2026-02-25
SHA-256: 71bcff13a20668eea8842f5ef28273ba787b0042b2fe7e1ea9faeb03b581ed53</x:t>
        </x:r>
      </x:text>
    </x:comment>
  </x:commentList>
</x:comments>
</file>

<file path=xl/comments2.xml><?xml version="1.0" encoding="utf-8"?>
<x:comments xmlns:x="http://schemas.openxmlformats.org/spreadsheetml/2006/main">
  <x:authors>
    <x:author>tc={412264CB-0198-A4AD-5095-3943B5688F8A}</x:author>
    <x:author>tc={D611538A-1068-5E3E-807C-91FD465281F2}</x:author>
    <x:author>tc={676497BB-B57D-BAA8-51F5-3491834C2DD4}</x:author>
    <x:author>tc={CCEF71D2-12BB-A55C-096A-0B37EC5D70E4}</x:author>
    <x:author>tc={A41A3E54-1019-A494-12F4-28E61980A544}</x:author>
    <x:author>tc={B77AD72D-FDFD-5964-BAC0-89501CB4184E}</x:author>
    <x:author>tc={149CA51D-14DE-F486-DDAF-D37A74C81227}</x:author>
    <x:author>tc={486C6DB4-31DA-FB39-866A-D00570E2EEA2}</x:author>
    <x:author>tc={FD677C82-17C3-1DB4-D5FC-A4E486358B61}</x:author>
    <x:author>tc={AB52A347-735A-DB4E-2271-2D696CBE6ED7}</x:author>
    <x:author>tc={0D3AD057-B941-5E14-17C4-F5B12BC38F0A}</x:author>
    <x:author>tc={F1D1D93C-B4B4-F7C3-4292-EF8AB042F2FE}</x:author>
    <x:author>tc={3E61485D-26F8-9ACA-7D6E-59B42CE8A7E2}</x:author>
    <x:author>tc={61BA8F4F-EDEC-8161-91AB-4C1D74B78E0A}</x:author>
    <x:author>tc={964A3AD5-9D3A-E480-F6E7-0C4B5D120F1B}</x:author>
    <x:author>tc={34C6CED1-BF8C-C4F8-208B-7B736231D826}</x:author>
    <x:author>tc={8B50E57B-8FBD-C542-72AD-AA3031306B3E}</x:author>
    <x:author>tc={FA6E7385-CF81-8C82-796A-0DBBA97B14B8}</x:author>
    <x:author>tc={DC7F069F-D517-2A81-43DE-1661BBAE1A0E}</x:author>
    <x:author>tc={CE5B0A53-2110-588A-8A8C-D6D8495C1F35}</x:author>
  </x:authors>
  <x:commentList>
    <x:comment ref="J5" authorId="0">
      <x:text>
        <x:r>
          <x:t>[Threaded comment]
Your version of Excel allows you to read this threaded comment; however, any edits to it will get removed if the file is opened in a newer version of Excel. Learn more: https://go.microsoft.com/fwlink/?linkid=870924
Comment:
    Official source: https://www.bhp.com/-/media/documents/investors/annual-reports/2025/250819_bhpannualreport2025.pdf</x:t>
        </x:r>
      </x:text>
    </x:comment>
    <x:comment ref="J6" authorId="1">
      <x:text>
        <x:r>
          <x:t>[Threaded comment]
Your version of Excel allows you to read this threaded comment; however, any edits to it will get removed if the file is opened in a newer version of Excel. Learn more: https://go.microsoft.com/fwlink/?linkid=870924
Comment:
    Official source: https://www.glencore.com/.rest/api/v1/documents/static/9b103e11-72e7-40bf-ae7c-eabe57361522/GLEN-2025-Annual-Report.pdf</x:t>
        </x:r>
      </x:text>
    </x:comment>
    <x:comment ref="J7" authorId="2">
      <x:text>
        <x:r>
          <x:t>[Threaded comment]
Your version of Excel allows you to read this threaded comment; however, any edits to it will get removed if the file is opened in a newer version of Excel. Learn more: https://go.microsoft.com/fwlink/?linkid=870924
Comment:
    Official source: https://www.angloamerican.com/~/media/Files/A/Anglo-American-Group-v9/PLC/investors/annual-reporting/2025/aa-annual-report-full-2025.pdf</x:t>
        </x:r>
      </x:text>
    </x:comment>
    <x:comment ref="J8" authorId="3">
      <x:text>
        <x:r>
          <x:t>[Threaded comment]
Your version of Excel allows you to read this threaded comment; however, any edits to it will get removed if the file is opened in a newer version of Excel. Learn more: https://go.microsoft.com/fwlink/?linkid=870924
Comment:
    Official source: https://reports.anglogoldashanti.com/25/download/AGA-AR25.pdf</x:t>
        </x:r>
      </x:text>
    </x:comment>
    <x:comment ref="J9" authorId="4">
      <x:text>
        <x:r>
          <x:t>[Threaded comment]
Your version of Excel allows you to read this threaded comment; however, any edits to it will get removed if the file is opened in a newer version of Excel. Learn more: https://go.microsoft.com/fwlink/?linkid=870924
Comment:
    Official source: https://www.goldfields.com/pdf/investors/integrated-annual-reports/2025/afs-2025.pdf</x:t>
        </x:r>
      </x:text>
    </x:comment>
    <x:comment ref="J10" authorId="5">
      <x:text>
        <x:r>
          <x:t>[Threaded comment]
Your version of Excel allows you to read this threaded comment; however, any edits to it will get removed if the file is opened in a newer version of Excel. Learn more: https://go.microsoft.com/fwlink/?linkid=870924
Comment:
    Official source: https://www.valterraplatinum.com/wp-content/uploads/2026/05/annual-financial-statements-2025.pdf</x:t>
        </x:r>
      </x:text>
    </x:comment>
    <x:comment ref="J11" authorId="6">
      <x:text>
        <x:r>
          <x:t>[Threaded comment]
Your version of Excel allows you to read this threaded comment; however, any edits to it will get removed if the file is opened in a newer version of Excel. Learn more: https://go.microsoft.com/fwlink/?linkid=870924
Comment:
    Official source: https://group.outsurance.co.za/globalassets/documents/investor-relations/reports-and-results/2025/ogl-annual-financial-statements-2025.pdf</x:t>
        </x:r>
      </x:text>
    </x:comment>
    <x:comment ref="J12" authorId="7">
      <x:text>
        <x:r>
          <x:t>[Threaded comment]
Your version of Excel allows you to read this threaded comment; however, any edits to it will get removed if the file is opened in a newer version of Excel. Learn more: https://go.microsoft.com/fwlink/?linkid=870924
Comment:
    Official source: https://www.sanlam.com/downloads/integrated-report-and-annual-financial-statements/2024/Sanlam-AFS-2024-spreads.pdf</x:t>
        </x:r>
      </x:text>
    </x:comment>
    <x:comment ref="J13" authorId="8">
      <x:text>
        <x:r>
          <x:t>[Threaded comment]
Your version of Excel allows you to read this threaded comment; however, any edits to it will get removed if the file is opened in a newer version of Excel. Learn more: https://go.microsoft.com/fwlink/?linkid=870924
Comment:
    Official source: https://www.shopriteholdings.co.za/docs/shp-afs-2025.pdf</x:t>
        </x:r>
      </x:text>
    </x:comment>
    <x:comment ref="J14" authorId="9">
      <x:text>
        <x:r>
          <x:t>[Threaded comment]
Your version of Excel allows you to read this threaded comment; however, any edits to it will get removed if the file is opened in a newer version of Excel. Learn more: https://go.microsoft.com/fwlink/?linkid=870924
Comment:
    Official source: https://www.bidcorpgroup.com/pdf/reports/2025/Bidcorp-2025-AIR.pdf</x:t>
        </x:r>
      </x:text>
    </x:comment>
    <x:comment ref="J15" authorId="10">
      <x:text>
        <x:r>
          <x:t>[Threaded comment]
Your version of Excel allows you to read this threaded comment; however, any edits to it will get removed if the file is opened in a newer version of Excel. Learn more: https://go.microsoft.com/fwlink/?linkid=870924
Comment:
    Official source: https://pepkor.co.za/wp-content/uploads/Pepkor-annual-financial-statements-2025.pdf</x:t>
        </x:r>
      </x:text>
    </x:comment>
    <x:comment ref="J16" authorId="11">
      <x:text>
        <x:r>
          <x:t>[Threaded comment]
Your version of Excel allows you to read this threaded comment; however, any edits to it will get removed if the file is opened in a newer version of Excel. Learn more: https://go.microsoft.com/fwlink/?linkid=870924
Comment:
    Official source: https://clicksgroup.co.za/iar2025/wp-content/uploads/CGL-YE25-Annual-financial-statements.pdf</x:t>
        </x:r>
      </x:text>
    </x:comment>
    <x:comment ref="J17" authorId="12">
      <x:text>
        <x:r>
          <x:t>[Threaded comment]
Your version of Excel allows you to read this threaded comment; however, any edits to it will get removed if the file is opened in a newer version of Excel. Learn more: https://go.microsoft.com/fwlink/?linkid=870924
Comment:
    Official source: https://nepirockcastle.com/wp-content/uploads/2026/03/NEPI_Rockcastle_Annual_Report_2025.pdf</x:t>
        </x:r>
      </x:text>
    </x:comment>
    <x:comment ref="J18" authorId="13">
      <x:text>
        <x:r>
          <x:t>[Threaded comment]
Your version of Excel allows you to read this threaded comment; however, any edits to it will get removed if the file is opened in a newer version of Excel. Learn more: https://go.microsoft.com/fwlink/?linkid=870924
Comment:
    Official source: https://www.prosus.com/~/media/Files/P/prosus-corp-v2/results-reports-and-events-archive/annual-report/2026/fy2026-annual-report.pdf</x:t>
        </x:r>
      </x:text>
    </x:comment>
    <x:comment ref="J19" authorId="14">
      <x:text>
        <x:r>
          <x:t>[Threaded comment]
Your version of Excel allows you to read this threaded comment; however, any edits to it will get removed if the file is opened in a newer version of Excel. Learn more: https://go.microsoft.com/fwlink/?linkid=870924
Comment:
    Official source: https://www.naspers.com/~/media/Files/N/Naspers-Corp-V2/results-reports-and-events-archive/latest-results/fy-2026/naspers-annual-financial-statements-2026.pdf</x:t>
        </x:r>
      </x:text>
    </x:comment>
    <x:comment ref="J20" authorId="15">
      <x:text>
        <x:r>
          <x:t>[Threaded comment]
Your version of Excel allows you to read this threaded comment; however, any edits to it will get removed if the file is opened in a newer version of Excel. Learn more: https://go.microsoft.com/fwlink/?linkid=870924
Comment:
    Official source: https://www.mtn.com/wp-content/uploads/2026/03/MTN-Group-FY-25-Annual-Financial-Statements.pdf</x:t>
        </x:r>
      </x:text>
    </x:comment>
    <x:comment ref="J21" authorId="16">
      <x:text>
        <x:r>
          <x:t>[Threaded comment]
Your version of Excel allows you to read this threaded comment; however, any edits to it will get removed if the file is opened in a newer version of Excel. Learn more: https://go.microsoft.com/fwlink/?linkid=870924
Comment:
    Official source: https://vodacom-reports.co.za/integrated-reports/ir-2026/documents/vodacom-consolidated-and-separate-financial-statements-2026.pdf</x:t>
        </x:r>
      </x:text>
    </x:comment>
    <x:comment ref="J22" authorId="17">
      <x:text>
        <x:r>
          <x:t>[Threaded comment]
Your version of Excel allows you to read this threaded comment; however, any edits to it will get removed if the file is opened in a newer version of Excel. Learn more: https://go.microsoft.com/fwlink/?linkid=870924
Comment:
    Official source: https://bidvest.co.za/pdf/annual-reports/2025/bidvest-iar-2025.pdf</x:t>
        </x:r>
      </x:text>
    </x:comment>
    <x:comment ref="J23" authorId="18">
      <x:text>
        <x:r>
          <x:t>[Threaded comment]
Your version of Excel allows you to read this threaded comment; however, any edits to it will get removed if the file is opened in a newer version of Excel. Learn more: https://go.microsoft.com/fwlink/?linkid=870924
Comment:
    Official source: https://www.aspenpharma.com/download/annual-financial-statements-2/</x:t>
        </x:r>
      </x:text>
    </x:comment>
    <x:comment ref="J24" authorId="19">
      <x:text>
        <x:r>
          <x:t>[Threaded comment]
Your version of Excel allows you to read this threaded comment; however, any edits to it will get removed if the file is opened in a newer version of Excel. Learn more: https://go.microsoft.com/fwlink/?linkid=870924
Comment:
    Official source: https://senspdf.jse.co.za/documents/2026/JSE/isse/SHCE/FY25Result.pdf</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quot;R&quot;#,##0"/>
    <x:numFmt numFmtId="202" formatCode="#,##0.00"/>
    <x:numFmt numFmtId="203" formatCode="R#,##0"/>
    <x:numFmt numFmtId="204" formatCode="0.00"/>
  </x:numFmts>
  <x:fonts count="12">
    <x:font>
      <x:sz val="11"/>
      <x:name val="Carlito"/>
    </x:font>
    <x:font>
      <x:b/>
      <x:sz val="20"/>
      <x:color rgb="FFFFFFFF"/>
      <x:name val="Carlito"/>
    </x:font>
    <x:font>
      <x:sz val="10"/>
      <x:color rgb="FF5E6C7C"/>
      <x:name val="Carlito"/>
    </x:font>
    <x:font>
      <x:b/>
      <x:sz val="12"/>
      <x:color rgb="FFFFFFFF"/>
      <x:name val="Carlito"/>
    </x:font>
    <x:font>
      <x:b/>
      <x:sz val="11"/>
      <x:color rgb="FF07182A"/>
      <x:name val="Carlito"/>
    </x:font>
    <x:font>
      <x:b/>
      <x:sz val="14"/>
      <x:color rgb="FF0A8F77"/>
      <x:name val="Carlito"/>
    </x:font>
    <x:font>
      <x:b/>
      <x:sz val="14"/>
      <x:color rgb="FF7256C7"/>
      <x:name val="Carlito"/>
    </x:font>
    <x:font>
      <x:b/>
      <x:sz val="11"/>
      <x:color rgb="FFFFFFFF"/>
      <x:name val="Carlito"/>
    </x:font>
    <x:font>
      <x:sz val="10"/>
      <x:color rgb="FF72520C"/>
      <x:name val="Carlito"/>
    </x:font>
    <x:font>
      <x:b/>
      <x:sz val="10"/>
      <x:color rgb="FF0A8F77"/>
      <x:name val="Carlito"/>
    </x:font>
    <x:font>
      <x:b/>
      <x:sz val="9"/>
      <x:color rgb="FFFFFFFF"/>
      <x:name val="Carlito"/>
    </x:font>
    <x:font>
      <x:sz val="9"/>
      <x:color rgb="FF07182A"/>
      <x:name val="Carlito"/>
    </x:font>
  </x:fonts>
  <x:fills count="12">
    <x:fill>
      <x:patternFill patternType="none"/>
    </x:fill>
    <x:fill>
      <x:patternFill patternType="gray125"/>
    </x:fill>
    <x:fill>
      <x:patternFill patternType="solid">
        <x:fgColor rgb="FF07182A"/>
      </x:patternFill>
    </x:fill>
    <x:fill>
      <x:patternFill patternType="solid">
        <x:fgColor rgb="FFF5F8FC"/>
      </x:patternFill>
    </x:fill>
    <x:fill>
      <x:patternFill patternType="solid">
        <x:fgColor rgb="FF0B63E5"/>
      </x:patternFill>
    </x:fill>
    <x:fill>
      <x:patternFill patternType="solid">
        <x:fgColor rgb="FFEEF5FF"/>
      </x:patternFill>
    </x:fill>
    <x:fill>
      <x:patternFill patternType="solid">
        <x:fgColor rgb="FFF1EDFF"/>
      </x:patternFill>
    </x:fill>
    <x:fill>
      <x:patternFill patternType="solid">
        <x:fgColor rgb="FFD99A1B"/>
      </x:patternFill>
    </x:fill>
    <x:fill>
      <x:patternFill patternType="solid">
        <x:fgColor rgb="FFFFF6E3"/>
      </x:patternFill>
    </x:fill>
    <x:fill>
      <x:patternFill patternType="solid">
        <x:fgColor rgb="FFEAF8F3"/>
      </x:patternFill>
    </x:fill>
    <x:fill>
      <x:patternFill patternType="solid">
        <x:fgColor rgb="FF0A8F77"/>
      </x:patternFill>
    </x:fill>
    <x:fill>
      <x:patternFill patternType="solid">
        <x:fgColor rgb="FF7256C7"/>
      </x:patternFill>
    </x:fill>
  </x:fills>
  <x:borders count="10">
    <x:border/>
    <x:border>
      <x:left style="thin">
        <x:color rgb="FFE8C97D"/>
      </x:left>
      <x:top style="thin">
        <x:color rgb="FFE8C97D"/>
      </x:top>
    </x:border>
    <x:border>
      <x:top style="thin">
        <x:color rgb="FFE8C97D"/>
      </x:top>
    </x:border>
    <x:border>
      <x:right style="thin">
        <x:color rgb="FFE8C97D"/>
      </x:right>
      <x:top style="thin">
        <x:color rgb="FFE8C97D"/>
      </x:top>
    </x:border>
    <x:border>
      <x:left style="thin">
        <x:color rgb="FFE8C97D"/>
      </x:left>
    </x:border>
    <x:border>
      <x:right style="thin">
        <x:color rgb="FFE8C97D"/>
      </x:right>
    </x:border>
    <x:border>
      <x:left style="thin">
        <x:color rgb="FFE8C97D"/>
      </x:left>
      <x:bottom style="thin">
        <x:color rgb="FFE8C97D"/>
      </x:bottom>
    </x:border>
    <x:border>
      <x:bottom style="thin">
        <x:color rgb="FFE8C97D"/>
      </x:bottom>
    </x:border>
    <x:border>
      <x:right style="thin">
        <x:color rgb="FFE8C97D"/>
      </x:right>
      <x:bottom style="thin">
        <x:color rgb="FFE8C97D"/>
      </x:bottom>
    </x:border>
    <x:border>
      <x:left style="thin">
        <x:color rgb="FFDCE4EE"/>
      </x:left>
      <x:right style="thin">
        <x:color rgb="FFDCE4EE"/>
      </x:right>
      <x:top style="thin">
        <x:color rgb="FFDCE4EE"/>
      </x:top>
      <x:bottom style="thin">
        <x:color rgb="FFDCE4EE"/>
      </x:bottom>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200" fontId="6" fillId="0" borderId="0" xfId="0" applyNumberFormat="1" applyFont="1" applyFill="1" applyBorder="1"/>
    <x:xf numFmtId="201" fontId="6" fillId="0"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8" fillId="8" borderId="1"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8" xfId="0" applyNumberFormat="1" applyFont="1" applyFill="1" applyBorder="1"/>
    <x:xf numFmtId="0" fontId="8" fillId="8" borderId="1" xfId="0" applyNumberFormat="1" applyFont="1" applyFill="1" applyBorder="1" applyAlignment="1">
      <x:alignment wrapText="1"/>
    </x:xf>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8" xfId="0" applyNumberFormat="1" applyFont="1" applyFill="1" applyBorder="1" applyAlignment="1">
      <x:alignment wrapText="1"/>
    </x:xf>
    <x:xf numFmtId="0" fontId="8" fillId="8" borderId="1" xfId="0" applyNumberFormat="1" applyFont="1" applyFill="1" applyBorder="1" applyAlignment="1">
      <x:alignment vertical="top"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8" fillId="8" borderId="8" xfId="0" applyNumberFormat="1" applyFont="1" applyFill="1" applyBorder="1" applyAlignment="1">
      <x:alignment vertical="top" wrapText="1"/>
    </x:xf>
    <x:xf numFmtId="0" fontId="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wrapText="1"/>
    </x:xf>
    <x:xf numFmtId="0" fontId="10" fillId="4" borderId="0" xfId="0" applyNumberFormat="1" applyFont="1" applyFill="1" applyBorder="1"/>
    <x:xf numFmtId="0" fontId="10" fillId="4" borderId="9" xfId="0" applyNumberFormat="1" applyFont="1" applyFill="1" applyBorder="1"/>
    <x:xf numFmtId="0" fontId="10" fillId="4" borderId="9" xfId="0" applyNumberFormat="1" applyFont="1" applyFill="1" applyBorder="1" applyAlignment="1">
      <x:alignment wrapText="1"/>
    </x:xf>
    <x:xf numFmtId="0" fontId="10" fillId="4" borderId="9" xfId="0" applyNumberFormat="1" applyFont="1" applyFill="1" applyBorder="1" applyAlignment="1">
      <x:alignment horizontal="left" wrapText="1"/>
    </x:xf>
    <x:xf numFmtId="0" fontId="10" fillId="4" borderId="9" xfId="0" applyNumberFormat="1" applyFont="1" applyFill="1" applyBorder="1" applyAlignment="1">
      <x:alignment horizontal="left" vertical="center" wrapText="1"/>
    </x:xf>
    <x:xf numFmtId="0" fontId="11" fillId="0" borderId="0" xfId="0" applyNumberFormat="1" applyFont="1" applyFill="1" applyBorder="1"/>
    <x:xf numFmtId="0" fontId="11" fillId="0" borderId="9" xfId="0" applyNumberFormat="1" applyFont="1" applyFill="1" applyBorder="1"/>
    <x:xf numFmtId="0" fontId="11" fillId="0" borderId="9" xfId="0" applyNumberFormat="1" applyFont="1" applyFill="1" applyBorder="1" applyAlignment="1">
      <x:alignment wrapText="1"/>
    </x:xf>
    <x:xf numFmtId="0" fontId="11" fillId="0" borderId="9" xfId="0" applyNumberFormat="1" applyFont="1" applyFill="1" applyBorder="1" applyAlignment="1">
      <x:alignment vertical="top" wrapText="1"/>
    </x:xf>
    <x:xf numFmtId="202" fontId="11" fillId="0" borderId="9" xfId="0" applyNumberFormat="1" applyFont="1" applyFill="1" applyBorder="1" applyAlignment="1">
      <x:alignment vertical="top" wrapText="1"/>
    </x:xf>
    <x:xf numFmtId="200" fontId="11" fillId="0" borderId="9" xfId="0" applyNumberFormat="1" applyFont="1" applyFill="1" applyBorder="1" applyAlignment="1">
      <x:alignment vertical="top" wrapText="1"/>
    </x:xf>
    <x:xf numFmtId="0" fontId="0" fillId="10" borderId="0" xfId="0" applyNumberFormat="1" applyFont="1" applyFill="1" applyBorder="1"/>
    <x:xf numFmtId="0" fontId="10" fillId="10" borderId="0" xfId="0" applyNumberFormat="1" applyFont="1" applyFill="1" applyBorder="1"/>
    <x:xf numFmtId="0" fontId="10" fillId="10" borderId="9" xfId="0" applyNumberFormat="1" applyFont="1" applyFill="1" applyBorder="1"/>
    <x:xf numFmtId="0" fontId="10" fillId="10" borderId="9" xfId="0" applyNumberFormat="1" applyFont="1" applyFill="1" applyBorder="1" applyAlignment="1">
      <x:alignment wrapText="1"/>
    </x:xf>
    <x:xf numFmtId="0" fontId="10" fillId="10" borderId="9" xfId="0" applyNumberFormat="1" applyFont="1" applyFill="1" applyBorder="1" applyAlignment="1">
      <x:alignment horizontal="left" wrapText="1"/>
    </x:xf>
    <x:xf numFmtId="0" fontId="10" fillId="10" borderId="9" xfId="0" applyNumberFormat="1" applyFont="1" applyFill="1" applyBorder="1" applyAlignment="1">
      <x:alignment horizontal="left" vertical="center" wrapText="1"/>
    </x:xf>
    <x:xf numFmtId="0" fontId="10" fillId="2" borderId="0" xfId="0" applyNumberFormat="1" applyFont="1" applyFill="1" applyBorder="1"/>
    <x:xf numFmtId="0" fontId="10" fillId="2" borderId="9" xfId="0" applyNumberFormat="1" applyFont="1" applyFill="1" applyBorder="1"/>
    <x:xf numFmtId="0" fontId="10" fillId="2" borderId="9" xfId="0" applyNumberFormat="1" applyFont="1" applyFill="1" applyBorder="1" applyAlignment="1">
      <x:alignment wrapText="1"/>
    </x:xf>
    <x:xf numFmtId="0" fontId="10" fillId="2" borderId="9" xfId="0" applyNumberFormat="1" applyFont="1" applyFill="1" applyBorder="1" applyAlignment="1">
      <x:alignment horizontal="left" wrapText="1"/>
    </x:xf>
    <x:xf numFmtId="0" fontId="10" fillId="2" borderId="9" xfId="0" applyNumberFormat="1" applyFont="1" applyFill="1" applyBorder="1" applyAlignment="1">
      <x:alignment horizontal="left" vertical="center" wrapText="1"/>
    </x:xf>
    <x:xf numFmtId="0" fontId="0" fillId="11" borderId="0" xfId="0" applyNumberFormat="1" applyFont="1" applyFill="1" applyBorder="1"/>
    <x:xf numFmtId="0" fontId="10" fillId="11" borderId="0" xfId="0" applyNumberFormat="1" applyFont="1" applyFill="1" applyBorder="1"/>
    <x:xf numFmtId="0" fontId="10" fillId="11" borderId="9" xfId="0" applyNumberFormat="1" applyFont="1" applyFill="1" applyBorder="1"/>
    <x:xf numFmtId="0" fontId="10" fillId="11" borderId="9" xfId="0" applyNumberFormat="1" applyFont="1" applyFill="1" applyBorder="1" applyAlignment="1">
      <x:alignment wrapText="1"/>
    </x:xf>
    <x:xf numFmtId="0" fontId="10" fillId="11" borderId="9" xfId="0" applyNumberFormat="1" applyFont="1" applyFill="1" applyBorder="1" applyAlignment="1">
      <x:alignment horizontal="left" wrapText="1"/>
    </x:xf>
    <x:xf numFmtId="0" fontId="10" fillId="11" borderId="9" xfId="0" applyNumberFormat="1" applyFont="1" applyFill="1" applyBorder="1" applyAlignment="1">
      <x:alignment horizontal="left" vertical="center" wrapText="1"/>
    </x:xf>
    <x:xf numFmtId="203" fontId="11" fillId="0" borderId="9" xfId="0" applyNumberFormat="1" applyFont="1" applyFill="1" applyBorder="1" applyAlignment="1">
      <x:alignment vertical="top" wrapText="1"/>
    </x:xf>
    <x:xf numFmtId="204" fontId="11" fillId="0" borderId="9" xfId="0" applyNumberFormat="1" applyFont="1" applyFill="1" applyBorder="1" applyAlignment="1">
      <x:alignment vertical="top" wrapText="1"/>
    </x:xf>
  </x:cellXfs>
  <x:cellStyles count="1">
    <x:cellStyle name="Normal" xfId="0"/>
  </x:cellStyles>
  <x:dxfs count="9">
    <x:dxf>
      <x:fill>
        <x:patternFill patternType="solid">
          <x:bgColor rgb="FFEAF8F3"/>
        </x:patternFill>
      </x:fill>
    </x:dxf>
    <x:dxf>
      <x:fill>
        <x:patternFill patternType="solid">
          <x:bgColor rgb="FFFFF6E3"/>
        </x:patternFill>
      </x:fill>
    </x:dxf>
    <x:dxf>
      <x:font>
        <x:b/>
        <x:color rgb="FF0A8F77"/>
      </x:font>
      <x:fill>
        <x:patternFill patternType="solid">
          <x:bgColor rgb="FFEAF8F3"/>
        </x:patternFill>
      </x:fill>
    </x:dxf>
    <x:dxf>
      <x:font>
        <x:b/>
        <x:color rgb="FF805B0C"/>
      </x:font>
      <x:fill>
        <x:patternFill patternType="solid">
          <x:bgColor rgb="FFFFF6E3"/>
        </x:patternFill>
      </x:fill>
    </x:dxf>
    <x:dxf>
      <x:fill>
        <x:patternFill patternType="solid">
          <x:bgColor rgb="FFEAF8F3"/>
        </x:patternFill>
      </x:fill>
    </x:dxf>
    <x:dxf>
      <x:font>
        <x:b/>
        <x:color rgb="FF7256C7"/>
      </x:font>
      <x:fill>
        <x:patternFill patternType="solid">
          <x:bgColor rgb="FFF1EDFF"/>
        </x:patternFill>
      </x:fill>
    </x:dxf>
    <x:dxf>
      <x:fill>
        <x:patternFill patternType="solid">
          <x:bgColor rgb="FFEAF8F3"/>
        </x:patternFill>
      </x:fill>
    </x:dxf>
    <x:dxf>
      <x:font>
        <x:b/>
        <x:color rgb="FF0A8F77"/>
      </x:font>
      <x:fill>
        <x:patternFill patternType="solid">
          <x:bgColor rgb="FFEAF8F3"/>
        </x:patternFill>
      </x:fill>
    </x:dxf>
    <x:dxf>
      <x:font>
        <x:b/>
        <x:color rgb="FFB33A3A"/>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61eb7b7122423b" /><Relationship Type="http://schemas.openxmlformats.org/officeDocument/2006/relationships/theme" Target="/xl/theme/theme1.xml" Id="Rf9ae457241b043b5" /><Relationship Type="http://schemas.openxmlformats.org/officeDocument/2006/relationships/sharedStrings" Target="/xl/sharedStrings.xml" Id="R37d6f4d52efe4cd4" /><Relationship Type="http://schemas.openxmlformats.org/officeDocument/2006/relationships/worksheet" Target="/xl/worksheets/sheet1.xml" Id="Rb867f6c0fef847f1" /><Relationship Type="http://schemas.openxmlformats.org/officeDocument/2006/relationships/worksheet" Target="/xl/worksheets/sheet2.xml" Id="R1a1da575606341db" /><Relationship Type="http://schemas.openxmlformats.org/officeDocument/2006/relationships/worksheet" Target="/xl/worksheets/sheet3.xml" Id="R0e9c17a9a4cf4fe6" /><Relationship Type="http://schemas.openxmlformats.org/officeDocument/2006/relationships/worksheet" Target="/xl/worksheets/sheet4.xml" Id="Rce4e04a3b6b041db" /><Relationship Type="http://schemas.openxmlformats.org/officeDocument/2006/relationships/worksheet" Target="/xl/worksheets/sheet5.xml" Id="Rbb6ddb7325364b33" /><Relationship Type="http://schemas.openxmlformats.org/officeDocument/2006/relationships/worksheet" Target="/xl/worksheets/sheet6.xml" Id="Rb63a667aeba246fd" /><Relationship Type="http://schemas.openxmlformats.org/officeDocument/2006/relationships/worksheet" Target="/xl/worksheets/sheet7.xml" Id="R0765a8ac812f4cce" /><Relationship Type="http://schemas.openxmlformats.org/officeDocument/2006/relationships/worksheet" Target="/xl/worksheets/sheet8.xml" Id="Reccecb0236f4459b" /><Relationship Type="http://schemas.openxmlformats.org/officeDocument/2006/relationships/worksheet" Target="/xl/worksheets/sheet9.xml" Id="R3a4d8a26ff054411" /><Relationship Type="http://schemas.microsoft.com/office/2017/10/relationships/person" Target="/xl/persons/person.xml" Id="R537f4ea7aeb7410a" /></Relationships>
</file>

<file path=xl/drawings/_rels/drawing1.xml.rels>&#65279;<?xml version="1.0" encoding="utf-8"?><Relationships xmlns="http://schemas.openxmlformats.org/package/2006/relationships"><Relationship Type="http://schemas.openxmlformats.org/officeDocument/2006/relationships/chart" Target="/xl/drawings/charts/chart1.xml" Id="R2282e35f824c4a1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Approval coverage by client</a:t>
            </a:r>
          </a:p>
        </c:rich>
      </c:tx>
      <c:overlay val="0"/>
    </c:title>
    <c:plotArea>
      <c:barChart>
        <c:barDir val="col"/>
        <c:varyColors val="0"/>
        <c:ser>
          <c:idx val="0"/>
          <c:order val="0"/>
          <c:tx>
            <c:v>Approved</c:v>
          </c:tx>
          <c:cat>
            <c:strRef>
              <c:f>'Client Coverage'!$L$5:$L$24</c:f>
              <c:strCache>
                <c:ptCount val="0"/>
              </c:strCache>
            </c:strRef>
          </c:cat>
          <c:val>
            <c:numRef>
              <c:f>'Client Coverage'!$M$5:$M$24</c:f>
              <c:numCache>
                <c:formatCode>General</c:formatCode>
                <c:ptCount val="0"/>
              </c:numCache>
            </c:numRef>
          </c:val>
        </c:ser>
        <c:ser>
          <c:idx val="1"/>
          <c:order val="1"/>
          <c:tx>
            <c:v>Pending</c:v>
          </c:tx>
          <c:cat>
            <c:strRef>
              <c:f>'Client Coverage'!$L$5:$L$24</c:f>
              <c:strCache>
                <c:ptCount val="0"/>
              </c:strCache>
            </c:strRef>
          </c:cat>
          <c:val>
            <c:numRef>
              <c:f>'Client Coverage'!$N$5:$N$24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26</xdr:row>
      <xdr:rowOff>0</xdr:rowOff>
    </xdr:from>
    <xdr:to>
      <xdr:col>20</xdr:col>
      <xdr:colOff>0</xdr:colOff>
      <xdr:row>47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82e35f824c4a1e"/>
        </a:graphicData>
      </a:graphic>
    </xdr:graphicFrame>
    <xdr:clientData/>
  </xdr:twoCellAnchor>
</xdr:wsDr>
</file>

<file path=xl/persons/person.xml><?xml version="1.0" encoding="utf-8"?>
<xltc:personList xmlns:xltc="http://schemas.microsoft.com/office/spreadsheetml/2018/threadedcomments">
  <xltc:person displayName="Corporate Wallet Digital Twin V3" id="{DCCFDD89-2735-472E-AF13-BF9A13E78A2B}"/>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P5" dT="2026-08-10T19:50:09.643" personId="{DCCFDD89-2735-472E-AF13-BF9A13E78A2B}" id="{22773D43-FAB9-FC01-045B-CF97666EFB15}">
    <xltc:text>Source: https://www.bhp.com/-/media/documents/investors/annual-reports/2025/250819_bhpannualreport2025.pdf
Page: 139
Available: 2025-08-19
SHA-256: seed-register-hash:BHP-2025-AP-CLOSE</xltc:text>
  </xltc:threadedComment>
  <xltc:threadedComment ref="P6" dT="2026-08-10T19:50:09.653" personId="{DCCFDD89-2735-472E-AF13-BF9A13E78A2B}" id="{E9DFF5A7-8E64-2E91-FE20-14949983BCE4}">
    <xltc:text>Source: https://www.bhp.com/-/media/documents/investors/annual-reports/2025/250819_bhpannualreport2025.pdf
Page: 139
Available: 2025-08-19
SHA-256: seed-register-hash:BHP-2025-AP-OPEN</xltc:text>
  </xltc:threadedComment>
  <xltc:threadedComment ref="P7" dT="2026-08-10T19:50:09.653" personId="{DCCFDD89-2735-472E-AF13-BF9A13E78A2B}" id="{B0BF161C-A794-07D2-0157-8A95106CEFFC}">
    <xltc:text>Source: https://www.bhp.com/-/media/documents/investors/annual-reports/2025/250819_bhpannualreport2025.pdf
Page: 139
Available: 2025-08-19
SHA-256: seed-register-hash:BHP-2025-AR-CLOSE</xltc:text>
  </xltc:threadedComment>
  <xltc:threadedComment ref="P8" dT="2026-08-10T19:50:09.653" personId="{DCCFDD89-2735-472E-AF13-BF9A13E78A2B}" id="{3258E77C-667D-12E9-0992-7D69D5736834}">
    <xltc:text>Source: https://www.bhp.com/-/media/documents/investors/annual-reports/2025/250819_bhpannualreport2025.pdf
Page: 139
Available: 2025-08-19
SHA-256: seed-register-hash:BHP-2025-AR-OPEN</xltc:text>
  </xltc:threadedComment>
  <xltc:threadedComment ref="P9" dT="2026-08-10T19:50:09.653" personId="{DCCFDD89-2735-472E-AF13-BF9A13E78A2B}" id="{1D9F0292-25FA-1178-5A5D-96B371B4D231}">
    <xltc:text>Source: https://www.bhp.com/-/media/documents/investors/annual-reports/2025/250819_bhpannualreport2025.pdf
Page: 118
Available: 2025-08-19
SHA-256: seed-register-hash:BHP-2025-COST</xltc:text>
  </xltc:threadedComment>
  <xltc:threadedComment ref="P10" dT="2026-08-10T19:50:09.653" personId="{DCCFDD89-2735-472E-AF13-BF9A13E78A2B}" id="{D6A8F5F8-2772-4925-9DFC-C4031DF5C655}">
    <xltc:text>Source: https://www.bhp.com/-/media/documents/investors/annual-reports/2025/250819_bhpannualreport2025.pdf
Page: 119
Available: 2025-08-19
SHA-256: seed-register-hash:BHP-2025-DEBT</xltc:text>
  </xltc:threadedComment>
  <xltc:threadedComment ref="P11" dT="2026-08-10T19:50:09.653" personId="{DCCFDD89-2735-472E-AF13-BF9A13E78A2B}" id="{185EA2FB-53DA-EE35-2FDF-24AC00F68806}">
    <xltc:text>Source: https://www.bhp.com/-/media/documents/investors/annual-reports/2025/250819_bhpannualreport2025.pdf
Page: 160
Available: 2025-08-19
SHA-256: seed-register-hash:BHP-2025-FX</xltc:text>
  </xltc:threadedComment>
  <xltc:threadedComment ref="P12" dT="2026-08-10T19:50:09.654" personId="{DCCFDD89-2735-472E-AF13-BF9A13E78A2B}" id="{D6464E7B-B7DE-FFFB-619A-4B4EEE8E3F3F}">
    <xltc:text>Source: https://www.bhp.com/-/media/documents/investors/annual-reports/2025/250819_bhpannualreport2025.pdf
Page: 139
Available: 2025-08-19
SHA-256: seed-register-hash:BHP-2025-INV-CLOSE</xltc:text>
  </xltc:threadedComment>
  <xltc:threadedComment ref="P13" dT="2026-08-10T19:50:09.654" personId="{DCCFDD89-2735-472E-AF13-BF9A13E78A2B}" id="{C860C53E-E628-3347-6A5E-1EE60FDB01E1}">
    <xltc:text>Source: https://www.bhp.com/-/media/documents/investors/annual-reports/2025/250819_bhpannualreport2025.pdf
Page: 139
Available: 2025-08-19
SHA-256: seed-register-hash:BHP-2025-INV-OPEN</xltc:text>
  </xltc:threadedComment>
  <xltc:threadedComment ref="P14" dT="2026-08-10T19:50:09.654" personId="{DCCFDD89-2735-472E-AF13-BF9A13E78A2B}" id="{956C1E53-0910-9F84-B4A8-DF32E11941F6}">
    <xltc:text>Source: https://www.bhp.com/-/media/documents/investors/annual-reports/2025/250819_bhpannualreport2025.pdf
Page: 118
Available: 2025-08-19
SHA-256: seed-register-hash:BHP-2025-REV</xltc:text>
  </xltc:threadedComment>
  <xltc:threadedComment ref="P15" dT="2026-08-10T19:50:09.654" personId="{DCCFDD89-2735-472E-AF13-BF9A13E78A2B}" id="{9A4FDF6C-EB90-5A18-A559-5CA5A7014C75}">
    <xltc:text>Source: https://www.glencore.com/.rest/api/v1/documents/static/9b103e11-72e7-40bf-ae7c-eabe57361522/GLEN-2025-Annual-Report.pdf
Page: 205
Available: 2026-03-10
SHA-256: seed-register-hash:GLEN-2025-AP-CLOSE</xltc:text>
  </xltc:threadedComment>
  <xltc:threadedComment ref="P16" dT="2026-08-10T19:50:09.655" personId="{DCCFDD89-2735-472E-AF13-BF9A13E78A2B}" id="{3221D1C0-BA19-1EB3-3142-90A67F0BA94E}">
    <xltc:text>Source: https://www.glencore.com/.rest/api/v1/documents/static/9b103e11-72e7-40bf-ae7c-eabe57361522/GLEN-2025-Annual-Report.pdf
Page: 205
Available: 2026-03-10
SHA-256: seed-register-hash:GLEN-2025-AP-OPEN</xltc:text>
  </xltc:threadedComment>
  <xltc:threadedComment ref="P17" dT="2026-08-10T19:50:09.655" personId="{DCCFDD89-2735-472E-AF13-BF9A13E78A2B}" id="{98A4D537-0D61-7142-79EF-F04DD5A9CD0F}">
    <xltc:text>Source: https://www.glencore.com/.rest/api/v1/documents/static/9b103e11-72e7-40bf-ae7c-eabe57361522/GLEN-2025-Annual-Report.pdf
Page: 186
Available: 2026-03-10
SHA-256: seed-register-hash:GLEN-2025-AR-CLOSE</xltc:text>
  </xltc:threadedComment>
  <xltc:threadedComment ref="P18" dT="2026-08-10T19:50:09.655" personId="{DCCFDD89-2735-472E-AF13-BF9A13E78A2B}" id="{F85E446E-D3FC-717F-1987-1873BC3E2718}">
    <xltc:text>Source: https://www.glencore.com/.rest/api/v1/documents/static/9b103e11-72e7-40bf-ae7c-eabe57361522/GLEN-2025-Annual-Report.pdf
Page: 186
Available: 2026-03-10
SHA-256: seed-register-hash:GLEN-2025-AR-OPEN</xltc:text>
  </xltc:threadedComment>
  <xltc:threadedComment ref="P19" dT="2026-08-10T19:50:09.655" personId="{DCCFDD89-2735-472E-AF13-BF9A13E78A2B}" id="{82A9A928-6972-65C5-459E-D22C01CF42DE}">
    <xltc:text>Source: https://www.glencore.com/.rest/api/v1/documents/static/9b103e11-72e7-40bf-ae7c-eabe57361522/GLEN-2025-Annual-Report.pdf
Page: 136
Available: 2026-03-10
SHA-256: seed-register-hash:GLEN-2025-COST</xltc:text>
  </xltc:threadedComment>
  <xltc:threadedComment ref="P20" dT="2026-08-10T19:50:09.655" personId="{DCCFDD89-2735-472E-AF13-BF9A13E78A2B}" id="{4D6CE363-F075-37C4-68A2-618941D03560}">
    <xltc:text>Source: https://www.glencore.com/.rest/api/v1/documents/static/9b103e11-72e7-40bf-ae7c-eabe57361522/GLEN-2025-Annual-Report.pdf
Page: 138
Available: 2026-03-10
SHA-256: seed-register-hash:GLEN-2025-DEBT</xltc:text>
  </xltc:threadedComment>
  <xltc:threadedComment ref="P21" dT="2026-08-10T19:50:09.655" personId="{DCCFDD89-2735-472E-AF13-BF9A13E78A2B}" id="{9788B65D-CF07-0D91-EA5B-B19D032288AE}">
    <xltc:text>Source: https://www.glencore.com/.rest/api/v1/documents/static/9b103e11-72e7-40bf-ae7c-eabe57361522/GLEN-2025-Annual-Report.pdf
Page: 212
Available: 2026-03-10
SHA-256: seed-register-hash:GLEN-2025-FX</xltc:text>
  </xltc:threadedComment>
  <xltc:threadedComment ref="P22" dT="2026-08-10T19:50:09.655" personId="{DCCFDD89-2735-472E-AF13-BF9A13E78A2B}" id="{F5FC54FA-7E28-4D8B-1F07-0FED8EFDC00D}">
    <xltc:text>Source: https://www.glencore.com/.rest/api/v1/documents/static/9b103e11-72e7-40bf-ae7c-eabe57361522/GLEN-2025-Annual-Report.pdf
Page: 185
Available: 2026-03-10
SHA-256: seed-register-hash:GLEN-2025-INV-CLOSE</xltc:text>
  </xltc:threadedComment>
  <xltc:threadedComment ref="P23" dT="2026-08-10T19:50:09.655" personId="{DCCFDD89-2735-472E-AF13-BF9A13E78A2B}" id="{978042AF-4666-916B-4F5D-798E634E171B}">
    <xltc:text>Source: https://www.glencore.com/.rest/api/v1/documents/static/9b103e11-72e7-40bf-ae7c-eabe57361522/GLEN-2025-Annual-Report.pdf
Page: 185
Available: 2026-03-10
SHA-256: seed-register-hash:GLEN-2025-INV-OPEN</xltc:text>
  </xltc:threadedComment>
  <xltc:threadedComment ref="P24" dT="2026-08-10T19:50:09.655" personId="{DCCFDD89-2735-472E-AF13-BF9A13E78A2B}" id="{0D485A67-134D-B37A-B407-33E53ACDC506}">
    <xltc:text>Source: https://www.glencore.com/.rest/api/v1/documents/static/9b103e11-72e7-40bf-ae7c-eabe57361522/GLEN-2025-Annual-Report.pdf
Page: 136
Available: 2026-03-10
SHA-256: seed-register-hash:GLEN-2025-REV</xltc:text>
  </xltc:threadedComment>
  <xltc:threadedComment ref="P25" dT="2026-08-10T19:50:09.655" personId="{DCCFDD89-2735-472E-AF13-BF9A13E78A2B}" id="{EEE94344-F525-B901-B380-3E5B3935DB6F}">
    <xltc:text>Source: https://www.angloamerican.com/~/media/Files/A/Anglo-American-Group-v9/PLC/investors/annual-reporting/2025/aa-annual-report-full-2025.pdf
Page: 274
Available: 2026-03-02
SHA-256: 362b9ebb43ca8ce3cf0a87f5ba174047ab499c4cd8f5a48eeb1bf83530a176fb</xltc:text>
  </xltc:threadedComment>
  <xltc:threadedComment ref="P26" dT="2026-08-10T19:50:09.655" personId="{DCCFDD89-2735-472E-AF13-BF9A13E78A2B}" id="{25C5C8A7-E137-F1F0-6C39-1F9FB2DA2235}">
    <xltc:text>Source: https://www.angloamerican.com/~/media/Files/A/Anglo-American-Group-v9/PLC/investors/annual-reporting/2025/aa-annual-report-full-2025.pdf
Page: 274
Available: 2026-03-02
SHA-256: 362b9ebb43ca8ce3cf0a87f5ba174047ab499c4cd8f5a48eeb1bf83530a176fb</xltc:text>
  </xltc:threadedComment>
  <xltc:threadedComment ref="P27" dT="2026-08-10T19:50:09.655" personId="{DCCFDD89-2735-472E-AF13-BF9A13E78A2B}" id="{58E1F8CD-D1B1-F3C0-D365-49733099D92F}">
    <xltc:text>Source: https://www.angloamerican.com/~/media/Files/A/Anglo-American-Group-v9/PLC/investors/annual-reporting/2025/aa-annual-report-full-2025.pdf
Page: 272
Available: 2026-03-02
SHA-256: 362b9ebb43ca8ce3cf0a87f5ba174047ab499c4cd8f5a48eeb1bf83530a176fb</xltc:text>
  </xltc:threadedComment>
  <xltc:threadedComment ref="P28" dT="2026-08-10T19:50:09.656" personId="{DCCFDD89-2735-472E-AF13-BF9A13E78A2B}" id="{499D0843-9104-DCF3-500F-DF0DAB07167E}">
    <xltc:text>Source: https://reports.anglogoldashanti.com/25/download/AGA-AR25.pdf
Page: 160
Available: 2026-03-26
SHA-256: 958d89150d1125af3eb9032ac7f3c9da2c22c8bfd67e8447c688c8ad0c21dd35</xltc:text>
  </xltc:threadedComment>
  <xltc:threadedComment ref="P29" dT="2026-08-10T19:50:09.656" personId="{DCCFDD89-2735-472E-AF13-BF9A13E78A2B}" id="{C3E9B745-4195-BFAF-35CC-705582D5445F}">
    <xltc:text>Source: https://reports.anglogoldashanti.com/25/download/AGA-AR25.pdf
Page: 160
Available: 2026-03-26
SHA-256: 958d89150d1125af3eb9032ac7f3c9da2c22c8bfd67e8447c688c8ad0c21dd35</xltc:text>
  </xltc:threadedComment>
  <xltc:threadedComment ref="P30" dT="2026-08-10T19:50:09.656" personId="{DCCFDD89-2735-472E-AF13-BF9A13E78A2B}" id="{DD75A4A1-71B0-9E33-C1AE-4CFD989D9FD7}">
    <xltc:text>Source: https://reports.anglogoldashanti.com/25/download/AGA-AR25.pdf
Page: 158
Available: 2026-03-26
SHA-256: 958d89150d1125af3eb9032ac7f3c9da2c22c8bfd67e8447c688c8ad0c21dd35</xltc:text>
  </xltc:threadedComment>
  <xltc:threadedComment ref="P31" dT="2026-08-10T19:50:09.656" personId="{DCCFDD89-2735-472E-AF13-BF9A13E78A2B}" id="{E7CEB198-A44F-DDD6-897F-22EF78D95E9E}">
    <xltc:text>Source: https://www.goldfields.com/pdf/investors/integrated-annual-reports/2025/afs-2025.pdf
Page: 74
Available: 2026-03-27
SHA-256: 0819d8e37085aaa5adb8305c3bcdd5b5a9631cf40f594950beaeb6c77077fc0a</xltc:text>
  </xltc:threadedComment>
  <xltc:threadedComment ref="P32" dT="2026-08-10T19:50:09.656" personId="{DCCFDD89-2735-472E-AF13-BF9A13E78A2B}" id="{BDB07245-A806-E702-C4BB-F7EBA48691F0}">
    <xltc:text>Source: https://www.goldfields.com/pdf/investors/integrated-annual-reports/2025/afs-2025.pdf
Page: 74
Available: 2026-03-27
SHA-256: 0819d8e37085aaa5adb8305c3bcdd5b5a9631cf40f594950beaeb6c77077fc0a</xltc:text>
  </xltc:threadedComment>
  <xltc:threadedComment ref="P33" dT="2026-08-10T19:50:09.656" personId="{DCCFDD89-2735-472E-AF13-BF9A13E78A2B}" id="{E0AC9B3D-D295-9FCC-D9D6-CD5CCFE70EFB}">
    <xltc:text>Source: https://www.goldfields.com/pdf/investors/integrated-annual-reports/2025/afs-2025.pdf
Page: 72
Available: 2026-03-27
SHA-256: 0819d8e37085aaa5adb8305c3bcdd5b5a9631cf40f594950beaeb6c77077fc0a</xltc:text>
  </xltc:threadedComment>
  <xltc:threadedComment ref="P34" dT="2026-08-10T19:50:09.656" personId="{DCCFDD89-2735-472E-AF13-BF9A13E78A2B}" id="{749602A5-342D-0F7B-4B7E-740F589689FD}">
    <xltc:text>Source: https://www.valterraplatinum.com/wp-content/uploads/2026/05/annual-financial-statements-2025.pdf
Page: 25
Available: 2026-03-27
SHA-256: 84ab45295a07c93d3fa39a24962c05ac600f45ed2c9683b16b4dc2cc7ba170f8</xltc:text>
  </xltc:threadedComment>
  <xltc:threadedComment ref="P35" dT="2026-08-10T19:50:09.656" personId="{DCCFDD89-2735-472E-AF13-BF9A13E78A2B}" id="{9EC37724-7051-92B3-D0A8-AA63F708FD98}">
    <xltc:text>Source: https://www.valterraplatinum.com/wp-content/uploads/2026/05/annual-financial-statements-2025.pdf
Page: 25
Available: 2026-03-27
SHA-256: 84ab45295a07c93d3fa39a24962c05ac600f45ed2c9683b16b4dc2cc7ba170f8</xltc:text>
  </xltc:threadedComment>
  <xltc:threadedComment ref="P36" dT="2026-08-10T19:50:09.656" personId="{DCCFDD89-2735-472E-AF13-BF9A13E78A2B}" id="{2B8F6507-8070-F50C-A0F5-7C57AEA4DD7E}">
    <xltc:text>Source: https://www.valterraplatinum.com/wp-content/uploads/2026/05/annual-financial-statements-2025.pdf
Page: 24
Available: 2026-03-27
SHA-256: 84ab45295a07c93d3fa39a24962c05ac600f45ed2c9683b16b4dc2cc7ba170f8</xltc:text>
  </xltc:threadedComment>
  <xltc:threadedComment ref="P37" dT="2026-08-10T19:50:09.656" personId="{DCCFDD89-2735-472E-AF13-BF9A13E78A2B}" id="{728D4859-2EF4-F608-A9F2-4291E5F0D365}">
    <xltc:text>Source: https://group.outsurance.co.za/globalassets/documents/investor-relations/reports-and-results/2025/ogl-annual-financial-statements-2025.pdf
Page: 21
Available: 2025-09-15
SHA-256: 3f03545e101a357d73e3f26863473adc341b4b0382ab2b8248b322900ef38b3c</xltc:text>
  </xltc:threadedComment>
  <xltc:threadedComment ref="P38" dT="2026-08-10T19:50:09.656" personId="{DCCFDD89-2735-472E-AF13-BF9A13E78A2B}" id="{AE1DEEC5-2C12-B148-0EF6-BCD6A29A71F5}">
    <xltc:text>Source: https://group.outsurance.co.za/globalassets/documents/investor-relations/reports-and-results/2025/ogl-annual-financial-statements-2025.pdf
Page: 21
Available: 2025-09-15
SHA-256: 3f03545e101a357d73e3f26863473adc341b4b0382ab2b8248b322900ef38b3c</xltc:text>
  </xltc:threadedComment>
  <xltc:threadedComment ref="P39" dT="2026-08-10T19:50:09.656" personId="{DCCFDD89-2735-472E-AF13-BF9A13E78A2B}" id="{5569BAC3-1CC6-2400-EDE6-79BD0A28E7E6}">
    <xltc:text>Source: https://group.outsurance.co.za/globalassets/documents/investor-relations/reports-and-results/2025/ogl-annual-financial-statements-2025.pdf
Page: 19
Available: 2025-09-15
SHA-256: 3f03545e101a357d73e3f26863473adc341b4b0382ab2b8248b322900ef38b3c</xltc:text>
  </xltc:threadedComment>
  <xltc:threadedComment ref="P40" dT="2026-08-10T19:50:09.656" personId="{DCCFDD89-2735-472E-AF13-BF9A13E78A2B}" id="{90A20B10-4C05-2667-735F-D24375FBC6B2}">
    <xltc:text>Source: https://www.sanlam.com/downloads/integrated-report-and-annual-financial-statements/2024/Sanlam-AFS-2024-spreads.pdf
Page: 42
Available: 2025-03-07
SHA-256: fc2487f72420917e9c52f78bc4a7800a1e4270781aa2117632f69680b4ca14da</xltc:text>
  </xltc:threadedComment>
  <xltc:threadedComment ref="P41" dT="2026-08-10T19:50:09.657" personId="{DCCFDD89-2735-472E-AF13-BF9A13E78A2B}" id="{A62359DE-122D-B241-CCA4-F947F9326FE5}">
    <xltc:text>Source: https://www.sanlam.com/downloads/integrated-report-and-annual-financial-statements/2024/Sanlam-AFS-2024-spreads.pdf
Page: 42
Available: 2025-03-07
SHA-256: fc2487f72420917e9c52f78bc4a7800a1e4270781aa2117632f69680b4ca14da</xltc:text>
  </xltc:threadedComment>
  <xltc:threadedComment ref="P42" dT="2026-08-10T19:50:09.657" personId="{DCCFDD89-2735-472E-AF13-BF9A13E78A2B}" id="{8F0D61DD-22C1-A829-15F7-5381D82C3A43}">
    <xltc:text>Source: https://www.sanlam.com/downloads/integrated-report-and-annual-financial-statements/2024/Sanlam-AFS-2024-spreads.pdf
Page: 42
Available: 2025-03-07
SHA-256: fc2487f72420917e9c52f78bc4a7800a1e4270781aa2117632f69680b4ca14da</xltc:text>
  </xltc:threadedComment>
  <xltc:threadedComment ref="P43" dT="2026-08-10T19:50:09.657" personId="{DCCFDD89-2735-472E-AF13-BF9A13E78A2B}" id="{E6564741-39C6-D50B-E0E3-390206D8B1C2}">
    <xltc:text>Source: https://www.shopriteholdings.co.za/docs/shp-afs-2025.pdf
Page: 18
Available: 2025-10-13
SHA-256: seed-register-hash:SHP-2025-AP-CLOSE</xltc:text>
  </xltc:threadedComment>
  <xltc:threadedComment ref="P44" dT="2026-08-10T19:50:09.657" personId="{DCCFDD89-2735-472E-AF13-BF9A13E78A2B}" id="{8222790F-FDDE-EAEE-0B0B-8B3EEEF6979E}">
    <xltc:text>Source: https://www.shopriteholdings.co.za/docs/shp-afs-2025.pdf
Page: 18
Available: 2025-10-13
SHA-256: seed-register-hash:SHP-2025-AP-OPEN</xltc:text>
  </xltc:threadedComment>
  <xltc:threadedComment ref="P45" dT="2026-08-10T19:50:09.657" personId="{DCCFDD89-2735-472E-AF13-BF9A13E78A2B}" id="{8B332D9E-1E64-06A3-5CA3-4A91A1D654A2}">
    <xltc:text>Source: https://www.shopriteholdings.co.za/docs/shp-afs-2025.pdf
Page: 18
Available: 2025-10-13
SHA-256: seed-register-hash:SHP-2025-AR-CLOSE</xltc:text>
  </xltc:threadedComment>
  <xltc:threadedComment ref="P46" dT="2026-08-10T19:50:09.657" personId="{DCCFDD89-2735-472E-AF13-BF9A13E78A2B}" id="{EB1BB68E-D329-A03B-BE56-F248233102DB}">
    <xltc:text>Source: https://www.shopriteholdings.co.za/docs/shp-afs-2025.pdf
Page: 18
Available: 2025-10-13
SHA-256: seed-register-hash:SHP-2025-AR-OPEN</xltc:text>
  </xltc:threadedComment>
  <xltc:threadedComment ref="P47" dT="2026-08-10T19:50:09.657" personId="{DCCFDD89-2735-472E-AF13-BF9A13E78A2B}" id="{33A17254-BC83-27B0-1C4B-DC622374D427}">
    <xltc:text>Source: https://www.shopriteholdings.co.za/docs/shp-afs-2025.pdf
Page: 19
Available: 2025-10-13
SHA-256: seed-register-hash:SHP-2025-COST</xltc:text>
  </xltc:threadedComment>
  <xltc:threadedComment ref="P48" dT="2026-08-10T19:50:09.657" personId="{DCCFDD89-2735-472E-AF13-BF9A13E78A2B}" id="{D66EE95F-12AD-BB64-7903-1E1AA7F66126}">
    <xltc:text>Source: https://www.shopriteholdings.co.za/docs/shp-afs-2025.pdf
Page: 18
Available: 2025-10-13
SHA-256: seed-register-hash:SHP-2025-DEBT</xltc:text>
  </xltc:threadedComment>
  <xltc:threadedComment ref="P49" dT="2026-08-10T19:50:09.657" personId="{DCCFDD89-2735-472E-AF13-BF9A13E78A2B}" id="{CADFC401-771E-F6F4-CA0A-9E7E1B9F2DC5}">
    <xltc:text>Source: https://www.shopriteholdings.co.za/docs/shp-afs-2025.pdf
Page: 118
Available: 2025-10-13
SHA-256: seed-register-hash:SHP-2025-FX</xltc:text>
  </xltc:threadedComment>
  <xltc:threadedComment ref="P50" dT="2026-08-10T19:50:09.657" personId="{DCCFDD89-2735-472E-AF13-BF9A13E78A2B}" id="{0F99E5C9-F668-5EE1-88F3-EC30C306522F}">
    <xltc:text>Source: https://www.shopriteholdings.co.za/docs/shp-afs-2025.pdf
Page: 18
Available: 2025-10-13
SHA-256: seed-register-hash:SHP-2025-INV-CLOSE</xltc:text>
  </xltc:threadedComment>
  <xltc:threadedComment ref="P51" dT="2026-08-10T19:50:09.657" personId="{DCCFDD89-2735-472E-AF13-BF9A13E78A2B}" id="{34335FAA-6E0B-078D-994A-6322D80E2CFB}">
    <xltc:text>Source: https://www.shopriteholdings.co.za/docs/shp-afs-2025.pdf
Page: 18
Available: 2025-10-13
SHA-256: seed-register-hash:SHP-2025-INV-OPEN</xltc:text>
  </xltc:threadedComment>
  <xltc:threadedComment ref="P52" dT="2026-08-10T19:50:09.657" personId="{DCCFDD89-2735-472E-AF13-BF9A13E78A2B}" id="{D2510F94-36D5-E070-8B41-7430DC890861}">
    <xltc:text>Source: https://www.shopriteholdings.co.za/docs/shp-afs-2025.pdf
Page: 19
Available: 2025-10-13
SHA-256: seed-register-hash:SHP-2025-REV</xltc:text>
  </xltc:threadedComment>
  <xltc:threadedComment ref="P53" dT="2026-08-10T19:50:09.657" personId="{DCCFDD89-2735-472E-AF13-BF9A13E78A2B}" id="{98620E32-55F8-44A7-2D5F-1DBD881497BA}">
    <xltc:text>Source: https://www.shopriteholdings.co.za/docs/shp-afs-2025.pdf
Page: 18
Available: 2025-10-13
SHA-256: seed-register-hash:SHP-2025-STF</xltc:text>
  </xltc:threadedComment>
  <xltc:threadedComment ref="P54" dT="2026-08-10T19:50:09.657" personId="{DCCFDD89-2735-472E-AF13-BF9A13E78A2B}" id="{5AF6A096-CA17-90D4-109F-EF2925EFA601}">
    <xltc:text>Source: https://www.bidcorpgroup.com/pdf/reports/2025/Bidcorp-2025-AIR.pdf
Page: 19
Available: 2025-10-30
SHA-256: f2516d780aff52d4a5de8be9a2f02e753e948e13450e77f2b1603784b5215c9f</xltc:text>
  </xltc:threadedComment>
  <xltc:threadedComment ref="P55" dT="2026-08-10T19:50:09.658" personId="{DCCFDD89-2735-472E-AF13-BF9A13E78A2B}" id="{A31A24BE-FE86-55D5-2377-F5D635CB8D3E}">
    <xltc:text>Source: https://www.bidcorpgroup.com/pdf/reports/2025/Bidcorp-2025-AIR.pdf
Page: 19
Available: 2025-10-30
SHA-256: f2516d780aff52d4a5de8be9a2f02e753e948e13450e77f2b1603784b5215c9f</xltc:text>
  </xltc:threadedComment>
  <xltc:threadedComment ref="P56" dT="2026-08-10T19:50:09.658" personId="{DCCFDD89-2735-472E-AF13-BF9A13E78A2B}" id="{622DC48F-DCFC-8D87-318A-88BEF8AE3EF1}">
    <xltc:text>Source: https://www.bidcorpgroup.com/pdf/reports/2025/Bidcorp-2025-AIR.pdf
Page: 18
Available: 2025-10-30
SHA-256: f2516d780aff52d4a5de8be9a2f02e753e948e13450e77f2b1603784b5215c9f</xltc:text>
  </xltc:threadedComment>
  <xltc:threadedComment ref="P57" dT="2026-08-10T19:50:09.658" personId="{DCCFDD89-2735-472E-AF13-BF9A13E78A2B}" id="{2ECA1ECB-8EA4-A212-CFE1-927D7708657F}">
    <xltc:text>Source: https://pepkor.co.za/wp-content/uploads/Pepkor-annual-financial-statements-2025.pdf
Page: 23
Available: 2025-12-15
SHA-256: 7715894a86e0e6b06b26b90b6e5bad3ffb85b8cd6166701bf52ddf8e053193d3</xltc:text>
  </xltc:threadedComment>
  <xltc:threadedComment ref="P58" dT="2026-08-10T19:50:09.658" personId="{DCCFDD89-2735-472E-AF13-BF9A13E78A2B}" id="{42B2E8F0-7D7D-6829-6051-F636FFA20943}">
    <xltc:text>Source: https://pepkor.co.za/wp-content/uploads/Pepkor-annual-financial-statements-2025.pdf
Page: 23
Available: 2025-12-15
SHA-256: 7715894a86e0e6b06b26b90b6e5bad3ffb85b8cd6166701bf52ddf8e053193d3</xltc:text>
  </xltc:threadedComment>
  <xltc:threadedComment ref="P59" dT="2026-08-10T19:50:09.658" personId="{DCCFDD89-2735-472E-AF13-BF9A13E78A2B}" id="{6B661919-3248-DCCA-0E00-FF465C0A2838}">
    <xltc:text>Source: https://pepkor.co.za/wp-content/uploads/Pepkor-annual-financial-statements-2025.pdf
Page: 21
Available: 2025-12-15
SHA-256: 7715894a86e0e6b06b26b90b6e5bad3ffb85b8cd6166701bf52ddf8e053193d3</xltc:text>
  </xltc:threadedComment>
  <xltc:threadedComment ref="P60" dT="2026-08-10T19:50:09.658" personId="{DCCFDD89-2735-472E-AF13-BF9A13E78A2B}" id="{0FCE42CD-409C-203F-C15A-29788CF669C1}">
    <xltc:text>Source: https://clicksgroup.co.za/iar2025/wp-content/uploads/CGL-YE25-Annual-financial-statements.pdf
Page: 10
Available: 2025-11-06
SHA-256: 664c3ce033c0d36157277ae5ef9f28a933edd4acebc8cec649069cd20d9c576d</xltc:text>
  </xltc:threadedComment>
  <xltc:threadedComment ref="P61" dT="2026-08-10T19:50:09.658" personId="{DCCFDD89-2735-472E-AF13-BF9A13E78A2B}" id="{0B8E0670-470B-664D-6CC4-F7186346AF4D}">
    <xltc:text>Source: https://clicksgroup.co.za/iar2025/wp-content/uploads/CGL-YE25-Annual-financial-statements.pdf
Page: 10
Available: 2025-11-06
SHA-256: 664c3ce033c0d36157277ae5ef9f28a933edd4acebc8cec649069cd20d9c576d</xltc:text>
  </xltc:threadedComment>
  <xltc:threadedComment ref="P62" dT="2026-08-10T19:50:09.658" personId="{DCCFDD89-2735-472E-AF13-BF9A13E78A2B}" id="{7886F39D-6ABA-72AD-A9EE-4AE25CC3F1F2}">
    <xltc:text>Source: https://clicksgroup.co.za/iar2025/wp-content/uploads/CGL-YE25-Annual-financial-statements.pdf
Page: 10
Available: 2025-11-06
SHA-256: 664c3ce033c0d36157277ae5ef9f28a933edd4acebc8cec649069cd20d9c576d</xltc:text>
  </xltc:threadedComment>
  <xltc:threadedComment ref="P63" dT="2026-08-10T19:50:09.658" personId="{DCCFDD89-2735-472E-AF13-BF9A13E78A2B}" id="{52CE6677-B860-43F1-721A-E244F9AAEE31}">
    <xltc:text>Source: https://nepirockcastle.com/wp-content/uploads/2026/03/NEPI_Rockcastle_Annual_Report_2025.pdf
Page: 310
Available: 2026-03-18
SHA-256: 4124bee2bfb55a181cda56963bd733605a2cc53a7882b1d6108358b33da479f3</xltc:text>
  </xltc:threadedComment>
  <xltc:threadedComment ref="P64" dT="2026-08-10T19:50:09.658" personId="{DCCFDD89-2735-472E-AF13-BF9A13E78A2B}" id="{C4E92B58-4594-9348-4B72-A4515C05D2CF}">
    <xltc:text>Source: https://nepirockcastle.com/wp-content/uploads/2026/03/NEPI_Rockcastle_Annual_Report_2025.pdf
Page: 310
Available: 2026-03-18
SHA-256: 4124bee2bfb55a181cda56963bd733605a2cc53a7882b1d6108358b33da479f3</xltc:text>
  </xltc:threadedComment>
  <xltc:threadedComment ref="P65" dT="2026-08-10T19:50:09.658" personId="{DCCFDD89-2735-472E-AF13-BF9A13E78A2B}" id="{671F94F0-0CB9-6E9D-02BC-932BF0D0D61D}">
    <xltc:text>Source: https://nepirockcastle.com/wp-content/uploads/2026/03/NEPI_Rockcastle_Annual_Report_2025.pdf
Page: 311
Available: 2026-03-18
SHA-256: 4124bee2bfb55a181cda56963bd733605a2cc53a7882b1d6108358b33da479f3</xltc:text>
  </xltc:threadedComment>
  <xltc:threadedComment ref="P66" dT="2026-08-10T19:50:09.658" personId="{DCCFDD89-2735-472E-AF13-BF9A13E78A2B}" id="{2A310C62-6852-2D3D-5473-33F69442B476}">
    <xltc:text>Source: https://www.prosus.com/~/media/Files/P/prosus-corp-v2/results-reports-and-events-archive/annual-report/2026/fy2026-annual-report.pdf
Page: 140
Available: 2026-06-29
SHA-256: 3ea6278d374118f72fe41ac635d4b622bc1b59be44f5db9c0a7bc321ceabf077</xltc:text>
  </xltc:threadedComment>
  <xltc:threadedComment ref="P67" dT="2026-08-10T19:50:09.658" personId="{DCCFDD89-2735-472E-AF13-BF9A13E78A2B}" id="{406D486E-EE3B-F87F-B518-8450C9704020}">
    <xltc:text>Source: https://www.prosus.com/~/media/Files/P/prosus-corp-v2/results-reports-and-events-archive/annual-report/2026/fy2026-annual-report.pdf
Page: 140
Available: 2026-06-29
SHA-256: 3ea6278d374118f72fe41ac635d4b622bc1b59be44f5db9c0a7bc321ceabf077</xltc:text>
  </xltc:threadedComment>
  <xltc:threadedComment ref="P68" dT="2026-08-10T19:50:09.658" personId="{DCCFDD89-2735-472E-AF13-BF9A13E78A2B}" id="{BBDCB4A7-D3AF-3C66-DF78-0B478E350D6B}">
    <xltc:text>Source: https://www.prosus.com/~/media/Files/P/prosus-corp-v2/results-reports-and-events-archive/annual-report/2026/fy2026-annual-report.pdf
Page: 141
Available: 2026-06-29
SHA-256: 3ea6278d374118f72fe41ac635d4b622bc1b59be44f5db9c0a7bc321ceabf077</xltc:text>
  </xltc:threadedComment>
  <xltc:threadedComment ref="P69" dT="2026-08-10T19:50:09.659" personId="{DCCFDD89-2735-472E-AF13-BF9A13E78A2B}" id="{D29CC9FF-F3C9-2670-D0D3-7370A80109B8}">
    <xltc:text>Source: https://www.naspers.com/~/media/Files/N/Naspers-Corp-V2/results-reports-and-events-archive/latest-results/fy-2026/naspers-annual-financial-statements-2026.pdf
Page: 32
Available: 2026-06-29
SHA-256: e0d23733f611c2b81f2b8c7362c492178fe52b3109472db1e08efe824298f17b</xltc:text>
  </xltc:threadedComment>
  <xltc:threadedComment ref="P70" dT="2026-08-10T19:50:09.659" personId="{DCCFDD89-2735-472E-AF13-BF9A13E78A2B}" id="{FBED41EF-8FF3-E2E5-64B2-55EB69A4FEB0}">
    <xltc:text>Source: https://www.naspers.com/~/media/Files/N/Naspers-Corp-V2/results-reports-and-events-archive/latest-results/fy-2026/naspers-annual-financial-statements-2026.pdf
Page: 32
Available: 2026-06-29
SHA-256: e0d23733f611c2b81f2b8c7362c492178fe52b3109472db1e08efe824298f17b</xltc:text>
  </xltc:threadedComment>
  <xltc:threadedComment ref="P71" dT="2026-08-10T19:50:09.659" personId="{DCCFDD89-2735-472E-AF13-BF9A13E78A2B}" id="{D6713C01-1D5C-BA01-33E4-2CF5B646275F}">
    <xltc:text>Source: https://www.naspers.com/~/media/Files/N/Naspers-Corp-V2/results-reports-and-events-archive/latest-results/fy-2026/naspers-annual-financial-statements-2026.pdf
Page: 33
Available: 2026-06-29
SHA-256: e0d23733f611c2b81f2b8c7362c492178fe52b3109472db1e08efe824298f17b</xltc:text>
  </xltc:threadedComment>
  <xltc:threadedComment ref="P72" dT="2026-08-10T19:50:09.659" personId="{DCCFDD89-2735-472E-AF13-BF9A13E78A2B}" id="{BA640651-1B09-6145-D3F4-3C5DA6A2C107}">
    <xltc:text>Source: https://www.mtn.com/wp-content/uploads/2026/03/MTN-Group-FY-25-Annual-Financial-Statements.pdf
Page: 23
Available: 2026-03-16
SHA-256: bea72f5adefd24ecb4dd8ed36e523730e19a3efb2fa9f79b63567bc4fac2e59b</xltc:text>
  </xltc:threadedComment>
  <xltc:threadedComment ref="P73" dT="2026-08-10T19:50:09.659" personId="{DCCFDD89-2735-472E-AF13-BF9A13E78A2B}" id="{6D5845E1-BE77-B3B4-5BEB-28A2A6D290B6}">
    <xltc:text>Source: https://www.mtn.com/wp-content/uploads/2026/03/MTN-Group-FY-25-Annual-Financial-Statements.pdf
Page: 23
Available: 2026-03-16
SHA-256: bea72f5adefd24ecb4dd8ed36e523730e19a3efb2fa9f79b63567bc4fac2e59b</xltc:text>
  </xltc:threadedComment>
  <xltc:threadedComment ref="P74" dT="2026-08-10T19:50:09.659" personId="{DCCFDD89-2735-472E-AF13-BF9A13E78A2B}" id="{ABA7F4FE-1DC2-C02D-8E02-CD8E388744A8}">
    <xltc:text>Source: https://www.mtn.com/wp-content/uploads/2026/03/MTN-Group-FY-25-Annual-Financial-Statements.pdf
Page: 21
Available: 2026-03-16
SHA-256: bea72f5adefd24ecb4dd8ed36e523730e19a3efb2fa9f79b63567bc4fac2e59b</xltc:text>
  </xltc:threadedComment>
  <xltc:threadedComment ref="P75" dT="2026-08-10T19:50:09.659" personId="{DCCFDD89-2735-472E-AF13-BF9A13E78A2B}" id="{8B8060D6-07DD-397A-4D37-8128C1068138}">
    <xltc:text>Source: https://vodacom-reports.co.za/integrated-reports/ir-2026/documents/vodacom-consolidated-and-separate-financial-statements-2026.pdf
Page: 21
Available: 2026-06-12
SHA-256: d6f149d15a1e7a0edc82acd536f2d59644e2c9acce621a65878aa322390fd896</xltc:text>
  </xltc:threadedComment>
  <xltc:threadedComment ref="P76" dT="2026-08-10T19:50:09.659" personId="{DCCFDD89-2735-472E-AF13-BF9A13E78A2B}" id="{BCAE7A2F-6889-95A1-425A-1C07C9CB0FA1}">
    <xltc:text>Source: https://vodacom-reports.co.za/integrated-reports/ir-2026/documents/vodacom-consolidated-and-separate-financial-statements-2026.pdf
Page: 21
Available: 2026-06-12
SHA-256: d6f149d15a1e7a0edc82acd536f2d59644e2c9acce621a65878aa322390fd896</xltc:text>
  </xltc:threadedComment>
  <xltc:threadedComment ref="P77" dT="2026-08-10T19:50:09.659" personId="{DCCFDD89-2735-472E-AF13-BF9A13E78A2B}" id="{2032616C-7D78-4497-4E66-97AD7273E341}">
    <xltc:text>Source: https://vodacom-reports.co.za/integrated-reports/ir-2026/documents/vodacom-consolidated-and-separate-financial-statements-2026.pdf
Page: 19
Available: 2026-06-12
SHA-256: d6f149d15a1e7a0edc82acd536f2d59644e2c9acce621a65878aa322390fd896</xltc:text>
  </xltc:threadedComment>
  <xltc:threadedComment ref="P78" dT="2026-08-10T19:50:09.659" personId="{DCCFDD89-2735-472E-AF13-BF9A13E78A2B}" id="{B5C55D19-6332-23A1-391C-CCDE4BF18121}">
    <xltc:text>Source: https://bidvest.co.za/pdf/annual-reports/2025/bidvest-iar-2025.pdf
Page: 43
Available: 2025-10-24
SHA-256: 2a44e26a70a3c05c45814de4aba756ef39bfa15e05137f49edd3ec22b722260a</xltc:text>
  </xltc:threadedComment>
  <xltc:threadedComment ref="P79" dT="2026-08-10T19:50:09.659" personId="{DCCFDD89-2735-472E-AF13-BF9A13E78A2B}" id="{7174478E-77C0-5153-FDEE-7F0E09AA49E5}">
    <xltc:text>Source: https://bidvest.co.za/pdf/annual-reports/2025/bidvest-iar-2025.pdf
Page: 44
Available: 2025-10-24
SHA-256: 2a44e26a70a3c05c45814de4aba756ef39bfa15e05137f49edd3ec22b722260a</xltc:text>
  </xltc:threadedComment>
  <xltc:threadedComment ref="P80" dT="2026-08-10T19:50:09.659" personId="{DCCFDD89-2735-472E-AF13-BF9A13E78A2B}" id="{B73BB52F-6B5D-BFEC-44E6-2D21A098D31A}">
    <xltc:text>Source: https://bidvest.co.za/pdf/annual-reports/2025/bidvest-iar-2025.pdf
Page: 40
Available: 2025-10-24
SHA-256: 2a44e26a70a3c05c45814de4aba756ef39bfa15e05137f49edd3ec22b722260a</xltc:text>
  </xltc:threadedComment>
  <xltc:threadedComment ref="P81" dT="2026-08-10T19:50:09.66" personId="{DCCFDD89-2735-472E-AF13-BF9A13E78A2B}" id="{FACD6649-8E9C-AC62-AD31-FAED5BE1BF42}">
    <xltc:text>Source: https://www.aspenpharma.com/download/annual-financial-statements-2/
Page: 15
Available: 2025-10-02
SHA-256: a091fee4d4b575781836440b929291617c128f8f857b2dd0a7e0dfb4c1bcc53d</xltc:text>
  </xltc:threadedComment>
  <xltc:threadedComment ref="P82" dT="2026-08-10T19:50:09.66" personId="{DCCFDD89-2735-472E-AF13-BF9A13E78A2B}" id="{D0E95AD8-5D77-2C76-7D40-19F36C81EB82}">
    <xltc:text>Source: https://www.aspenpharma.com/download/annual-financial-statements-2/
Page: 15
Available: 2025-10-02
SHA-256: a091fee4d4b575781836440b929291617c128f8f857b2dd0a7e0dfb4c1bcc53d</xltc:text>
  </xltc:threadedComment>
  <xltc:threadedComment ref="P83" dT="2026-08-10T19:50:09.66" personId="{DCCFDD89-2735-472E-AF13-BF9A13E78A2B}" id="{F0EAE78D-B837-9394-ABAF-B16FF292F4C1}">
    <xltc:text>Source: https://www.aspenpharma.com/download/annual-financial-statements-2/
Page: 16
Available: 2025-10-02
SHA-256: a091fee4d4b575781836440b929291617c128f8f857b2dd0a7e0dfb4c1bcc53d</xltc:text>
  </xltc:threadedComment>
  <xltc:threadedComment ref="P84" dT="2026-08-10T19:50:09.66" personId="{DCCFDD89-2735-472E-AF13-BF9A13E78A2B}" id="{868270FA-74F7-F8CF-1F3C-8F0A558E10FF}">
    <xltc:text>Source: https://senspdf.jse.co.za/documents/2026/JSE/isse/SHCE/FY25Result.pdf
Page: 22
Available: 2026-02-25
SHA-256: 71bcff13a20668eea8842f5ef28273ba787b0042b2fe7e1ea9faeb03b581ed53</xltc:text>
  </xltc:threadedComment>
  <xltc:threadedComment ref="P85" dT="2026-08-10T19:50:09.66" personId="{DCCFDD89-2735-472E-AF13-BF9A13E78A2B}" id="{7CCA5971-AE8C-0B39-0F1A-25D781A57DFB}">
    <xltc:text>Source: https://senspdf.jse.co.za/documents/2026/JSE/isse/SHCE/FY25Result.pdf
Page: 22
Available: 2026-02-25
SHA-256: 71bcff13a20668eea8842f5ef28273ba787b0042b2fe7e1ea9faeb03b581ed53</xltc:text>
  </xltc:threadedComment>
  <xltc:threadedComment ref="P86" dT="2026-08-10T19:50:09.66" personId="{DCCFDD89-2735-472E-AF13-BF9A13E78A2B}" id="{D5D20B8A-E3F0-324C-9297-316AA3A64894}">
    <xltc:text>Source: https://senspdf.jse.co.za/documents/2026/JSE/isse/SHCE/FY25Result.pdf
Page: 21
Available: 2026-02-25
SHA-256: 71bcff13a20668eea8842f5ef28273ba787b0042b2fe7e1ea9faeb03b581ed53</xltc:text>
  </xltc:threadedComment>
</xltc:ThreadedComments>
</file>

<file path=xl/threadedcomments/threadedcomment2.xml><?xml version="1.0" encoding="utf-8"?>
<xltc:ThreadedComments xmlns:xltc="http://schemas.microsoft.com/office/spreadsheetml/2018/threadedcomments">
  <xltc:threadedComment ref="J5" dT="2026-08-10T19:50:10.185" personId="{DCCFDD89-2735-472E-AF13-BF9A13E78A2B}" id="{412264CB-0198-A4AD-5095-3943B5688F8A}">
    <xltc:text>Official source: https://www.bhp.com/-/media/documents/investors/annual-reports/2025/250819_bhpannualreport2025.pdf</xltc:text>
  </xltc:threadedComment>
  <xltc:threadedComment ref="J6" dT="2026-08-10T19:50:10.189" personId="{DCCFDD89-2735-472E-AF13-BF9A13E78A2B}" id="{D611538A-1068-5E3E-807C-91FD465281F2}">
    <xltc:text>Official source: https://www.glencore.com/.rest/api/v1/documents/static/9b103e11-72e7-40bf-ae7c-eabe57361522/GLEN-2025-Annual-Report.pdf</xltc:text>
  </xltc:threadedComment>
  <xltc:threadedComment ref="J7" dT="2026-08-10T19:50:10.192" personId="{DCCFDD89-2735-472E-AF13-BF9A13E78A2B}" id="{676497BB-B57D-BAA8-51F5-3491834C2DD4}">
    <xltc:text>Official source: https://www.angloamerican.com/~/media/Files/A/Anglo-American-Group-v9/PLC/investors/annual-reporting/2025/aa-annual-report-full-2025.pdf</xltc:text>
  </xltc:threadedComment>
  <xltc:threadedComment ref="J8" dT="2026-08-10T19:50:10.195" personId="{DCCFDD89-2735-472E-AF13-BF9A13E78A2B}" id="{CCEF71D2-12BB-A55C-096A-0B37EC5D70E4}">
    <xltc:text>Official source: https://reports.anglogoldashanti.com/25/download/AGA-AR25.pdf</xltc:text>
  </xltc:threadedComment>
  <xltc:threadedComment ref="J9" dT="2026-08-10T19:50:10.199" personId="{DCCFDD89-2735-472E-AF13-BF9A13E78A2B}" id="{A41A3E54-1019-A494-12F4-28E61980A544}">
    <xltc:text>Official source: https://www.goldfields.com/pdf/investors/integrated-annual-reports/2025/afs-2025.pdf</xltc:text>
  </xltc:threadedComment>
  <xltc:threadedComment ref="J10" dT="2026-08-10T19:50:10.203" personId="{DCCFDD89-2735-472E-AF13-BF9A13E78A2B}" id="{B77AD72D-FDFD-5964-BAC0-89501CB4184E}">
    <xltc:text>Official source: https://www.valterraplatinum.com/wp-content/uploads/2026/05/annual-financial-statements-2025.pdf</xltc:text>
  </xltc:threadedComment>
  <xltc:threadedComment ref="J11" dT="2026-08-10T19:50:10.207" personId="{DCCFDD89-2735-472E-AF13-BF9A13E78A2B}" id="{149CA51D-14DE-F486-DDAF-D37A74C81227}">
    <xltc:text>Official source: https://group.outsurance.co.za/globalassets/documents/investor-relations/reports-and-results/2025/ogl-annual-financial-statements-2025.pdf</xltc:text>
  </xltc:threadedComment>
  <xltc:threadedComment ref="J12" dT="2026-08-10T19:50:10.21" personId="{DCCFDD89-2735-472E-AF13-BF9A13E78A2B}" id="{486C6DB4-31DA-FB39-866A-D00570E2EEA2}">
    <xltc:text>Official source: https://www.sanlam.com/downloads/integrated-report-and-annual-financial-statements/2024/Sanlam-AFS-2024-spreads.pdf</xltc:text>
  </xltc:threadedComment>
  <xltc:threadedComment ref="J13" dT="2026-08-10T19:50:10.214" personId="{DCCFDD89-2735-472E-AF13-BF9A13E78A2B}" id="{FD677C82-17C3-1DB4-D5FC-A4E486358B61}">
    <xltc:text>Official source: https://www.shopriteholdings.co.za/docs/shp-afs-2025.pdf</xltc:text>
  </xltc:threadedComment>
  <xltc:threadedComment ref="J14" dT="2026-08-10T19:50:10.219" personId="{DCCFDD89-2735-472E-AF13-BF9A13E78A2B}" id="{AB52A347-735A-DB4E-2271-2D696CBE6ED7}">
    <xltc:text>Official source: https://www.bidcorpgroup.com/pdf/reports/2025/Bidcorp-2025-AIR.pdf</xltc:text>
  </xltc:threadedComment>
  <xltc:threadedComment ref="J15" dT="2026-08-10T19:50:10.221" personId="{DCCFDD89-2735-472E-AF13-BF9A13E78A2B}" id="{0D3AD057-B941-5E14-17C4-F5B12BC38F0A}">
    <xltc:text>Official source: https://pepkor.co.za/wp-content/uploads/Pepkor-annual-financial-statements-2025.pdf</xltc:text>
  </xltc:threadedComment>
  <xltc:threadedComment ref="J16" dT="2026-08-10T19:50:10.225" personId="{DCCFDD89-2735-472E-AF13-BF9A13E78A2B}" id="{F1D1D93C-B4B4-F7C3-4292-EF8AB042F2FE}">
    <xltc:text>Official source: https://clicksgroup.co.za/iar2025/wp-content/uploads/CGL-YE25-Annual-financial-statements.pdf</xltc:text>
  </xltc:threadedComment>
  <xltc:threadedComment ref="J17" dT="2026-08-10T19:50:10.229" personId="{DCCFDD89-2735-472E-AF13-BF9A13E78A2B}" id="{3E61485D-26F8-9ACA-7D6E-59B42CE8A7E2}">
    <xltc:text>Official source: https://nepirockcastle.com/wp-content/uploads/2026/03/NEPI_Rockcastle_Annual_Report_2025.pdf</xltc:text>
  </xltc:threadedComment>
  <xltc:threadedComment ref="J18" dT="2026-08-10T19:50:10.232" personId="{DCCFDD89-2735-472E-AF13-BF9A13E78A2B}" id="{61BA8F4F-EDEC-8161-91AB-4C1D74B78E0A}">
    <xltc:text>Official source: https://www.prosus.com/~/media/Files/P/prosus-corp-v2/results-reports-and-events-archive/annual-report/2026/fy2026-annual-report.pdf</xltc:text>
  </xltc:threadedComment>
  <xltc:threadedComment ref="J19" dT="2026-08-10T19:50:10.235" personId="{DCCFDD89-2735-472E-AF13-BF9A13E78A2B}" id="{964A3AD5-9D3A-E480-F6E7-0C4B5D120F1B}">
    <xltc:text>Official source: https://www.naspers.com/~/media/Files/N/Naspers-Corp-V2/results-reports-and-events-archive/latest-results/fy-2026/naspers-annual-financial-statements-2026.pdf</xltc:text>
  </xltc:threadedComment>
  <xltc:threadedComment ref="J20" dT="2026-08-10T19:50:10.238" personId="{DCCFDD89-2735-472E-AF13-BF9A13E78A2B}" id="{34C6CED1-BF8C-C4F8-208B-7B736231D826}">
    <xltc:text>Official source: https://www.mtn.com/wp-content/uploads/2026/03/MTN-Group-FY-25-Annual-Financial-Statements.pdf</xltc:text>
  </xltc:threadedComment>
  <xltc:threadedComment ref="J21" dT="2026-08-10T19:50:10.241" personId="{DCCFDD89-2735-472E-AF13-BF9A13E78A2B}" id="{8B50E57B-8FBD-C542-72AD-AA3031306B3E}">
    <xltc:text>Official source: https://vodacom-reports.co.za/integrated-reports/ir-2026/documents/vodacom-consolidated-and-separate-financial-statements-2026.pdf</xltc:text>
  </xltc:threadedComment>
  <xltc:threadedComment ref="J22" dT="2026-08-10T19:50:10.245" personId="{DCCFDD89-2735-472E-AF13-BF9A13E78A2B}" id="{FA6E7385-CF81-8C82-796A-0DBBA97B14B8}">
    <xltc:text>Official source: https://bidvest.co.za/pdf/annual-reports/2025/bidvest-iar-2025.pdf</xltc:text>
  </xltc:threadedComment>
  <xltc:threadedComment ref="J23" dT="2026-08-10T19:50:10.248" personId="{DCCFDD89-2735-472E-AF13-BF9A13E78A2B}" id="{DC7F069F-D517-2A81-43DE-1661BBAE1A0E}">
    <xltc:text>Official source: https://www.aspenpharma.com/download/annual-financial-statements-2/</xltc:text>
  </xltc:threadedComment>
  <xltc:threadedComment ref="J24" dT="2026-08-10T19:50:10.251" personId="{DCCFDD89-2735-472E-AF13-BF9A13E78A2B}" id="{CE5B0A53-2110-588A-8A8C-D6D8495C1F35}">
    <xltc:text>Official source: https://senspdf.jse.co.za/documents/2026/JSE/isse/SHCE/FY25Result.pdf</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e83aa257cf47495c" /><Relationship Type="http://schemas.openxmlformats.org/officeDocument/2006/relationships/vmlDrawing" Target="/xl/drawings/vmldrawing.vml" Id="R08bfc9dfd6c44312" /><Relationship Type="http://schemas.microsoft.com/office/2017/10/relationships/threadedComment" Target="/xl/threadedcomments/threadedcomment.xml" Id="R1767e328d83e4a8f" /></Relationships>
</file>

<file path=xl/worksheets/_rels/sheet3.xml.rels>&#65279;<?xml version="1.0" encoding="utf-8"?><Relationships xmlns="http://schemas.openxmlformats.org/package/2006/relationships"><Relationship Type="http://schemas.openxmlformats.org/officeDocument/2006/relationships/drawing" Target="/xl/drawings/drawing1.xml" Id="Rd986a64dfae14028" /></Relationships>
</file>

<file path=xl/worksheets/_rels/sheet9.xml.rels>&#65279;<?xml version="1.0" encoding="utf-8"?><Relationships xmlns="http://schemas.openxmlformats.org/package/2006/relationships"><Relationship Type="http://schemas.openxmlformats.org/officeDocument/2006/relationships/comments" Target="/xl/comments2.xml" Id="Re6f09054ed974c4c" /><Relationship Type="http://schemas.openxmlformats.org/officeDocument/2006/relationships/vmlDrawing" Target="/xl/drawings/vmldrawing2.vml" Id="R1296f804536e4c11" /><Relationship Type="http://schemas.microsoft.com/office/2017/10/relationships/threadedComment" Target="/xl/threadedcomments/threadedcomment2.xml" Id="Rd40840a485c34a2c"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16" hidden="0" customWidth="1"/>
    <x:col min="4" max="4" width="38"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5" customHeight="1">
      <x:c r="A1" s="3" t="str">
        <x:v>Corporate Wallet Digital Twin V3</x:v>
      </x:c>
      <x:c r="B1" s="3"/>
      <x:c r="C1" s="3"/>
      <x:c r="D1" s="3"/>
      <x:c r="E1" s="3"/>
      <x:c r="F1" s="3"/>
      <x:c r="G1" s="3"/>
      <x:c r="H1" s="3"/>
      <x:c r="I1" s="3"/>
      <x:c r="J1" s="3"/>
    </x:row>
    <x:row r="2" ht="26" customHeight="1">
      <x:c r="A2" s="7" t="str">
        <x:v>Public Facts, Approval, Anchor &amp; Decision-Impact Register | as of 2026-06-30</x:v>
      </x:c>
      <x:c r="B2" s="7"/>
      <x:c r="C2" s="7"/>
      <x:c r="D2" s="7"/>
      <x:c r="E2" s="7"/>
      <x:c r="F2" s="7"/>
      <x:c r="G2" s="7"/>
      <x:c r="H2" s="7"/>
      <x:c r="I2" s="7"/>
      <x:c r="J2" s="7"/>
    </x:row>
    <x:row r="4" ht="26" customHeight="1">
      <x:c r="A4" s="9" t="str">
        <x:v>Governed evidence and decision snapshot</x:v>
      </x:c>
      <x:c r="B4" s="9"/>
      <x:c r="C4" s="9"/>
      <x:c r="D4" s="9"/>
      <x:c r="E4" s="9"/>
      <x:c r="F4" s="9"/>
      <x:c r="G4" s="9"/>
      <x:c r="H4" s="9"/>
      <x:c r="I4" s="9"/>
      <x:c r="J4" s="9"/>
    </x:row>
    <x:row r="6">
      <x:c r="A6" s="11" t="str">
        <x:v>Public E1 facts</x:v>
      </x:c>
      <x:c r="B6" s="14" t="n">
        <x:f>COUNTA('Public Facts'!A5:A86)</x:f>
        <x:v>82</x:v>
      </x:c>
      <x:c r="D6" s="13" t="str">
        <x:v>Selected RM actions</x:v>
      </x:c>
      <x:c r="E6" s="15" t="n">
        <x:f>COUNTIF('V3 Decision Impact'!P5:P104,"SELECTED")</x:f>
        <x:v>12</x:v>
      </x:c>
    </x:row>
    <x:row r="7">
      <x:c r="A7" s="11" t="str">
        <x:v>Clients with E1 coverage</x:v>
      </x:c>
      <x:c r="B7" s="14" t="n">
        <x:f>COUNTA('Client Coverage'!A5:A24)</x:f>
        <x:v>20</x:v>
      </x:c>
      <x:c r="D7" s="13" t="str">
        <x:v>Evidence acquisitions</x:v>
      </x:c>
      <x:c r="E7" s="15" t="n">
        <x:f>COUNTIF('Evidence Queue'!B5:B104,"SELECTED")</x:f>
        <x:v>8</x:v>
      </x:c>
    </x:row>
    <x:row r="8">
      <x:c r="A8" s="11" t="str">
        <x:v>Finance-SME approved</x:v>
      </x:c>
      <x:c r="B8" s="14" t="n">
        <x:f>COUNTIF('Public Facts'!M5:M86,"APPROVED")</x:f>
        <x:v>31</x:v>
      </x:c>
      <x:c r="D8" s="13" t="str">
        <x:v>Net value of information</x:v>
      </x:c>
      <x:c r="E8" s="17" t="n">
        <x:f>ROUND(SUMIF('Evidence Queue'!B5:B104,"SELECTED",'Evidence Queue'!L5:L104),0)</x:f>
        <x:v>43328222</x:v>
      </x:c>
    </x:row>
    <x:row r="9">
      <x:c r="A9" s="11" t="str">
        <x:v>Pending SME review</x:v>
      </x:c>
      <x:c r="B9" s="14" t="n">
        <x:f>COUNTIF('Public Facts'!M5:M86,"PENDING_REVIEW")</x:f>
        <x:v>51</x:v>
      </x:c>
      <x:c r="D9" s="13" t="str">
        <x:v>Trade Finance first-rank frequency</x:v>
      </x:c>
      <x:c r="E9" s="16" t="n">
        <x:v>1</x:v>
      </x:c>
    </x:row>
    <x:row r="10">
      <x:c r="A10" s="11" t="str">
        <x:v>Approved showcase anchors</x:v>
      </x:c>
      <x:c r="B10" s="14" t="n">
        <x:f>COUNTA('Approved Anchors'!A5:A19)</x:f>
        <x:v>15</x:v>
      </x:c>
      <x:c r="D10" s="13" t="str">
        <x:v>Trade Finance mean top-10 share</x:v>
      </x:c>
      <x:c r="E10" s="16" t="n">
        <x:v>0.25187</x:v>
      </x:c>
    </x:row>
    <x:row r="11">
      <x:c r="A11" s="11" t="str">
        <x:v>V3 opportunities</x:v>
      </x:c>
      <x:c r="B11" s="14" t="n">
        <x:f>COUNTA('V3 Decision Impact'!A5:A104)</x:f>
        <x:v>100</x:v>
      </x:c>
      <x:c r="D11" s="13" t="str">
        <x:v>Trade Finance majority frequency</x:v>
      </x:c>
      <x:c r="E11" s="16" t="n">
        <x:v>0</x:v>
      </x:c>
    </x:row>
    <x:row r="12">
      <x:c r="A12" s="11" t="str">
        <x:v>Reconstructed wallet edges</x:v>
      </x:c>
      <x:c r="B12" s="14" t="n">
        <x:v>1500</x:v>
      </x:c>
      <x:c r="D12" s="13" t="str">
        <x:v>Production release state</x:v>
      </x:c>
      <x:c r="E12" s="15" t="str">
        <x:v>NOT_PROMOTABLE</x:v>
      </x:c>
    </x:row>
    <x:row r="14" ht="24" customHeight="1">
      <x:c r="A14" s="19" t="str">
        <x:v>Claim boundary — enforced in the workbook and product</x:v>
      </x:c>
      <x:c r="B14" s="19"/>
      <x:c r="C14" s="19"/>
      <x:c r="D14" s="19"/>
      <x:c r="E14" s="19"/>
      <x:c r="F14" s="19"/>
      <x:c r="G14" s="19"/>
      <x:c r="H14" s="19"/>
      <x:c r="I14" s="19"/>
      <x:c r="J14" s="19"/>
    </x:row>
    <x:row r="15">
      <x:c r="A15" s="39" t="str">
        <x:v>The 82 E1 facts are point-in-time public evidence, not bank observations. Only 31 facts have finance-SME approval; 51 remain PENDING_REVIEW. The 15 approved anchors are transparent accounting, FX, liquidity and trade proxies for BHP, Glencore and Shoprite. V3 Shadow Wallet flows are SCENARIO reconstructions with anonymous providers, PU need and leakage signals are POSTERIOR, economics are SIMULATED, and no competitor share or causal increment is labelled measured.</x:v>
      </x:c>
      <x:c r="B15" s="40"/>
      <x:c r="C15" s="40"/>
      <x:c r="D15" s="40"/>
      <x:c r="E15" s="40"/>
      <x:c r="F15" s="40"/>
      <x:c r="G15" s="40"/>
      <x:c r="H15" s="40"/>
      <x:c r="I15" s="40"/>
      <x:c r="J15" s="41"/>
    </x:row>
    <x:row r="16">
      <x:c r="A16" s="42"/>
      <x:c r="B16" s="43"/>
      <x:c r="C16" s="43"/>
      <x:c r="D16" s="43"/>
      <x:c r="E16" s="43"/>
      <x:c r="F16" s="43"/>
      <x:c r="G16" s="43"/>
      <x:c r="H16" s="43"/>
      <x:c r="I16" s="43"/>
      <x:c r="J16" s="44"/>
    </x:row>
    <x:row r="17">
      <x:c r="A17" s="42"/>
      <x:c r="B17" s="43"/>
      <x:c r="C17" s="43"/>
      <x:c r="D17" s="43"/>
      <x:c r="E17" s="43"/>
      <x:c r="F17" s="43"/>
      <x:c r="G17" s="43"/>
      <x:c r="H17" s="43"/>
      <x:c r="I17" s="43"/>
      <x:c r="J17" s="44"/>
    </x:row>
    <x:row r="18">
      <x:c r="A18" s="42"/>
      <x:c r="B18" s="43"/>
      <x:c r="C18" s="43"/>
      <x:c r="D18" s="43"/>
      <x:c r="E18" s="43"/>
      <x:c r="F18" s="43"/>
      <x:c r="G18" s="43"/>
      <x:c r="H18" s="43"/>
      <x:c r="I18" s="43"/>
      <x:c r="J18" s="44"/>
    </x:row>
    <x:row r="19">
      <x:c r="A19" s="45"/>
      <x:c r="B19" s="46"/>
      <x:c r="C19" s="46"/>
      <x:c r="D19" s="46"/>
      <x:c r="E19" s="46"/>
      <x:c r="F19" s="46"/>
      <x:c r="G19" s="46"/>
      <x:c r="H19" s="46"/>
      <x:c r="I19" s="46"/>
      <x:c r="J19" s="47"/>
    </x:row>
    <x:row r="21" ht="31" customHeight="1">
      <x:c r="A21" s="50" t="str">
        <x:v>Trade Finance remains first-ranked in 100% of 10,000 governed sensitivity draws, but it is not the majority of the top 10; Cross-border FX has the majority-dominance frequency. The conclusion is reported, never hard-coded.</x:v>
      </x:c>
      <x:c r="B21" s="50"/>
      <x:c r="C21" s="50"/>
      <x:c r="D21" s="50"/>
      <x:c r="E21" s="50"/>
      <x:c r="F21" s="50"/>
      <x:c r="G21" s="50"/>
      <x:c r="H21" s="50"/>
      <x:c r="I21" s="50"/>
      <x:c r="J21" s="50"/>
    </x:row>
  </x:sheetData>
  <x:mergeCells>
    <x:mergeCell ref="A1:J1"/>
    <x:mergeCell ref="A2:J2"/>
    <x:mergeCell ref="A4:J4"/>
    <x:mergeCell ref="A14:J14"/>
    <x:mergeCell ref="A15:J19"/>
    <x:mergeCell ref="A21:J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14" hidden="0" customWidth="1"/>
    <x:col min="3" max="3" width="23" hidden="0" customWidth="1"/>
    <x:col min="4" max="4" width="23"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40" hidden="0" customWidth="1"/>
    <x:col min="15" max="15" width="14" hidden="0" customWidth="1"/>
    <x:col min="16" max="16" width="48" hidden="0" customWidth="1"/>
    <x:col min="17" max="17" width="34" hidden="0" customWidth="1"/>
    <x:col min="18" max="18" width="38" hidden="0" customWidth="1"/>
  </x:cols>
  <x:sheetData>
    <x:row r="1" ht="35" customHeight="1">
      <x:c r="A1" s="3" t="str">
        <x:v>Canonical Public Facts</x:v>
      </x:c>
      <x:c r="B1" s="3"/>
      <x:c r="C1" s="3"/>
      <x:c r="D1" s="3"/>
      <x:c r="E1" s="3"/>
      <x:c r="F1" s="3"/>
      <x:c r="G1" s="3"/>
      <x:c r="H1" s="3"/>
      <x:c r="I1" s="3"/>
      <x:c r="J1" s="3"/>
      <x:c r="K1" s="3"/>
      <x:c r="L1" s="3"/>
      <x:c r="M1" s="3"/>
      <x:c r="N1" s="3"/>
      <x:c r="O1" s="3"/>
      <x:c r="P1" s="3"/>
      <x:c r="Q1" s="3"/>
      <x:c r="R1" s="3"/>
    </x:row>
    <x:row r="2" ht="26" customHeight="1">
      <x:c r="A2" s="7" t="str">
        <x:v>82 point-in-time E1 facts across 20 clients; approval and source lineage are explicit.</x:v>
      </x:c>
      <x:c r="B2" s="7"/>
      <x:c r="C2" s="7"/>
      <x:c r="D2" s="7"/>
      <x:c r="E2" s="7"/>
      <x:c r="F2" s="7"/>
      <x:c r="G2" s="7"/>
      <x:c r="H2" s="7"/>
      <x:c r="I2" s="7"/>
      <x:c r="J2" s="7"/>
      <x:c r="K2" s="7"/>
      <x:c r="L2" s="7"/>
      <x:c r="M2" s="7"/>
      <x:c r="N2" s="7"/>
      <x:c r="O2" s="7"/>
      <x:c r="P2" s="7"/>
      <x:c r="Q2" s="7"/>
      <x:c r="R2" s="7"/>
    </x:row>
    <x:row r="4" ht="30" customHeight="1">
      <x:c r="A4" s="55" t="str">
        <x:v>Fact ID</x:v>
      </x:c>
      <x:c r="B4" s="55" t="str">
        <x:v>Entity ID</x:v>
      </x:c>
      <x:c r="C4" s="55" t="str">
        <x:v>Entity name</x:v>
      </x:c>
      <x:c r="D4" s="55" t="str">
        <x:v>Concept</x:v>
      </x:c>
      <x:c r="E4" s="55" t="str">
        <x:v>Value</x:v>
      </x:c>
      <x:c r="F4" s="55" t="str">
        <x:v>Unit</x:v>
      </x:c>
      <x:c r="G4" s="55" t="str">
        <x:v>Currency</x:v>
      </x:c>
      <x:c r="H4" s="55" t="str">
        <x:v>Period start</x:v>
      </x:c>
      <x:c r="I4" s="55" t="str">
        <x:v>Period end</x:v>
      </x:c>
      <x:c r="J4" s="55" t="str">
        <x:v>Available date</x:v>
      </x:c>
      <x:c r="K4" s="55" t="str">
        <x:v>Evidence tier</x:v>
      </x:c>
      <x:c r="L4" s="55" t="str">
        <x:v>Confidence</x:v>
      </x:c>
      <x:c r="M4" s="55" t="str">
        <x:v>Approval status</x:v>
      </x:c>
      <x:c r="N4" s="55" t="str">
        <x:v>Source title</x:v>
      </x:c>
      <x:c r="O4" s="55" t="str">
        <x:v>Page</x:v>
      </x:c>
      <x:c r="P4" s="55" t="str">
        <x:v>Source URL</x:v>
      </x:c>
      <x:c r="Q4" s="55" t="str">
        <x:v>Document SHA-256</x:v>
      </x:c>
      <x:c r="R4" s="55" t="str">
        <x:v>V3 use boundary</x:v>
      </x:c>
    </x:row>
    <x:row r="5">
      <x:c r="A5" s="59" t="str">
        <x:v>BHP-2025-AP-CLOSE</x:v>
      </x:c>
      <x:c r="B5" s="59" t="str">
        <x:v>E01</x:v>
      </x:c>
      <x:c r="C5" s="59" t="str">
        <x:v>BHP Group</x:v>
      </x:c>
      <x:c r="D5" s="59" t="str">
        <x:v>trade_payables_close</x:v>
      </x:c>
      <x:c r="E5" s="60" t="n">
        <x:v>5082</x:v>
      </x:c>
      <x:c r="F5" s="59" t="str">
        <x:v>million</x:v>
      </x:c>
      <x:c r="G5" s="59" t="str">
        <x:v>USD</x:v>
      </x:c>
      <x:c r="H5" s="59" t="str">
        <x:v>2024-07-01</x:v>
      </x:c>
      <x:c r="I5" s="59" t="str">
        <x:v>2025-06-30</x:v>
      </x:c>
      <x:c r="J5" s="59" t="str">
        <x:v>2025-08-19</x:v>
      </x:c>
      <x:c r="K5" s="59" t="str">
        <x:v>E1</x:v>
      </x:c>
      <x:c r="L5" s="61" t="n">
        <x:v>0.99</x:v>
      </x:c>
      <x:c r="M5" s="59" t="str">
        <x:v>APPROVED</x:v>
      </x:c>
      <x:c r="N5" s="59" t="str">
        <x:v>BHP Annual Report 2025</x:v>
      </x:c>
      <x:c r="O5" s="59" t="n">
        <x:v>139</x:v>
      </x:c>
      <x:c r="P5" s="59" t="str">
        <x:v>https://www.bhp.com/-/media/documents/investors/annual-reports/2025/250819_bhpannualreport2025.pdf</x:v>
      </x:c>
      <x:c r="Q5" s="59" t="str">
        <x:v>seed-register-hash:BHP-2025-AP-CLOSE</x:v>
      </x:c>
      <x:c r="R5" s="59" t="str">
        <x:v>May anchor governed inference</x:v>
      </x:c>
    </x:row>
    <x:row r="6">
      <x:c r="A6" s="59" t="str">
        <x:v>BHP-2025-AP-OPEN</x:v>
      </x:c>
      <x:c r="B6" s="59" t="str">
        <x:v>E01</x:v>
      </x:c>
      <x:c r="C6" s="59" t="str">
        <x:v>BHP Group</x:v>
      </x:c>
      <x:c r="D6" s="59" t="str">
        <x:v>trade_payables_open</x:v>
      </x:c>
      <x:c r="E6" s="60" t="n">
        <x:v>5338</x:v>
      </x:c>
      <x:c r="F6" s="59" t="str">
        <x:v>million</x:v>
      </x:c>
      <x:c r="G6" s="59" t="str">
        <x:v>USD</x:v>
      </x:c>
      <x:c r="H6" s="59" t="str">
        <x:v>2023-07-01</x:v>
      </x:c>
      <x:c r="I6" s="59" t="str">
        <x:v>2024-06-30</x:v>
      </x:c>
      <x:c r="J6" s="59" t="str">
        <x:v>2025-08-19</x:v>
      </x:c>
      <x:c r="K6" s="59" t="str">
        <x:v>E1</x:v>
      </x:c>
      <x:c r="L6" s="61" t="n">
        <x:v>0.99</x:v>
      </x:c>
      <x:c r="M6" s="59" t="str">
        <x:v>APPROVED</x:v>
      </x:c>
      <x:c r="N6" s="59" t="str">
        <x:v>BHP Annual Report 2025</x:v>
      </x:c>
      <x:c r="O6" s="59" t="n">
        <x:v>139</x:v>
      </x:c>
      <x:c r="P6" s="59" t="str">
        <x:v>https://www.bhp.com/-/media/documents/investors/annual-reports/2025/250819_bhpannualreport2025.pdf</x:v>
      </x:c>
      <x:c r="Q6" s="59" t="str">
        <x:v>seed-register-hash:BHP-2025-AP-OPEN</x:v>
      </x:c>
      <x:c r="R6" s="59" t="str">
        <x:v>May anchor governed inference</x:v>
      </x:c>
    </x:row>
    <x:row r="7">
      <x:c r="A7" s="59" t="str">
        <x:v>BHP-2025-AR-CLOSE</x:v>
      </x:c>
      <x:c r="B7" s="59" t="str">
        <x:v>E01</x:v>
      </x:c>
      <x:c r="C7" s="59" t="str">
        <x:v>BHP Group</x:v>
      </x:c>
      <x:c r="D7" s="59" t="str">
        <x:v>trade_receivables_close</x:v>
      </x:c>
      <x:c r="E7" s="60" t="n">
        <x:v>3081</x:v>
      </x:c>
      <x:c r="F7" s="59" t="str">
        <x:v>million</x:v>
      </x:c>
      <x:c r="G7" s="59" t="str">
        <x:v>USD</x:v>
      </x:c>
      <x:c r="H7" s="59" t="str">
        <x:v>2024-07-01</x:v>
      </x:c>
      <x:c r="I7" s="59" t="str">
        <x:v>2025-06-30</x:v>
      </x:c>
      <x:c r="J7" s="59" t="str">
        <x:v>2025-08-19</x:v>
      </x:c>
      <x:c r="K7" s="59" t="str">
        <x:v>E1</x:v>
      </x:c>
      <x:c r="L7" s="61" t="n">
        <x:v>0.99</x:v>
      </x:c>
      <x:c r="M7" s="59" t="str">
        <x:v>APPROVED</x:v>
      </x:c>
      <x:c r="N7" s="59" t="str">
        <x:v>BHP Annual Report 2025</x:v>
      </x:c>
      <x:c r="O7" s="59" t="n">
        <x:v>139</x:v>
      </x:c>
      <x:c r="P7" s="59" t="str">
        <x:v>https://www.bhp.com/-/media/documents/investors/annual-reports/2025/250819_bhpannualreport2025.pdf</x:v>
      </x:c>
      <x:c r="Q7" s="59" t="str">
        <x:v>seed-register-hash:BHP-2025-AR-CLOSE</x:v>
      </x:c>
      <x:c r="R7" s="59" t="str">
        <x:v>May anchor governed inference</x:v>
      </x:c>
    </x:row>
    <x:row r="8">
      <x:c r="A8" s="59" t="str">
        <x:v>BHP-2025-AR-OPEN</x:v>
      </x:c>
      <x:c r="B8" s="59" t="str">
        <x:v>E01</x:v>
      </x:c>
      <x:c r="C8" s="59" t="str">
        <x:v>BHP Group</x:v>
      </x:c>
      <x:c r="D8" s="59" t="str">
        <x:v>trade_receivables_open</x:v>
      </x:c>
      <x:c r="E8" s="60" t="n">
        <x:v>3687</x:v>
      </x:c>
      <x:c r="F8" s="59" t="str">
        <x:v>million</x:v>
      </x:c>
      <x:c r="G8" s="59" t="str">
        <x:v>USD</x:v>
      </x:c>
      <x:c r="H8" s="59" t="str">
        <x:v>2023-07-01</x:v>
      </x:c>
      <x:c r="I8" s="59" t="str">
        <x:v>2024-06-30</x:v>
      </x:c>
      <x:c r="J8" s="59" t="str">
        <x:v>2025-08-19</x:v>
      </x:c>
      <x:c r="K8" s="59" t="str">
        <x:v>E1</x:v>
      </x:c>
      <x:c r="L8" s="61" t="n">
        <x:v>0.99</x:v>
      </x:c>
      <x:c r="M8" s="59" t="str">
        <x:v>APPROVED</x:v>
      </x:c>
      <x:c r="N8" s="59" t="str">
        <x:v>BHP Annual Report 2025</x:v>
      </x:c>
      <x:c r="O8" s="59" t="n">
        <x:v>139</x:v>
      </x:c>
      <x:c r="P8" s="59" t="str">
        <x:v>https://www.bhp.com/-/media/documents/investors/annual-reports/2025/250819_bhpannualreport2025.pdf</x:v>
      </x:c>
      <x:c r="Q8" s="59" t="str">
        <x:v>seed-register-hash:BHP-2025-AR-OPEN</x:v>
      </x:c>
      <x:c r="R8" s="59" t="str">
        <x:v>May anchor governed inference</x:v>
      </x:c>
    </x:row>
    <x:row r="9">
      <x:c r="A9" s="59" t="str">
        <x:v>BHP-2025-COST</x:v>
      </x:c>
      <x:c r="B9" s="59" t="str">
        <x:v>E01</x:v>
      </x:c>
      <x:c r="C9" s="59" t="str">
        <x:v>BHP Group</x:v>
      </x:c>
      <x:c r="D9" s="59" t="str">
        <x:v>operating_cost_base</x:v>
      </x:c>
      <x:c r="E9" s="60" t="n">
        <x:v>32319</x:v>
      </x:c>
      <x:c r="F9" s="59" t="str">
        <x:v>million</x:v>
      </x:c>
      <x:c r="G9" s="59" t="str">
        <x:v>USD</x:v>
      </x:c>
      <x:c r="H9" s="59" t="str">
        <x:v>2024-07-01</x:v>
      </x:c>
      <x:c r="I9" s="59" t="str">
        <x:v>2025-06-30</x:v>
      </x:c>
      <x:c r="J9" s="59" t="str">
        <x:v>2025-08-19</x:v>
      </x:c>
      <x:c r="K9" s="59" t="str">
        <x:v>E1</x:v>
      </x:c>
      <x:c r="L9" s="61" t="n">
        <x:v>0.99</x:v>
      </x:c>
      <x:c r="M9" s="59" t="str">
        <x:v>APPROVED</x:v>
      </x:c>
      <x:c r="N9" s="59" t="str">
        <x:v>BHP Annual Report 2025</x:v>
      </x:c>
      <x:c r="O9" s="59" t="n">
        <x:v>118</x:v>
      </x:c>
      <x:c r="P9" s="59" t="str">
        <x:v>https://www.bhp.com/-/media/documents/investors/annual-reports/2025/250819_bhpannualreport2025.pdf</x:v>
      </x:c>
      <x:c r="Q9" s="59" t="str">
        <x:v>seed-register-hash:BHP-2025-COST</x:v>
      </x:c>
      <x:c r="R9" s="59" t="str">
        <x:v>May anchor governed inference</x:v>
      </x:c>
    </x:row>
    <x:row r="10">
      <x:c r="A10" s="59" t="str">
        <x:v>BHP-2025-DEBT</x:v>
      </x:c>
      <x:c r="B10" s="59" t="str">
        <x:v>E01</x:v>
      </x:c>
      <x:c r="C10" s="59" t="str">
        <x:v>BHP Group</x:v>
      </x:c>
      <x:c r="D10" s="59" t="str">
        <x:v>current_debt</x:v>
      </x:c>
      <x:c r="E10" s="60" t="n">
        <x:v>2018</x:v>
      </x:c>
      <x:c r="F10" s="59" t="str">
        <x:v>million</x:v>
      </x:c>
      <x:c r="G10" s="59" t="str">
        <x:v>USD</x:v>
      </x:c>
      <x:c r="H10" s="59" t="str">
        <x:v>2024-07-01</x:v>
      </x:c>
      <x:c r="I10" s="59" t="str">
        <x:v>2025-06-30</x:v>
      </x:c>
      <x:c r="J10" s="59" t="str">
        <x:v>2025-08-19</x:v>
      </x:c>
      <x:c r="K10" s="59" t="str">
        <x:v>E1</x:v>
      </x:c>
      <x:c r="L10" s="61" t="n">
        <x:v>0.99</x:v>
      </x:c>
      <x:c r="M10" s="59" t="str">
        <x:v>APPROVED</x:v>
      </x:c>
      <x:c r="N10" s="59" t="str">
        <x:v>BHP Annual Report 2025</x:v>
      </x:c>
      <x:c r="O10" s="59" t="n">
        <x:v>119</x:v>
      </x:c>
      <x:c r="P10" s="59" t="str">
        <x:v>https://www.bhp.com/-/media/documents/investors/annual-reports/2025/250819_bhpannualreport2025.pdf</x:v>
      </x:c>
      <x:c r="Q10" s="59" t="str">
        <x:v>seed-register-hash:BHP-2025-DEBT</x:v>
      </x:c>
      <x:c r="R10" s="59" t="str">
        <x:v>May anchor governed inference</x:v>
      </x:c>
    </x:row>
    <x:row r="11">
      <x:c r="A11" s="59" t="str">
        <x:v>BHP-2025-FX</x:v>
      </x:c>
      <x:c r="B11" s="59" t="str">
        <x:v>E01</x:v>
      </x:c>
      <x:c r="C11" s="59" t="str">
        <x:v>BHP Group</x:v>
      </x:c>
      <x:c r="D11" s="59" t="str">
        <x:v>fx_exposure</x:v>
      </x:c>
      <x:c r="E11" s="60" t="n">
        <x:v>5123</x:v>
      </x:c>
      <x:c r="F11" s="59" t="str">
        <x:v>million</x:v>
      </x:c>
      <x:c r="G11" s="59" t="str">
        <x:v>USD</x:v>
      </x:c>
      <x:c r="H11" s="59" t="str">
        <x:v>2024-07-01</x:v>
      </x:c>
      <x:c r="I11" s="59" t="str">
        <x:v>2025-06-30</x:v>
      </x:c>
      <x:c r="J11" s="59" t="str">
        <x:v>2025-08-19</x:v>
      </x:c>
      <x:c r="K11" s="59" t="str">
        <x:v>E1</x:v>
      </x:c>
      <x:c r="L11" s="61" t="n">
        <x:v>0.95</x:v>
      </x:c>
      <x:c r="M11" s="59" t="str">
        <x:v>APPROVED</x:v>
      </x:c>
      <x:c r="N11" s="59" t="str">
        <x:v>BHP Annual Report 2025</x:v>
      </x:c>
      <x:c r="O11" s="59" t="n">
        <x:v>160</x:v>
      </x:c>
      <x:c r="P11" s="59" t="str">
        <x:v>https://www.bhp.com/-/media/documents/investors/annual-reports/2025/250819_bhpannualreport2025.pdf</x:v>
      </x:c>
      <x:c r="Q11" s="59" t="str">
        <x:v>seed-register-hash:BHP-2025-FX</x:v>
      </x:c>
      <x:c r="R11" s="59" t="str">
        <x:v>May anchor governed inference</x:v>
      </x:c>
    </x:row>
    <x:row r="12">
      <x:c r="A12" s="59" t="str">
        <x:v>BHP-2025-INV-CLOSE</x:v>
      </x:c>
      <x:c r="B12" s="59" t="str">
        <x:v>E01</x:v>
      </x:c>
      <x:c r="C12" s="59" t="str">
        <x:v>BHP Group</x:v>
      </x:c>
      <x:c r="D12" s="59" t="str">
        <x:v>inventories_close</x:v>
      </x:c>
      <x:c r="E12" s="60" t="n">
        <x:v>6978</x:v>
      </x:c>
      <x:c r="F12" s="59" t="str">
        <x:v>million</x:v>
      </x:c>
      <x:c r="G12" s="59" t="str">
        <x:v>USD</x:v>
      </x:c>
      <x:c r="H12" s="59" t="str">
        <x:v>2024-07-01</x:v>
      </x:c>
      <x:c r="I12" s="59" t="str">
        <x:v>2025-06-30</x:v>
      </x:c>
      <x:c r="J12" s="59" t="str">
        <x:v>2025-08-19</x:v>
      </x:c>
      <x:c r="K12" s="59" t="str">
        <x:v>E1</x:v>
      </x:c>
      <x:c r="L12" s="61" t="n">
        <x:v>0.99</x:v>
      </x:c>
      <x:c r="M12" s="59" t="str">
        <x:v>APPROVED</x:v>
      </x:c>
      <x:c r="N12" s="59" t="str">
        <x:v>BHP Annual Report 2025</x:v>
      </x:c>
      <x:c r="O12" s="59" t="n">
        <x:v>139</x:v>
      </x:c>
      <x:c r="P12" s="59" t="str">
        <x:v>https://www.bhp.com/-/media/documents/investors/annual-reports/2025/250819_bhpannualreport2025.pdf</x:v>
      </x:c>
      <x:c r="Q12" s="59" t="str">
        <x:v>seed-register-hash:BHP-2025-INV-CLOSE</x:v>
      </x:c>
      <x:c r="R12" s="59" t="str">
        <x:v>May anchor governed inference</x:v>
      </x:c>
    </x:row>
    <x:row r="13">
      <x:c r="A13" s="59" t="str">
        <x:v>BHP-2025-INV-OPEN</x:v>
      </x:c>
      <x:c r="B13" s="59" t="str">
        <x:v>E01</x:v>
      </x:c>
      <x:c r="C13" s="59" t="str">
        <x:v>BHP Group</x:v>
      </x:c>
      <x:c r="D13" s="59" t="str">
        <x:v>inventories_open</x:v>
      </x:c>
      <x:c r="E13" s="60" t="n">
        <x:v>7039</x:v>
      </x:c>
      <x:c r="F13" s="59" t="str">
        <x:v>million</x:v>
      </x:c>
      <x:c r="G13" s="59" t="str">
        <x:v>USD</x:v>
      </x:c>
      <x:c r="H13" s="59" t="str">
        <x:v>2023-07-01</x:v>
      </x:c>
      <x:c r="I13" s="59" t="str">
        <x:v>2024-06-30</x:v>
      </x:c>
      <x:c r="J13" s="59" t="str">
        <x:v>2025-08-19</x:v>
      </x:c>
      <x:c r="K13" s="59" t="str">
        <x:v>E1</x:v>
      </x:c>
      <x:c r="L13" s="61" t="n">
        <x:v>0.99</x:v>
      </x:c>
      <x:c r="M13" s="59" t="str">
        <x:v>APPROVED</x:v>
      </x:c>
      <x:c r="N13" s="59" t="str">
        <x:v>BHP Annual Report 2025</x:v>
      </x:c>
      <x:c r="O13" s="59" t="n">
        <x:v>139</x:v>
      </x:c>
      <x:c r="P13" s="59" t="str">
        <x:v>https://www.bhp.com/-/media/documents/investors/annual-reports/2025/250819_bhpannualreport2025.pdf</x:v>
      </x:c>
      <x:c r="Q13" s="59" t="str">
        <x:v>seed-register-hash:BHP-2025-INV-OPEN</x:v>
      </x:c>
      <x:c r="R13" s="59" t="str">
        <x:v>May anchor governed inference</x:v>
      </x:c>
    </x:row>
    <x:row r="14">
      <x:c r="A14" s="59" t="str">
        <x:v>BHP-2025-REV</x:v>
      </x:c>
      <x:c r="B14" s="59" t="str">
        <x:v>E01</x:v>
      </x:c>
      <x:c r="C14" s="59" t="str">
        <x:v>BHP Group</x:v>
      </x:c>
      <x:c r="D14" s="59" t="str">
        <x:v>revenue</x:v>
      </x:c>
      <x:c r="E14" s="60" t="n">
        <x:v>51262</x:v>
      </x:c>
      <x:c r="F14" s="59" t="str">
        <x:v>million</x:v>
      </x:c>
      <x:c r="G14" s="59" t="str">
        <x:v>USD</x:v>
      </x:c>
      <x:c r="H14" s="59" t="str">
        <x:v>2024-07-01</x:v>
      </x:c>
      <x:c r="I14" s="59" t="str">
        <x:v>2025-06-30</x:v>
      </x:c>
      <x:c r="J14" s="59" t="str">
        <x:v>2025-08-19</x:v>
      </x:c>
      <x:c r="K14" s="59" t="str">
        <x:v>E1</x:v>
      </x:c>
      <x:c r="L14" s="61" t="n">
        <x:v>0.99</x:v>
      </x:c>
      <x:c r="M14" s="59" t="str">
        <x:v>APPROVED</x:v>
      </x:c>
      <x:c r="N14" s="59" t="str">
        <x:v>BHP Annual Report 2025</x:v>
      </x:c>
      <x:c r="O14" s="59" t="n">
        <x:v>118</x:v>
      </x:c>
      <x:c r="P14" s="59" t="str">
        <x:v>https://www.bhp.com/-/media/documents/investors/annual-reports/2025/250819_bhpannualreport2025.pdf</x:v>
      </x:c>
      <x:c r="Q14" s="59" t="str">
        <x:v>seed-register-hash:BHP-2025-REV</x:v>
      </x:c>
      <x:c r="R14" s="59" t="str">
        <x:v>May anchor governed inference</x:v>
      </x:c>
    </x:row>
    <x:row r="15">
      <x:c r="A15" s="59" t="str">
        <x:v>GLEN-2025-AP-CLOSE</x:v>
      </x:c>
      <x:c r="B15" s="59" t="str">
        <x:v>E02</x:v>
      </x:c>
      <x:c r="C15" s="59" t="str">
        <x:v>Glencore</x:v>
      </x:c>
      <x:c r="D15" s="59" t="str">
        <x:v>trade_payables_close</x:v>
      </x:c>
      <x:c r="E15" s="60" t="n">
        <x:v>30537</x:v>
      </x:c>
      <x:c r="F15" s="59" t="str">
        <x:v>million</x:v>
      </x:c>
      <x:c r="G15" s="59" t="str">
        <x:v>USD</x:v>
      </x:c>
      <x:c r="H15" s="59" t="str">
        <x:v>2025-01-01</x:v>
      </x:c>
      <x:c r="I15" s="59" t="str">
        <x:v>2025-12-31</x:v>
      </x:c>
      <x:c r="J15" s="59" t="str">
        <x:v>2026-03-10</x:v>
      </x:c>
      <x:c r="K15" s="59" t="str">
        <x:v>E1</x:v>
      </x:c>
      <x:c r="L15" s="61" t="n">
        <x:v>0.99</x:v>
      </x:c>
      <x:c r="M15" s="59" t="str">
        <x:v>APPROVED</x:v>
      </x:c>
      <x:c r="N15" s="59" t="str">
        <x:v>Glencore Annual Report 2025</x:v>
      </x:c>
      <x:c r="O15" s="59" t="n">
        <x:v>205</x:v>
      </x:c>
      <x:c r="P15" s="59" t="str">
        <x:v>https://www.glencore.com/.rest/api/v1/documents/static/9b103e11-72e7-40bf-ae7c-eabe57361522/GLEN-2025-Annual-Report.pdf</x:v>
      </x:c>
      <x:c r="Q15" s="59" t="str">
        <x:v>seed-register-hash:GLEN-2025-AP-CLOSE</x:v>
      </x:c>
      <x:c r="R15" s="59" t="str">
        <x:v>May anchor governed inference</x:v>
      </x:c>
    </x:row>
    <x:row r="16">
      <x:c r="A16" s="59" t="str">
        <x:v>GLEN-2025-AP-OPEN</x:v>
      </x:c>
      <x:c r="B16" s="59" t="str">
        <x:v>E02</x:v>
      </x:c>
      <x:c r="C16" s="59" t="str">
        <x:v>Glencore</x:v>
      </x:c>
      <x:c r="D16" s="59" t="str">
        <x:v>trade_payables_open</x:v>
      </x:c>
      <x:c r="E16" s="60" t="n">
        <x:v>24872</x:v>
      </x:c>
      <x:c r="F16" s="59" t="str">
        <x:v>million</x:v>
      </x:c>
      <x:c r="G16" s="59" t="str">
        <x:v>USD</x:v>
      </x:c>
      <x:c r="H16" s="59" t="str">
        <x:v>2024-01-01</x:v>
      </x:c>
      <x:c r="I16" s="59" t="str">
        <x:v>2024-12-31</x:v>
      </x:c>
      <x:c r="J16" s="59" t="str">
        <x:v>2026-03-10</x:v>
      </x:c>
      <x:c r="K16" s="59" t="str">
        <x:v>E1</x:v>
      </x:c>
      <x:c r="L16" s="61" t="n">
        <x:v>0.99</x:v>
      </x:c>
      <x:c r="M16" s="59" t="str">
        <x:v>APPROVED</x:v>
      </x:c>
      <x:c r="N16" s="59" t="str">
        <x:v>Glencore Annual Report 2025</x:v>
      </x:c>
      <x:c r="O16" s="59" t="n">
        <x:v>205</x:v>
      </x:c>
      <x:c r="P16" s="59" t="str">
        <x:v>https://www.glencore.com/.rest/api/v1/documents/static/9b103e11-72e7-40bf-ae7c-eabe57361522/GLEN-2025-Annual-Report.pdf</x:v>
      </x:c>
      <x:c r="Q16" s="59" t="str">
        <x:v>seed-register-hash:GLEN-2025-AP-OPEN</x:v>
      </x:c>
      <x:c r="R16" s="59" t="str">
        <x:v>May anchor governed inference</x:v>
      </x:c>
    </x:row>
    <x:row r="17">
      <x:c r="A17" s="59" t="str">
        <x:v>GLEN-2025-AR-CLOSE</x:v>
      </x:c>
      <x:c r="B17" s="59" t="str">
        <x:v>E02</x:v>
      </x:c>
      <x:c r="C17" s="59" t="str">
        <x:v>Glencore</x:v>
      </x:c>
      <x:c r="D17" s="59" t="str">
        <x:v>trade_receivables_close</x:v>
      </x:c>
      <x:c r="E17" s="60" t="n">
        <x:v>13428</x:v>
      </x:c>
      <x:c r="F17" s="59" t="str">
        <x:v>million</x:v>
      </x:c>
      <x:c r="G17" s="59" t="str">
        <x:v>USD</x:v>
      </x:c>
      <x:c r="H17" s="59" t="str">
        <x:v>2025-01-01</x:v>
      </x:c>
      <x:c r="I17" s="59" t="str">
        <x:v>2025-12-31</x:v>
      </x:c>
      <x:c r="J17" s="59" t="str">
        <x:v>2026-03-10</x:v>
      </x:c>
      <x:c r="K17" s="59" t="str">
        <x:v>E1</x:v>
      </x:c>
      <x:c r="L17" s="61" t="n">
        <x:v>0.99</x:v>
      </x:c>
      <x:c r="M17" s="59" t="str">
        <x:v>APPROVED</x:v>
      </x:c>
      <x:c r="N17" s="59" t="str">
        <x:v>Glencore Annual Report 2025</x:v>
      </x:c>
      <x:c r="O17" s="59" t="n">
        <x:v>186</x:v>
      </x:c>
      <x:c r="P17" s="59" t="str">
        <x:v>https://www.glencore.com/.rest/api/v1/documents/static/9b103e11-72e7-40bf-ae7c-eabe57361522/GLEN-2025-Annual-Report.pdf</x:v>
      </x:c>
      <x:c r="Q17" s="59" t="str">
        <x:v>seed-register-hash:GLEN-2025-AR-CLOSE</x:v>
      </x:c>
      <x:c r="R17" s="59" t="str">
        <x:v>May anchor governed inference</x:v>
      </x:c>
    </x:row>
    <x:row r="18">
      <x:c r="A18" s="59" t="str">
        <x:v>GLEN-2025-AR-OPEN</x:v>
      </x:c>
      <x:c r="B18" s="59" t="str">
        <x:v>E02</x:v>
      </x:c>
      <x:c r="C18" s="59" t="str">
        <x:v>Glencore</x:v>
      </x:c>
      <x:c r="D18" s="59" t="str">
        <x:v>trade_receivables_open</x:v>
      </x:c>
      <x:c r="E18" s="60" t="n">
        <x:v>10878</x:v>
      </x:c>
      <x:c r="F18" s="59" t="str">
        <x:v>million</x:v>
      </x:c>
      <x:c r="G18" s="59" t="str">
        <x:v>USD</x:v>
      </x:c>
      <x:c r="H18" s="59" t="str">
        <x:v>2024-01-01</x:v>
      </x:c>
      <x:c r="I18" s="59" t="str">
        <x:v>2024-12-31</x:v>
      </x:c>
      <x:c r="J18" s="59" t="str">
        <x:v>2026-03-10</x:v>
      </x:c>
      <x:c r="K18" s="59" t="str">
        <x:v>E1</x:v>
      </x:c>
      <x:c r="L18" s="61" t="n">
        <x:v>0.99</x:v>
      </x:c>
      <x:c r="M18" s="59" t="str">
        <x:v>APPROVED</x:v>
      </x:c>
      <x:c r="N18" s="59" t="str">
        <x:v>Glencore Annual Report 2025</x:v>
      </x:c>
      <x:c r="O18" s="59" t="n">
        <x:v>186</x:v>
      </x:c>
      <x:c r="P18" s="59" t="str">
        <x:v>https://www.glencore.com/.rest/api/v1/documents/static/9b103e11-72e7-40bf-ae7c-eabe57361522/GLEN-2025-Annual-Report.pdf</x:v>
      </x:c>
      <x:c r="Q18" s="59" t="str">
        <x:v>seed-register-hash:GLEN-2025-AR-OPEN</x:v>
      </x:c>
      <x:c r="R18" s="59" t="str">
        <x:v>May anchor governed inference</x:v>
      </x:c>
    </x:row>
    <x:row r="19">
      <x:c r="A19" s="59" t="str">
        <x:v>GLEN-2025-COST</x:v>
      </x:c>
      <x:c r="B19" s="59" t="str">
        <x:v>E02</x:v>
      </x:c>
      <x:c r="C19" s="59" t="str">
        <x:v>Glencore</x:v>
      </x:c>
      <x:c r="D19" s="59" t="str">
        <x:v>operating_cost_base</x:v>
      </x:c>
      <x:c r="E19" s="60" t="n">
        <x:v>241672</x:v>
      </x:c>
      <x:c r="F19" s="59" t="str">
        <x:v>million</x:v>
      </x:c>
      <x:c r="G19" s="59" t="str">
        <x:v>USD</x:v>
      </x:c>
      <x:c r="H19" s="59" t="str">
        <x:v>2025-01-01</x:v>
      </x:c>
      <x:c r="I19" s="59" t="str">
        <x:v>2025-12-31</x:v>
      </x:c>
      <x:c r="J19" s="59" t="str">
        <x:v>2026-03-10</x:v>
      </x:c>
      <x:c r="K19" s="59" t="str">
        <x:v>E1</x:v>
      </x:c>
      <x:c r="L19" s="61" t="n">
        <x:v>0.99</x:v>
      </x:c>
      <x:c r="M19" s="59" t="str">
        <x:v>APPROVED</x:v>
      </x:c>
      <x:c r="N19" s="59" t="str">
        <x:v>Glencore Annual Report 2025</x:v>
      </x:c>
      <x:c r="O19" s="59" t="n">
        <x:v>136</x:v>
      </x:c>
      <x:c r="P19" s="59" t="str">
        <x:v>https://www.glencore.com/.rest/api/v1/documents/static/9b103e11-72e7-40bf-ae7c-eabe57361522/GLEN-2025-Annual-Report.pdf</x:v>
      </x:c>
      <x:c r="Q19" s="59" t="str">
        <x:v>seed-register-hash:GLEN-2025-COST</x:v>
      </x:c>
      <x:c r="R19" s="59" t="str">
        <x:v>May anchor governed inference</x:v>
      </x:c>
    </x:row>
    <x:row r="20">
      <x:c r="A20" s="59" t="str">
        <x:v>GLEN-2025-DEBT</x:v>
      </x:c>
      <x:c r="B20" s="59" t="str">
        <x:v>E02</x:v>
      </x:c>
      <x:c r="C20" s="59" t="str">
        <x:v>Glencore</x:v>
      </x:c>
      <x:c r="D20" s="59" t="str">
        <x:v>current_debt</x:v>
      </x:c>
      <x:c r="E20" s="60" t="n">
        <x:v>14494</x:v>
      </x:c>
      <x:c r="F20" s="59" t="str">
        <x:v>million</x:v>
      </x:c>
      <x:c r="G20" s="59" t="str">
        <x:v>USD</x:v>
      </x:c>
      <x:c r="H20" s="59" t="str">
        <x:v>2025-01-01</x:v>
      </x:c>
      <x:c r="I20" s="59" t="str">
        <x:v>2025-12-31</x:v>
      </x:c>
      <x:c r="J20" s="59" t="str">
        <x:v>2026-03-10</x:v>
      </x:c>
      <x:c r="K20" s="59" t="str">
        <x:v>E1</x:v>
      </x:c>
      <x:c r="L20" s="61" t="n">
        <x:v>0.99</x:v>
      </x:c>
      <x:c r="M20" s="59" t="str">
        <x:v>APPROVED</x:v>
      </x:c>
      <x:c r="N20" s="59" t="str">
        <x:v>Glencore Annual Report 2025</x:v>
      </x:c>
      <x:c r="O20" s="59" t="n">
        <x:v>138</x:v>
      </x:c>
      <x:c r="P20" s="59" t="str">
        <x:v>https://www.glencore.com/.rest/api/v1/documents/static/9b103e11-72e7-40bf-ae7c-eabe57361522/GLEN-2025-Annual-Report.pdf</x:v>
      </x:c>
      <x:c r="Q20" s="59" t="str">
        <x:v>seed-register-hash:GLEN-2025-DEBT</x:v>
      </x:c>
      <x:c r="R20" s="59" t="str">
        <x:v>May anchor governed inference</x:v>
      </x:c>
    </x:row>
    <x:row r="21">
      <x:c r="A21" s="59" t="str">
        <x:v>GLEN-2025-FX</x:v>
      </x:c>
      <x:c r="B21" s="59" t="str">
        <x:v>E02</x:v>
      </x:c>
      <x:c r="C21" s="59" t="str">
        <x:v>Glencore</x:v>
      </x:c>
      <x:c r="D21" s="59" t="str">
        <x:v>fx_exposure</x:v>
      </x:c>
      <x:c r="E21" s="60" t="n">
        <x:v>7587</x:v>
      </x:c>
      <x:c r="F21" s="59" t="str">
        <x:v>million</x:v>
      </x:c>
      <x:c r="G21" s="59" t="str">
        <x:v>USD</x:v>
      </x:c>
      <x:c r="H21" s="59" t="str">
        <x:v>2025-01-01</x:v>
      </x:c>
      <x:c r="I21" s="59" t="str">
        <x:v>2025-12-31</x:v>
      </x:c>
      <x:c r="J21" s="59" t="str">
        <x:v>2026-03-10</x:v>
      </x:c>
      <x:c r="K21" s="59" t="str">
        <x:v>E1</x:v>
      </x:c>
      <x:c r="L21" s="61" t="n">
        <x:v>0.95</x:v>
      </x:c>
      <x:c r="M21" s="59" t="str">
        <x:v>APPROVED</x:v>
      </x:c>
      <x:c r="N21" s="59" t="str">
        <x:v>Glencore Annual Report 2025</x:v>
      </x:c>
      <x:c r="O21" s="59" t="n">
        <x:v>212</x:v>
      </x:c>
      <x:c r="P21" s="59" t="str">
        <x:v>https://www.glencore.com/.rest/api/v1/documents/static/9b103e11-72e7-40bf-ae7c-eabe57361522/GLEN-2025-Annual-Report.pdf</x:v>
      </x:c>
      <x:c r="Q21" s="59" t="str">
        <x:v>seed-register-hash:GLEN-2025-FX</x:v>
      </x:c>
      <x:c r="R21" s="59" t="str">
        <x:v>May anchor governed inference</x:v>
      </x:c>
    </x:row>
    <x:row r="22">
      <x:c r="A22" s="59" t="str">
        <x:v>GLEN-2025-INV-CLOSE</x:v>
      </x:c>
      <x:c r="B22" s="59" t="str">
        <x:v>E02</x:v>
      </x:c>
      <x:c r="C22" s="59" t="str">
        <x:v>Glencore</x:v>
      </x:c>
      <x:c r="D22" s="59" t="str">
        <x:v>inventories_close</x:v>
      </x:c>
      <x:c r="E22" s="60" t="n">
        <x:v>33955</x:v>
      </x:c>
      <x:c r="F22" s="59" t="str">
        <x:v>million</x:v>
      </x:c>
      <x:c r="G22" s="59" t="str">
        <x:v>USD</x:v>
      </x:c>
      <x:c r="H22" s="59" t="str">
        <x:v>2025-01-01</x:v>
      </x:c>
      <x:c r="I22" s="59" t="str">
        <x:v>2025-12-31</x:v>
      </x:c>
      <x:c r="J22" s="59" t="str">
        <x:v>2026-03-10</x:v>
      </x:c>
      <x:c r="K22" s="59" t="str">
        <x:v>E1</x:v>
      </x:c>
      <x:c r="L22" s="61" t="n">
        <x:v>0.99</x:v>
      </x:c>
      <x:c r="M22" s="59" t="str">
        <x:v>APPROVED</x:v>
      </x:c>
      <x:c r="N22" s="59" t="str">
        <x:v>Glencore Annual Report 2025</x:v>
      </x:c>
      <x:c r="O22" s="59" t="n">
        <x:v>185</x:v>
      </x:c>
      <x:c r="P22" s="59" t="str">
        <x:v>https://www.glencore.com/.rest/api/v1/documents/static/9b103e11-72e7-40bf-ae7c-eabe57361522/GLEN-2025-Annual-Report.pdf</x:v>
      </x:c>
      <x:c r="Q22" s="59" t="str">
        <x:v>seed-register-hash:GLEN-2025-INV-CLOSE</x:v>
      </x:c>
      <x:c r="R22" s="59" t="str">
        <x:v>May anchor governed inference</x:v>
      </x:c>
    </x:row>
    <x:row r="23">
      <x:c r="A23" s="59" t="str">
        <x:v>GLEN-2025-INV-OPEN</x:v>
      </x:c>
      <x:c r="B23" s="59" t="str">
        <x:v>E02</x:v>
      </x:c>
      <x:c r="C23" s="59" t="str">
        <x:v>Glencore</x:v>
      </x:c>
      <x:c r="D23" s="59" t="str">
        <x:v>inventories_open</x:v>
      </x:c>
      <x:c r="E23" s="60" t="n">
        <x:v>30097</x:v>
      </x:c>
      <x:c r="F23" s="59" t="str">
        <x:v>million</x:v>
      </x:c>
      <x:c r="G23" s="59" t="str">
        <x:v>USD</x:v>
      </x:c>
      <x:c r="H23" s="59" t="str">
        <x:v>2024-01-01</x:v>
      </x:c>
      <x:c r="I23" s="59" t="str">
        <x:v>2024-12-31</x:v>
      </x:c>
      <x:c r="J23" s="59" t="str">
        <x:v>2026-03-10</x:v>
      </x:c>
      <x:c r="K23" s="59" t="str">
        <x:v>E1</x:v>
      </x:c>
      <x:c r="L23" s="61" t="n">
        <x:v>0.99</x:v>
      </x:c>
      <x:c r="M23" s="59" t="str">
        <x:v>APPROVED</x:v>
      </x:c>
      <x:c r="N23" s="59" t="str">
        <x:v>Glencore Annual Report 2025</x:v>
      </x:c>
      <x:c r="O23" s="59" t="n">
        <x:v>185</x:v>
      </x:c>
      <x:c r="P23" s="59" t="str">
        <x:v>https://www.glencore.com/.rest/api/v1/documents/static/9b103e11-72e7-40bf-ae7c-eabe57361522/GLEN-2025-Annual-Report.pdf</x:v>
      </x:c>
      <x:c r="Q23" s="59" t="str">
        <x:v>seed-register-hash:GLEN-2025-INV-OPEN</x:v>
      </x:c>
      <x:c r="R23" s="59" t="str">
        <x:v>May anchor governed inference</x:v>
      </x:c>
    </x:row>
    <x:row r="24">
      <x:c r="A24" s="59" t="str">
        <x:v>GLEN-2025-REV</x:v>
      </x:c>
      <x:c r="B24" s="59" t="str">
        <x:v>E02</x:v>
      </x:c>
      <x:c r="C24" s="59" t="str">
        <x:v>Glencore</x:v>
      </x:c>
      <x:c r="D24" s="59" t="str">
        <x:v>revenue</x:v>
      </x:c>
      <x:c r="E24" s="60" t="n">
        <x:v>247535</x:v>
      </x:c>
      <x:c r="F24" s="59" t="str">
        <x:v>million</x:v>
      </x:c>
      <x:c r="G24" s="59" t="str">
        <x:v>USD</x:v>
      </x:c>
      <x:c r="H24" s="59" t="str">
        <x:v>2025-01-01</x:v>
      </x:c>
      <x:c r="I24" s="59" t="str">
        <x:v>2025-12-31</x:v>
      </x:c>
      <x:c r="J24" s="59" t="str">
        <x:v>2026-03-10</x:v>
      </x:c>
      <x:c r="K24" s="59" t="str">
        <x:v>E1</x:v>
      </x:c>
      <x:c r="L24" s="61" t="n">
        <x:v>0.99</x:v>
      </x:c>
      <x:c r="M24" s="59" t="str">
        <x:v>APPROVED</x:v>
      </x:c>
      <x:c r="N24" s="59" t="str">
        <x:v>Glencore Annual Report 2025</x:v>
      </x:c>
      <x:c r="O24" s="59" t="n">
        <x:v>136</x:v>
      </x:c>
      <x:c r="P24" s="59" t="str">
        <x:v>https://www.glencore.com/.rest/api/v1/documents/static/9b103e11-72e7-40bf-ae7c-eabe57361522/GLEN-2025-Annual-Report.pdf</x:v>
      </x:c>
      <x:c r="Q24" s="59" t="str">
        <x:v>seed-register-hash:GLEN-2025-REV</x:v>
      </x:c>
      <x:c r="R24" s="59" t="str">
        <x:v>May anchor governed inference</x:v>
      </x:c>
    </x:row>
    <x:row r="25">
      <x:c r="A25" s="59" t="str">
        <x:v>AA-2025-CASH</x:v>
      </x:c>
      <x:c r="B25" s="59" t="str">
        <x:v>E03</x:v>
      </x:c>
      <x:c r="C25" s="59" t="str">
        <x:v>Anglo American</x:v>
      </x:c>
      <x:c r="D25" s="59" t="str">
        <x:v>cash_and_cash_equivalents</x:v>
      </x:c>
      <x:c r="E25" s="60" t="n">
        <x:v>6436</x:v>
      </x:c>
      <x:c r="F25" s="59" t="str">
        <x:v>million</x:v>
      </x:c>
      <x:c r="G25" s="59" t="str">
        <x:v>USD</x:v>
      </x:c>
      <x:c r="H25" s="59" t="str">
        <x:v>2025-12-31</x:v>
      </x:c>
      <x:c r="I25" s="59" t="str">
        <x:v>2025-12-31</x:v>
      </x:c>
      <x:c r="J25" s="59" t="str">
        <x:v>2026-03-02</x:v>
      </x:c>
      <x:c r="K25" s="59" t="str">
        <x:v>E1</x:v>
      </x:c>
      <x:c r="L25" s="61" t="n">
        <x:v>0.99</x:v>
      </x:c>
      <x:c r="M25" s="59" t="str">
        <x:v>PENDING_REVIEW</x:v>
      </x:c>
      <x:c r="N25" s="59" t="str">
        <x:v>Anglo American Integrated Annual Report 2025</x:v>
      </x:c>
      <x:c r="O25" s="59" t="n">
        <x:v>274</x:v>
      </x:c>
      <x:c r="P25" s="59" t="str">
        <x:v>https://www.angloamerican.com/~/media/Files/A/Anglo-American-Group-v9/PLC/investors/annual-reporting/2025/aa-annual-report-full-2025.pdf</x:v>
      </x:c>
      <x:c r="Q25" s="59" t="str">
        <x:v>362b9ebb43ca8ce3cf0a87f5ba174047ab499c4cd8f5a48eeb1bf83530a176fb</x:v>
      </x:c>
      <x:c r="R25" s="59" t="str">
        <x:v>Candidate only; excluded from approved-anchor claims</x:v>
      </x:c>
    </x:row>
    <x:row r="26">
      <x:c r="A26" s="59" t="str">
        <x:v>AA-2025-DEBT</x:v>
      </x:c>
      <x:c r="B26" s="59" t="str">
        <x:v>E03</x:v>
      </x:c>
      <x:c r="C26" s="59" t="str">
        <x:v>Anglo American</x:v>
      </x:c>
      <x:c r="D26" s="59" t="str">
        <x:v>current_debt</x:v>
      </x:c>
      <x:c r="E26" s="60" t="n">
        <x:v>1075</x:v>
      </x:c>
      <x:c r="F26" s="59" t="str">
        <x:v>million</x:v>
      </x:c>
      <x:c r="G26" s="59" t="str">
        <x:v>USD</x:v>
      </x:c>
      <x:c r="H26" s="59" t="str">
        <x:v>2025-12-31</x:v>
      </x:c>
      <x:c r="I26" s="59" t="str">
        <x:v>2025-12-31</x:v>
      </x:c>
      <x:c r="J26" s="59" t="str">
        <x:v>2026-03-02</x:v>
      </x:c>
      <x:c r="K26" s="59" t="str">
        <x:v>E1</x:v>
      </x:c>
      <x:c r="L26" s="61" t="n">
        <x:v>0.99</x:v>
      </x:c>
      <x:c r="M26" s="59" t="str">
        <x:v>PENDING_REVIEW</x:v>
      </x:c>
      <x:c r="N26" s="59" t="str">
        <x:v>Anglo American Integrated Annual Report 2025</x:v>
      </x:c>
      <x:c r="O26" s="59" t="n">
        <x:v>274</x:v>
      </x:c>
      <x:c r="P26" s="59" t="str">
        <x:v>https://www.angloamerican.com/~/media/Files/A/Anglo-American-Group-v9/PLC/investors/annual-reporting/2025/aa-annual-report-full-2025.pdf</x:v>
      </x:c>
      <x:c r="Q26" s="59" t="str">
        <x:v>362b9ebb43ca8ce3cf0a87f5ba174047ab499c4cd8f5a48eeb1bf83530a176fb</x:v>
      </x:c>
      <x:c r="R26" s="59" t="str">
        <x:v>Candidate only; excluded from approved-anchor claims</x:v>
      </x:c>
    </x:row>
    <x:row r="27">
      <x:c r="A27" s="59" t="str">
        <x:v>AA-2025-REV</x:v>
      </x:c>
      <x:c r="B27" s="59" t="str">
        <x:v>E03</x:v>
      </x:c>
      <x:c r="C27" s="59" t="str">
        <x:v>Anglo American</x:v>
      </x:c>
      <x:c r="D27" s="59" t="str">
        <x:v>revenue</x:v>
      </x:c>
      <x:c r="E27" s="60" t="n">
        <x:v>18546</x:v>
      </x:c>
      <x:c r="F27" s="59" t="str">
        <x:v>million</x:v>
      </x:c>
      <x:c r="G27" s="59" t="str">
        <x:v>USD</x:v>
      </x:c>
      <x:c r="H27" s="59" t="str">
        <x:v>2025-01-01</x:v>
      </x:c>
      <x:c r="I27" s="59" t="str">
        <x:v>2025-12-31</x:v>
      </x:c>
      <x:c r="J27" s="59" t="str">
        <x:v>2026-03-02</x:v>
      </x:c>
      <x:c r="K27" s="59" t="str">
        <x:v>E1</x:v>
      </x:c>
      <x:c r="L27" s="61" t="n">
        <x:v>0.99</x:v>
      </x:c>
      <x:c r="M27" s="59" t="str">
        <x:v>PENDING_REVIEW</x:v>
      </x:c>
      <x:c r="N27" s="59" t="str">
        <x:v>Anglo American Integrated Annual Report 2025</x:v>
      </x:c>
      <x:c r="O27" s="59" t="n">
        <x:v>272</x:v>
      </x:c>
      <x:c r="P27" s="59" t="str">
        <x:v>https://www.angloamerican.com/~/media/Files/A/Anglo-American-Group-v9/PLC/investors/annual-reporting/2025/aa-annual-report-full-2025.pdf</x:v>
      </x:c>
      <x:c r="Q27" s="59" t="str">
        <x:v>362b9ebb43ca8ce3cf0a87f5ba174047ab499c4cd8f5a48eeb1bf83530a176fb</x:v>
      </x:c>
      <x:c r="R27" s="59" t="str">
        <x:v>Candidate only; excluded from approved-anchor claims</x:v>
      </x:c>
    </x:row>
    <x:row r="28">
      <x:c r="A28" s="59" t="str">
        <x:v>AGA-2025-CASH</x:v>
      </x:c>
      <x:c r="B28" s="59" t="str">
        <x:v>E04</x:v>
      </x:c>
      <x:c r="C28" s="59" t="str">
        <x:v>AngloGold Ashanti</x:v>
      </x:c>
      <x:c r="D28" s="59" t="str">
        <x:v>cash_and_cash_equivalents</x:v>
      </x:c>
      <x:c r="E28" s="60" t="n">
        <x:v>2905</x:v>
      </x:c>
      <x:c r="F28" s="59" t="str">
        <x:v>million</x:v>
      </x:c>
      <x:c r="G28" s="59" t="str">
        <x:v>USD</x:v>
      </x:c>
      <x:c r="H28" s="59" t="str">
        <x:v>2025-12-31</x:v>
      </x:c>
      <x:c r="I28" s="59" t="str">
        <x:v>2025-12-31</x:v>
      </x:c>
      <x:c r="J28" s="59" t="str">
        <x:v>2026-03-26</x:v>
      </x:c>
      <x:c r="K28" s="59" t="str">
        <x:v>E1</x:v>
      </x:c>
      <x:c r="L28" s="61" t="n">
        <x:v>0.99</x:v>
      </x:c>
      <x:c r="M28" s="59" t="str">
        <x:v>PENDING_REVIEW</x:v>
      </x:c>
      <x:c r="N28" s="59" t="str">
        <x:v>AngloGold Ashanti Annual Report 2025</x:v>
      </x:c>
      <x:c r="O28" s="59" t="n">
        <x:v>160</x:v>
      </x:c>
      <x:c r="P28" s="59" t="str">
        <x:v>https://reports.anglogoldashanti.com/25/download/AGA-AR25.pdf</x:v>
      </x:c>
      <x:c r="Q28" s="59" t="str">
        <x:v>958d89150d1125af3eb9032ac7f3c9da2c22c8bfd67e8447c688c8ad0c21dd35</x:v>
      </x:c>
      <x:c r="R28" s="59" t="str">
        <x:v>Candidate only; excluded from approved-anchor claims</x:v>
      </x:c>
    </x:row>
    <x:row r="29">
      <x:c r="A29" s="59" t="str">
        <x:v>AGA-2025-DEBT</x:v>
      </x:c>
      <x:c r="B29" s="59" t="str">
        <x:v>E04</x:v>
      </x:c>
      <x:c r="C29" s="59" t="str">
        <x:v>AngloGold Ashanti</x:v>
      </x:c>
      <x:c r="D29" s="59" t="str">
        <x:v>current_debt</x:v>
      </x:c>
      <x:c r="E29" s="60" t="n">
        <x:v>19</x:v>
      </x:c>
      <x:c r="F29" s="59" t="str">
        <x:v>million</x:v>
      </x:c>
      <x:c r="G29" s="59" t="str">
        <x:v>USD</x:v>
      </x:c>
      <x:c r="H29" s="59" t="str">
        <x:v>2025-12-31</x:v>
      </x:c>
      <x:c r="I29" s="59" t="str">
        <x:v>2025-12-31</x:v>
      </x:c>
      <x:c r="J29" s="59" t="str">
        <x:v>2026-03-26</x:v>
      </x:c>
      <x:c r="K29" s="59" t="str">
        <x:v>E1</x:v>
      </x:c>
      <x:c r="L29" s="61" t="n">
        <x:v>0.99</x:v>
      </x:c>
      <x:c r="M29" s="59" t="str">
        <x:v>PENDING_REVIEW</x:v>
      </x:c>
      <x:c r="N29" s="59" t="str">
        <x:v>AngloGold Ashanti Annual Report 2025</x:v>
      </x:c>
      <x:c r="O29" s="59" t="n">
        <x:v>160</x:v>
      </x:c>
      <x:c r="P29" s="59" t="str">
        <x:v>https://reports.anglogoldashanti.com/25/download/AGA-AR25.pdf</x:v>
      </x:c>
      <x:c r="Q29" s="59" t="str">
        <x:v>958d89150d1125af3eb9032ac7f3c9da2c22c8bfd67e8447c688c8ad0c21dd35</x:v>
      </x:c>
      <x:c r="R29" s="59" t="str">
        <x:v>Candidate only; excluded from approved-anchor claims</x:v>
      </x:c>
    </x:row>
    <x:row r="30">
      <x:c r="A30" s="59" t="str">
        <x:v>AGA-2025-REV</x:v>
      </x:c>
      <x:c r="B30" s="59" t="str">
        <x:v>E04</x:v>
      </x:c>
      <x:c r="C30" s="59" t="str">
        <x:v>AngloGold Ashanti</x:v>
      </x:c>
      <x:c r="D30" s="59" t="str">
        <x:v>revenue</x:v>
      </x:c>
      <x:c r="E30" s="60" t="n">
        <x:v>9893</x:v>
      </x:c>
      <x:c r="F30" s="59" t="str">
        <x:v>million</x:v>
      </x:c>
      <x:c r="G30" s="59" t="str">
        <x:v>USD</x:v>
      </x:c>
      <x:c r="H30" s="59" t="str">
        <x:v>2025-01-01</x:v>
      </x:c>
      <x:c r="I30" s="59" t="str">
        <x:v>2025-12-31</x:v>
      </x:c>
      <x:c r="J30" s="59" t="str">
        <x:v>2026-03-26</x:v>
      </x:c>
      <x:c r="K30" s="59" t="str">
        <x:v>E1</x:v>
      </x:c>
      <x:c r="L30" s="61" t="n">
        <x:v>0.99</x:v>
      </x:c>
      <x:c r="M30" s="59" t="str">
        <x:v>PENDING_REVIEW</x:v>
      </x:c>
      <x:c r="N30" s="59" t="str">
        <x:v>AngloGold Ashanti Annual Report 2025</x:v>
      </x:c>
      <x:c r="O30" s="59" t="n">
        <x:v>158</x:v>
      </x:c>
      <x:c r="P30" s="59" t="str">
        <x:v>https://reports.anglogoldashanti.com/25/download/AGA-AR25.pdf</x:v>
      </x:c>
      <x:c r="Q30" s="59" t="str">
        <x:v>958d89150d1125af3eb9032ac7f3c9da2c22c8bfd67e8447c688c8ad0c21dd35</x:v>
      </x:c>
      <x:c r="R30" s="59" t="str">
        <x:v>Candidate only; excluded from approved-anchor claims</x:v>
      </x:c>
    </x:row>
    <x:row r="31">
      <x:c r="A31" s="59" t="str">
        <x:v>GF-2025-CASH</x:v>
      </x:c>
      <x:c r="B31" s="59" t="str">
        <x:v>E05</x:v>
      </x:c>
      <x:c r="C31" s="59" t="str">
        <x:v>Gold Fields</x:v>
      </x:c>
      <x:c r="D31" s="59" t="str">
        <x:v>cash_and_cash_equivalents</x:v>
      </x:c>
      <x:c r="E31" s="60" t="n">
        <x:v>1779.2</x:v>
      </x:c>
      <x:c r="F31" s="59" t="str">
        <x:v>million</x:v>
      </x:c>
      <x:c r="G31" s="59" t="str">
        <x:v>USD</x:v>
      </x:c>
      <x:c r="H31" s="59" t="str">
        <x:v>2025-12-31</x:v>
      </x:c>
      <x:c r="I31" s="59" t="str">
        <x:v>2025-12-31</x:v>
      </x:c>
      <x:c r="J31" s="59" t="str">
        <x:v>2026-03-27</x:v>
      </x:c>
      <x:c r="K31" s="59" t="str">
        <x:v>E1</x:v>
      </x:c>
      <x:c r="L31" s="61" t="n">
        <x:v>0.99</x:v>
      </x:c>
      <x:c r="M31" s="59" t="str">
        <x:v>PENDING_REVIEW</x:v>
      </x:c>
      <x:c r="N31" s="59" t="str">
        <x:v>Gold Fields Annual Financial Report 2025</x:v>
      </x:c>
      <x:c r="O31" s="59" t="n">
        <x:v>74</x:v>
      </x:c>
      <x:c r="P31" s="59" t="str">
        <x:v>https://www.goldfields.com/pdf/investors/integrated-annual-reports/2025/afs-2025.pdf</x:v>
      </x:c>
      <x:c r="Q31" s="59" t="str">
        <x:v>0819d8e37085aaa5adb8305c3bcdd5b5a9631cf40f594950beaeb6c77077fc0a</x:v>
      </x:c>
      <x:c r="R31" s="59" t="str">
        <x:v>Candidate only; excluded from approved-anchor claims</x:v>
      </x:c>
    </x:row>
    <x:row r="32">
      <x:c r="A32" s="59" t="str">
        <x:v>GF-2025-DEBT</x:v>
      </x:c>
      <x:c r="B32" s="59" t="str">
        <x:v>E05</x:v>
      </x:c>
      <x:c r="C32" s="59" t="str">
        <x:v>Gold Fields</x:v>
      </x:c>
      <x:c r="D32" s="59" t="str">
        <x:v>current_debt</x:v>
      </x:c>
      <x:c r="E32" s="60" t="n">
        <x:v>178.7</x:v>
      </x:c>
      <x:c r="F32" s="59" t="str">
        <x:v>million</x:v>
      </x:c>
      <x:c r="G32" s="59" t="str">
        <x:v>USD</x:v>
      </x:c>
      <x:c r="H32" s="59" t="str">
        <x:v>2025-12-31</x:v>
      </x:c>
      <x:c r="I32" s="59" t="str">
        <x:v>2025-12-31</x:v>
      </x:c>
      <x:c r="J32" s="59" t="str">
        <x:v>2026-03-27</x:v>
      </x:c>
      <x:c r="K32" s="59" t="str">
        <x:v>E1</x:v>
      </x:c>
      <x:c r="L32" s="61" t="n">
        <x:v>0.99</x:v>
      </x:c>
      <x:c r="M32" s="59" t="str">
        <x:v>PENDING_REVIEW</x:v>
      </x:c>
      <x:c r="N32" s="59" t="str">
        <x:v>Gold Fields Annual Financial Report 2025</x:v>
      </x:c>
      <x:c r="O32" s="59" t="n">
        <x:v>74</x:v>
      </x:c>
      <x:c r="P32" s="59" t="str">
        <x:v>https://www.goldfields.com/pdf/investors/integrated-annual-reports/2025/afs-2025.pdf</x:v>
      </x:c>
      <x:c r="Q32" s="59" t="str">
        <x:v>0819d8e37085aaa5adb8305c3bcdd5b5a9631cf40f594950beaeb6c77077fc0a</x:v>
      </x:c>
      <x:c r="R32" s="59" t="str">
        <x:v>Candidate only; excluded from approved-anchor claims</x:v>
      </x:c>
    </x:row>
    <x:row r="33">
      <x:c r="A33" s="59" t="str">
        <x:v>GF-2025-REV</x:v>
      </x:c>
      <x:c r="B33" s="59" t="str">
        <x:v>E05</x:v>
      </x:c>
      <x:c r="C33" s="59" t="str">
        <x:v>Gold Fields</x:v>
      </x:c>
      <x:c r="D33" s="59" t="str">
        <x:v>revenue</x:v>
      </x:c>
      <x:c r="E33" s="60" t="n">
        <x:v>8751.3</x:v>
      </x:c>
      <x:c r="F33" s="59" t="str">
        <x:v>million</x:v>
      </x:c>
      <x:c r="G33" s="59" t="str">
        <x:v>USD</x:v>
      </x:c>
      <x:c r="H33" s="59" t="str">
        <x:v>2025-01-01</x:v>
      </x:c>
      <x:c r="I33" s="59" t="str">
        <x:v>2025-12-31</x:v>
      </x:c>
      <x:c r="J33" s="59" t="str">
        <x:v>2026-03-27</x:v>
      </x:c>
      <x:c r="K33" s="59" t="str">
        <x:v>E1</x:v>
      </x:c>
      <x:c r="L33" s="61" t="n">
        <x:v>0.99</x:v>
      </x:c>
      <x:c r="M33" s="59" t="str">
        <x:v>PENDING_REVIEW</x:v>
      </x:c>
      <x:c r="N33" s="59" t="str">
        <x:v>Gold Fields Annual Financial Report 2025</x:v>
      </x:c>
      <x:c r="O33" s="59" t="n">
        <x:v>72</x:v>
      </x:c>
      <x:c r="P33" s="59" t="str">
        <x:v>https://www.goldfields.com/pdf/investors/integrated-annual-reports/2025/afs-2025.pdf</x:v>
      </x:c>
      <x:c r="Q33" s="59" t="str">
        <x:v>0819d8e37085aaa5adb8305c3bcdd5b5a9631cf40f594950beaeb6c77077fc0a</x:v>
      </x:c>
      <x:c r="R33" s="59" t="str">
        <x:v>Candidate only; excluded from approved-anchor claims</x:v>
      </x:c>
    </x:row>
    <x:row r="34">
      <x:c r="A34" s="59" t="str">
        <x:v>VALTERRA-2025-CASH</x:v>
      </x:c>
      <x:c r="B34" s="59" t="str">
        <x:v>E06</x:v>
      </x:c>
      <x:c r="C34" s="59" t="str">
        <x:v>Valterra Platinum</x:v>
      </x:c>
      <x:c r="D34" s="59" t="str">
        <x:v>cash_and_cash_equivalents</x:v>
      </x:c>
      <x:c r="E34" s="60" t="n">
        <x:v>16602</x:v>
      </x:c>
      <x:c r="F34" s="59" t="str">
        <x:v>million</x:v>
      </x:c>
      <x:c r="G34" s="59" t="str">
        <x:v>ZAR</x:v>
      </x:c>
      <x:c r="H34" s="59" t="str">
        <x:v>2025-12-31</x:v>
      </x:c>
      <x:c r="I34" s="59" t="str">
        <x:v>2025-12-31</x:v>
      </x:c>
      <x:c r="J34" s="59" t="str">
        <x:v>2026-03-27</x:v>
      </x:c>
      <x:c r="K34" s="59" t="str">
        <x:v>E1</x:v>
      </x:c>
      <x:c r="L34" s="61" t="n">
        <x:v>0.99</x:v>
      </x:c>
      <x:c r="M34" s="59" t="str">
        <x:v>PENDING_REVIEW</x:v>
      </x:c>
      <x:c r="N34" s="59" t="str">
        <x:v>Valterra Platinum Annual Financial Statements 2025</x:v>
      </x:c>
      <x:c r="O34" s="59" t="n">
        <x:v>25</x:v>
      </x:c>
      <x:c r="P34" s="59" t="str">
        <x:v>https://www.valterraplatinum.com/wp-content/uploads/2026/05/annual-financial-statements-2025.pdf</x:v>
      </x:c>
      <x:c r="Q34" s="59" t="str">
        <x:v>84ab45295a07c93d3fa39a24962c05ac600f45ed2c9683b16b4dc2cc7ba170f8</x:v>
      </x:c>
      <x:c r="R34" s="59" t="str">
        <x:v>Candidate only; excluded from approved-anchor claims</x:v>
      </x:c>
    </x:row>
    <x:row r="35">
      <x:c r="A35" s="59" t="str">
        <x:v>VALTERRA-2025-DEBT</x:v>
      </x:c>
      <x:c r="B35" s="59" t="str">
        <x:v>E06</x:v>
      </x:c>
      <x:c r="C35" s="59" t="str">
        <x:v>Valterra Platinum</x:v>
      </x:c>
      <x:c r="D35" s="59" t="str">
        <x:v>current_debt</x:v>
      </x:c>
      <x:c r="E35" s="60" t="n">
        <x:v>4046</x:v>
      </x:c>
      <x:c r="F35" s="59" t="str">
        <x:v>million</x:v>
      </x:c>
      <x:c r="G35" s="59" t="str">
        <x:v>ZAR</x:v>
      </x:c>
      <x:c r="H35" s="59" t="str">
        <x:v>2025-12-31</x:v>
      </x:c>
      <x:c r="I35" s="59" t="str">
        <x:v>2025-12-31</x:v>
      </x:c>
      <x:c r="J35" s="59" t="str">
        <x:v>2026-03-27</x:v>
      </x:c>
      <x:c r="K35" s="59" t="str">
        <x:v>E1</x:v>
      </x:c>
      <x:c r="L35" s="61" t="n">
        <x:v>0.99</x:v>
      </x:c>
      <x:c r="M35" s="59" t="str">
        <x:v>PENDING_REVIEW</x:v>
      </x:c>
      <x:c r="N35" s="59" t="str">
        <x:v>Valterra Platinum Annual Financial Statements 2025</x:v>
      </x:c>
      <x:c r="O35" s="59" t="n">
        <x:v>25</x:v>
      </x:c>
      <x:c r="P35" s="59" t="str">
        <x:v>https://www.valterraplatinum.com/wp-content/uploads/2026/05/annual-financial-statements-2025.pdf</x:v>
      </x:c>
      <x:c r="Q35" s="59" t="str">
        <x:v>84ab45295a07c93d3fa39a24962c05ac600f45ed2c9683b16b4dc2cc7ba170f8</x:v>
      </x:c>
      <x:c r="R35" s="59" t="str">
        <x:v>Candidate only; excluded from approved-anchor claims</x:v>
      </x:c>
    </x:row>
    <x:row r="36">
      <x:c r="A36" s="59" t="str">
        <x:v>VALTERRA-2025-REV</x:v>
      </x:c>
      <x:c r="B36" s="59" t="str">
        <x:v>E06</x:v>
      </x:c>
      <x:c r="C36" s="59" t="str">
        <x:v>Valterra Platinum</x:v>
      </x:c>
      <x:c r="D36" s="59" t="str">
        <x:v>revenue</x:v>
      </x:c>
      <x:c r="E36" s="60" t="n">
        <x:v>116330</x:v>
      </x:c>
      <x:c r="F36" s="59" t="str">
        <x:v>million</x:v>
      </x:c>
      <x:c r="G36" s="59" t="str">
        <x:v>ZAR</x:v>
      </x:c>
      <x:c r="H36" s="59" t="str">
        <x:v>2025-01-01</x:v>
      </x:c>
      <x:c r="I36" s="59" t="str">
        <x:v>2025-12-31</x:v>
      </x:c>
      <x:c r="J36" s="59" t="str">
        <x:v>2026-03-27</x:v>
      </x:c>
      <x:c r="K36" s="59" t="str">
        <x:v>E1</x:v>
      </x:c>
      <x:c r="L36" s="61" t="n">
        <x:v>0.99</x:v>
      </x:c>
      <x:c r="M36" s="59" t="str">
        <x:v>PENDING_REVIEW</x:v>
      </x:c>
      <x:c r="N36" s="59" t="str">
        <x:v>Valterra Platinum Annual Financial Statements 2025</x:v>
      </x:c>
      <x:c r="O36" s="59" t="n">
        <x:v>24</x:v>
      </x:c>
      <x:c r="P36" s="59" t="str">
        <x:v>https://www.valterraplatinum.com/wp-content/uploads/2026/05/annual-financial-statements-2025.pdf</x:v>
      </x:c>
      <x:c r="Q36" s="59" t="str">
        <x:v>84ab45295a07c93d3fa39a24962c05ac600f45ed2c9683b16b4dc2cc7ba170f8</x:v>
      </x:c>
      <x:c r="R36" s="59" t="str">
        <x:v>Candidate only; excluded from approved-anchor claims</x:v>
      </x:c>
    </x:row>
    <x:row r="37">
      <x:c r="A37" s="59" t="str">
        <x:v>OUT-2025-CASH</x:v>
      </x:c>
      <x:c r="B37" s="59" t="str">
        <x:v>E07</x:v>
      </x:c>
      <x:c r="C37" s="59" t="str">
        <x:v>OUTsurance Group</x:v>
      </x:c>
      <x:c r="D37" s="59" t="str">
        <x:v>cash_and_cash_equivalents</x:v>
      </x:c>
      <x:c r="E37" s="60" t="n">
        <x:v>1865</x:v>
      </x:c>
      <x:c r="F37" s="59" t="str">
        <x:v>million</x:v>
      </x:c>
      <x:c r="G37" s="59" t="str">
        <x:v>ZAR</x:v>
      </x:c>
      <x:c r="H37" s="59" t="str">
        <x:v>2025-06-30</x:v>
      </x:c>
      <x:c r="I37" s="59" t="str">
        <x:v>2025-06-30</x:v>
      </x:c>
      <x:c r="J37" s="59" t="str">
        <x:v>2025-09-15</x:v>
      </x:c>
      <x:c r="K37" s="59" t="str">
        <x:v>E1</x:v>
      </x:c>
      <x:c r="L37" s="61" t="n">
        <x:v>0.99</x:v>
      </x:c>
      <x:c r="M37" s="59" t="str">
        <x:v>PENDING_REVIEW</x:v>
      </x:c>
      <x:c r="N37" s="59" t="str">
        <x:v>OUTsurance Group Annual Financial Statements 2025</x:v>
      </x:c>
      <x:c r="O37" s="59" t="n">
        <x:v>21</x:v>
      </x:c>
      <x:c r="P37" s="59" t="str">
        <x:v>https://group.outsurance.co.za/globalassets/documents/investor-relations/reports-and-results/2025/ogl-annual-financial-statements-2025.pdf</x:v>
      </x:c>
      <x:c r="Q37" s="59" t="str">
        <x:v>3f03545e101a357d73e3f26863473adc341b4b0382ab2b8248b322900ef38b3c</x:v>
      </x:c>
      <x:c r="R37" s="59" t="str">
        <x:v>Candidate only; excluded from approved-anchor claims</x:v>
      </x:c>
    </x:row>
    <x:row r="38">
      <x:c r="A38" s="59" t="str">
        <x:v>OUT-2025-INS-LIAB</x:v>
      </x:c>
      <x:c r="B38" s="59" t="str">
        <x:v>E07</x:v>
      </x:c>
      <x:c r="C38" s="59" t="str">
        <x:v>OUTsurance Group</x:v>
      </x:c>
      <x:c r="D38" s="59" t="str">
        <x:v>insurance_liabilities</x:v>
      </x:c>
      <x:c r="E38" s="60" t="n">
        <x:v>16229</x:v>
      </x:c>
      <x:c r="F38" s="59" t="str">
        <x:v>million</x:v>
      </x:c>
      <x:c r="G38" s="59" t="str">
        <x:v>ZAR</x:v>
      </x:c>
      <x:c r="H38" s="59" t="str">
        <x:v>2025-06-30</x:v>
      </x:c>
      <x:c r="I38" s="59" t="str">
        <x:v>2025-06-30</x:v>
      </x:c>
      <x:c r="J38" s="59" t="str">
        <x:v>2025-09-15</x:v>
      </x:c>
      <x:c r="K38" s="59" t="str">
        <x:v>E1</x:v>
      </x:c>
      <x:c r="L38" s="61" t="n">
        <x:v>0.99</x:v>
      </x:c>
      <x:c r="M38" s="59" t="str">
        <x:v>PENDING_REVIEW</x:v>
      </x:c>
      <x:c r="N38" s="59" t="str">
        <x:v>OUTsurance Group Annual Financial Statements 2025</x:v>
      </x:c>
      <x:c r="O38" s="59" t="n">
        <x:v>21</x:v>
      </x:c>
      <x:c r="P38" s="59" t="str">
        <x:v>https://group.outsurance.co.za/globalassets/documents/investor-relations/reports-and-results/2025/ogl-annual-financial-statements-2025.pdf</x:v>
      </x:c>
      <x:c r="Q38" s="59" t="str">
        <x:v>3f03545e101a357d73e3f26863473adc341b4b0382ab2b8248b322900ef38b3c</x:v>
      </x:c>
      <x:c r="R38" s="59" t="str">
        <x:v>Candidate only; excluded from approved-anchor claims</x:v>
      </x:c>
    </x:row>
    <x:row r="39">
      <x:c r="A39" s="59" t="str">
        <x:v>OUT-2025-REV</x:v>
      </x:c>
      <x:c r="B39" s="59" t="str">
        <x:v>E07</x:v>
      </x:c>
      <x:c r="C39" s="59" t="str">
        <x:v>OUTsurance Group</x:v>
      </x:c>
      <x:c r="D39" s="59" t="str">
        <x:v>insurance_revenue</x:v>
      </x:c>
      <x:c r="E39" s="60" t="n">
        <x:v>37131</x:v>
      </x:c>
      <x:c r="F39" s="59" t="str">
        <x:v>million</x:v>
      </x:c>
      <x:c r="G39" s="59" t="str">
        <x:v>ZAR</x:v>
      </x:c>
      <x:c r="H39" s="59" t="str">
        <x:v>2024-07-01</x:v>
      </x:c>
      <x:c r="I39" s="59" t="str">
        <x:v>2025-06-30</x:v>
      </x:c>
      <x:c r="J39" s="59" t="str">
        <x:v>2025-09-15</x:v>
      </x:c>
      <x:c r="K39" s="59" t="str">
        <x:v>E1</x:v>
      </x:c>
      <x:c r="L39" s="61" t="n">
        <x:v>0.99</x:v>
      </x:c>
      <x:c r="M39" s="59" t="str">
        <x:v>PENDING_REVIEW</x:v>
      </x:c>
      <x:c r="N39" s="59" t="str">
        <x:v>OUTsurance Group Annual Financial Statements 2025</x:v>
      </x:c>
      <x:c r="O39" s="59" t="n">
        <x:v>19</x:v>
      </x:c>
      <x:c r="P39" s="59" t="str">
        <x:v>https://group.outsurance.co.za/globalassets/documents/investor-relations/reports-and-results/2025/ogl-annual-financial-statements-2025.pdf</x:v>
      </x:c>
      <x:c r="Q39" s="59" t="str">
        <x:v>3f03545e101a357d73e3f26863473adc341b4b0382ab2b8248b322900ef38b3c</x:v>
      </x:c>
      <x:c r="R39" s="59" t="str">
        <x:v>Candidate only; excluded from approved-anchor claims</x:v>
      </x:c>
    </x:row>
    <x:row r="40">
      <x:c r="A40" s="59" t="str">
        <x:v>SANLAM-2024-CASH</x:v>
      </x:c>
      <x:c r="B40" s="59" t="str">
        <x:v>E08</x:v>
      </x:c>
      <x:c r="C40" s="59" t="str">
        <x:v>Sanlam</x:v>
      </x:c>
      <x:c r="D40" s="59" t="str">
        <x:v>cash_and_cash_equivalents</x:v>
      </x:c>
      <x:c r="E40" s="60" t="n">
        <x:v>34602</x:v>
      </x:c>
      <x:c r="F40" s="59" t="str">
        <x:v>million</x:v>
      </x:c>
      <x:c r="G40" s="59" t="str">
        <x:v>ZAR</x:v>
      </x:c>
      <x:c r="H40" s="59" t="str">
        <x:v>2024-12-31</x:v>
      </x:c>
      <x:c r="I40" s="59" t="str">
        <x:v>2024-12-31</x:v>
      </x:c>
      <x:c r="J40" s="59" t="str">
        <x:v>2025-03-07</x:v>
      </x:c>
      <x:c r="K40" s="59" t="str">
        <x:v>E1</x:v>
      </x:c>
      <x:c r="L40" s="61" t="n">
        <x:v>0.99</x:v>
      </x:c>
      <x:c r="M40" s="59" t="str">
        <x:v>PENDING_REVIEW</x:v>
      </x:c>
      <x:c r="N40" s="59" t="str">
        <x:v>Sanlam Annual Financial Statements 2024</x:v>
      </x:c>
      <x:c r="O40" s="59" t="n">
        <x:v>42</x:v>
      </x:c>
      <x:c r="P40" s="59" t="str">
        <x:v>https://www.sanlam.com/downloads/integrated-report-and-annual-financial-statements/2024/Sanlam-AFS-2024-spreads.pdf</x:v>
      </x:c>
      <x:c r="Q40" s="59" t="str">
        <x:v>fc2487f72420917e9c52f78bc4a7800a1e4270781aa2117632f69680b4ca14da</x:v>
      </x:c>
      <x:c r="R40" s="59" t="str">
        <x:v>Candidate only; excluded from approved-anchor claims</x:v>
      </x:c>
    </x:row>
    <x:row r="41">
      <x:c r="A41" s="59" t="str">
        <x:v>SANLAM-2024-INSREV</x:v>
      </x:c>
      <x:c r="B41" s="59" t="str">
        <x:v>E08</x:v>
      </x:c>
      <x:c r="C41" s="59" t="str">
        <x:v>Sanlam</x:v>
      </x:c>
      <x:c r="D41" s="59" t="str">
        <x:v>insurance_revenue</x:v>
      </x:c>
      <x:c r="E41" s="60" t="n">
        <x:v>93475</x:v>
      </x:c>
      <x:c r="F41" s="59" t="str">
        <x:v>million</x:v>
      </x:c>
      <x:c r="G41" s="59" t="str">
        <x:v>ZAR</x:v>
      </x:c>
      <x:c r="H41" s="59" t="str">
        <x:v>2024-01-01</x:v>
      </x:c>
      <x:c r="I41" s="59" t="str">
        <x:v>2024-12-31</x:v>
      </x:c>
      <x:c r="J41" s="59" t="str">
        <x:v>2025-03-07</x:v>
      </x:c>
      <x:c r="K41" s="59" t="str">
        <x:v>E1</x:v>
      </x:c>
      <x:c r="L41" s="61" t="n">
        <x:v>0.99</x:v>
      </x:c>
      <x:c r="M41" s="59" t="str">
        <x:v>PENDING_REVIEW</x:v>
      </x:c>
      <x:c r="N41" s="59" t="str">
        <x:v>Sanlam Annual Financial Statements 2024</x:v>
      </x:c>
      <x:c r="O41" s="59" t="n">
        <x:v>42</x:v>
      </x:c>
      <x:c r="P41" s="59" t="str">
        <x:v>https://www.sanlam.com/downloads/integrated-report-and-annual-financial-statements/2024/Sanlam-AFS-2024-spreads.pdf</x:v>
      </x:c>
      <x:c r="Q41" s="59" t="str">
        <x:v>fc2487f72420917e9c52f78bc4a7800a1e4270781aa2117632f69680b4ca14da</x:v>
      </x:c>
      <x:c r="R41" s="59" t="str">
        <x:v>Candidate only; excluded from approved-anchor claims</x:v>
      </x:c>
    </x:row>
    <x:row r="42">
      <x:c r="A42" s="59" t="str">
        <x:v>SANLAM-2024-TERM</x:v>
      </x:c>
      <x:c r="B42" s="59" t="str">
        <x:v>E08</x:v>
      </x:c>
      <x:c r="C42" s="59" t="str">
        <x:v>Sanlam</x:v>
      </x:c>
      <x:c r="D42" s="59" t="str">
        <x:v>term_finance</x:v>
      </x:c>
      <x:c r="E42" s="60" t="n">
        <x:v>19769</x:v>
      </x:c>
      <x:c r="F42" s="59" t="str">
        <x:v>million</x:v>
      </x:c>
      <x:c r="G42" s="59" t="str">
        <x:v>ZAR</x:v>
      </x:c>
      <x:c r="H42" s="59" t="str">
        <x:v>2024-12-31</x:v>
      </x:c>
      <x:c r="I42" s="59" t="str">
        <x:v>2024-12-31</x:v>
      </x:c>
      <x:c r="J42" s="59" t="str">
        <x:v>2025-03-07</x:v>
      </x:c>
      <x:c r="K42" s="59" t="str">
        <x:v>E1</x:v>
      </x:c>
      <x:c r="L42" s="61" t="n">
        <x:v>0.99</x:v>
      </x:c>
      <x:c r="M42" s="59" t="str">
        <x:v>PENDING_REVIEW</x:v>
      </x:c>
      <x:c r="N42" s="59" t="str">
        <x:v>Sanlam Annual Financial Statements 2024</x:v>
      </x:c>
      <x:c r="O42" s="59" t="n">
        <x:v>42</x:v>
      </x:c>
      <x:c r="P42" s="59" t="str">
        <x:v>https://www.sanlam.com/downloads/integrated-report-and-annual-financial-statements/2024/Sanlam-AFS-2024-spreads.pdf</x:v>
      </x:c>
      <x:c r="Q42" s="59" t="str">
        <x:v>fc2487f72420917e9c52f78bc4a7800a1e4270781aa2117632f69680b4ca14da</x:v>
      </x:c>
      <x:c r="R42" s="59" t="str">
        <x:v>Candidate only; excluded from approved-anchor claims</x:v>
      </x:c>
    </x:row>
    <x:row r="43">
      <x:c r="A43" s="59" t="str">
        <x:v>SHP-2025-AP-CLOSE</x:v>
      </x:c>
      <x:c r="B43" s="59" t="str">
        <x:v>E09</x:v>
      </x:c>
      <x:c r="C43" s="59" t="str">
        <x:v>Shoprite Holdings</x:v>
      </x:c>
      <x:c r="D43" s="59" t="str">
        <x:v>trade_payables_close</x:v>
      </x:c>
      <x:c r="E43" s="60" t="n">
        <x:v>34160</x:v>
      </x:c>
      <x:c r="F43" s="59" t="str">
        <x:v>million</x:v>
      </x:c>
      <x:c r="G43" s="59" t="str">
        <x:v>ZAR</x:v>
      </x:c>
      <x:c r="H43" s="59" t="str">
        <x:v>2024-07-01</x:v>
      </x:c>
      <x:c r="I43" s="59" t="str">
        <x:v>2025-06-29</x:v>
      </x:c>
      <x:c r="J43" s="59" t="str">
        <x:v>2025-10-13</x:v>
      </x:c>
      <x:c r="K43" s="59" t="str">
        <x:v>E1</x:v>
      </x:c>
      <x:c r="L43" s="61" t="n">
        <x:v>0.99</x:v>
      </x:c>
      <x:c r="M43" s="59" t="str">
        <x:v>APPROVED</x:v>
      </x:c>
      <x:c r="N43" s="59" t="str">
        <x:v>Shoprite Holdings Annual Financial Statements 2025</x:v>
      </x:c>
      <x:c r="O43" s="59" t="n">
        <x:v>18</x:v>
      </x:c>
      <x:c r="P43" s="59" t="str">
        <x:v>https://www.shopriteholdings.co.za/docs/shp-afs-2025.pdf</x:v>
      </x:c>
      <x:c r="Q43" s="59" t="str">
        <x:v>seed-register-hash:SHP-2025-AP-CLOSE</x:v>
      </x:c>
      <x:c r="R43" s="59" t="str">
        <x:v>May anchor governed inference</x:v>
      </x:c>
    </x:row>
    <x:row r="44">
      <x:c r="A44" s="59" t="str">
        <x:v>SHP-2025-AP-OPEN</x:v>
      </x:c>
      <x:c r="B44" s="59" t="str">
        <x:v>E09</x:v>
      </x:c>
      <x:c r="C44" s="59" t="str">
        <x:v>Shoprite Holdings</x:v>
      </x:c>
      <x:c r="D44" s="59" t="str">
        <x:v>trade_payables_open</x:v>
      </x:c>
      <x:c r="E44" s="60" t="n">
        <x:v>32544</x:v>
      </x:c>
      <x:c r="F44" s="59" t="str">
        <x:v>million</x:v>
      </x:c>
      <x:c r="G44" s="59" t="str">
        <x:v>ZAR</x:v>
      </x:c>
      <x:c r="H44" s="59" t="str">
        <x:v>2023-07-01</x:v>
      </x:c>
      <x:c r="I44" s="59" t="str">
        <x:v>2024-06-30</x:v>
      </x:c>
      <x:c r="J44" s="59" t="str">
        <x:v>2025-10-13</x:v>
      </x:c>
      <x:c r="K44" s="59" t="str">
        <x:v>E1</x:v>
      </x:c>
      <x:c r="L44" s="61" t="n">
        <x:v>0.99</x:v>
      </x:c>
      <x:c r="M44" s="59" t="str">
        <x:v>APPROVED</x:v>
      </x:c>
      <x:c r="N44" s="59" t="str">
        <x:v>Shoprite Holdings Annual Financial Statements 2025</x:v>
      </x:c>
      <x:c r="O44" s="59" t="n">
        <x:v>18</x:v>
      </x:c>
      <x:c r="P44" s="59" t="str">
        <x:v>https://www.shopriteholdings.co.za/docs/shp-afs-2025.pdf</x:v>
      </x:c>
      <x:c r="Q44" s="59" t="str">
        <x:v>seed-register-hash:SHP-2025-AP-OPEN</x:v>
      </x:c>
      <x:c r="R44" s="59" t="str">
        <x:v>May anchor governed inference</x:v>
      </x:c>
    </x:row>
    <x:row r="45">
      <x:c r="A45" s="59" t="str">
        <x:v>SHP-2025-AR-CLOSE</x:v>
      </x:c>
      <x:c r="B45" s="59" t="str">
        <x:v>E09</x:v>
      </x:c>
      <x:c r="C45" s="59" t="str">
        <x:v>Shoprite Holdings</x:v>
      </x:c>
      <x:c r="D45" s="59" t="str">
        <x:v>trade_receivables_close</x:v>
      </x:c>
      <x:c r="E45" s="60" t="n">
        <x:v>6291</x:v>
      </x:c>
      <x:c r="F45" s="59" t="str">
        <x:v>million</x:v>
      </x:c>
      <x:c r="G45" s="59" t="str">
        <x:v>ZAR</x:v>
      </x:c>
      <x:c r="H45" s="59" t="str">
        <x:v>2024-07-01</x:v>
      </x:c>
      <x:c r="I45" s="59" t="str">
        <x:v>2025-06-29</x:v>
      </x:c>
      <x:c r="J45" s="59" t="str">
        <x:v>2025-10-13</x:v>
      </x:c>
      <x:c r="K45" s="59" t="str">
        <x:v>E1</x:v>
      </x:c>
      <x:c r="L45" s="61" t="n">
        <x:v>0.99</x:v>
      </x:c>
      <x:c r="M45" s="59" t="str">
        <x:v>APPROVED</x:v>
      </x:c>
      <x:c r="N45" s="59" t="str">
        <x:v>Shoprite Holdings Annual Financial Statements 2025</x:v>
      </x:c>
      <x:c r="O45" s="59" t="n">
        <x:v>18</x:v>
      </x:c>
      <x:c r="P45" s="59" t="str">
        <x:v>https://www.shopriteholdings.co.za/docs/shp-afs-2025.pdf</x:v>
      </x:c>
      <x:c r="Q45" s="59" t="str">
        <x:v>seed-register-hash:SHP-2025-AR-CLOSE</x:v>
      </x:c>
      <x:c r="R45" s="59" t="str">
        <x:v>May anchor governed inference</x:v>
      </x:c>
    </x:row>
    <x:row r="46">
      <x:c r="A46" s="59" t="str">
        <x:v>SHP-2025-AR-OPEN</x:v>
      </x:c>
      <x:c r="B46" s="59" t="str">
        <x:v>E09</x:v>
      </x:c>
      <x:c r="C46" s="59" t="str">
        <x:v>Shoprite Holdings</x:v>
      </x:c>
      <x:c r="D46" s="59" t="str">
        <x:v>trade_receivables_open</x:v>
      </x:c>
      <x:c r="E46" s="60" t="n">
        <x:v>6714</x:v>
      </x:c>
      <x:c r="F46" s="59" t="str">
        <x:v>million</x:v>
      </x:c>
      <x:c r="G46" s="59" t="str">
        <x:v>ZAR</x:v>
      </x:c>
      <x:c r="H46" s="59" t="str">
        <x:v>2023-07-01</x:v>
      </x:c>
      <x:c r="I46" s="59" t="str">
        <x:v>2024-06-30</x:v>
      </x:c>
      <x:c r="J46" s="59" t="str">
        <x:v>2025-10-13</x:v>
      </x:c>
      <x:c r="K46" s="59" t="str">
        <x:v>E1</x:v>
      </x:c>
      <x:c r="L46" s="61" t="n">
        <x:v>0.99</x:v>
      </x:c>
      <x:c r="M46" s="59" t="str">
        <x:v>APPROVED</x:v>
      </x:c>
      <x:c r="N46" s="59" t="str">
        <x:v>Shoprite Holdings Annual Financial Statements 2025</x:v>
      </x:c>
      <x:c r="O46" s="59" t="n">
        <x:v>18</x:v>
      </x:c>
      <x:c r="P46" s="59" t="str">
        <x:v>https://www.shopriteholdings.co.za/docs/shp-afs-2025.pdf</x:v>
      </x:c>
      <x:c r="Q46" s="59" t="str">
        <x:v>seed-register-hash:SHP-2025-AR-OPEN</x:v>
      </x:c>
      <x:c r="R46" s="59" t="str">
        <x:v>May anchor governed inference</x:v>
      </x:c>
    </x:row>
    <x:row r="47">
      <x:c r="A47" s="59" t="str">
        <x:v>SHP-2025-COST</x:v>
      </x:c>
      <x:c r="B47" s="59" t="str">
        <x:v>E09</x:v>
      </x:c>
      <x:c r="C47" s="59" t="str">
        <x:v>Shoprite Holdings</x:v>
      </x:c>
      <x:c r="D47" s="59" t="str">
        <x:v>operating_cost_base</x:v>
      </x:c>
      <x:c r="E47" s="60" t="n">
        <x:v>191259</x:v>
      </x:c>
      <x:c r="F47" s="59" t="str">
        <x:v>million</x:v>
      </x:c>
      <x:c r="G47" s="59" t="str">
        <x:v>ZAR</x:v>
      </x:c>
      <x:c r="H47" s="59" t="str">
        <x:v>2024-07-01</x:v>
      </x:c>
      <x:c r="I47" s="59" t="str">
        <x:v>2025-06-29</x:v>
      </x:c>
      <x:c r="J47" s="59" t="str">
        <x:v>2025-10-13</x:v>
      </x:c>
      <x:c r="K47" s="59" t="str">
        <x:v>E1</x:v>
      </x:c>
      <x:c r="L47" s="61" t="n">
        <x:v>0.99</x:v>
      </x:c>
      <x:c r="M47" s="59" t="str">
        <x:v>APPROVED</x:v>
      </x:c>
      <x:c r="N47" s="59" t="str">
        <x:v>Shoprite Holdings Annual Financial Statements 2025</x:v>
      </x:c>
      <x:c r="O47" s="59" t="n">
        <x:v>19</x:v>
      </x:c>
      <x:c r="P47" s="59" t="str">
        <x:v>https://www.shopriteholdings.co.za/docs/shp-afs-2025.pdf</x:v>
      </x:c>
      <x:c r="Q47" s="59" t="str">
        <x:v>seed-register-hash:SHP-2025-COST</x:v>
      </x:c>
      <x:c r="R47" s="59" t="str">
        <x:v>May anchor governed inference</x:v>
      </x:c>
    </x:row>
    <x:row r="48">
      <x:c r="A48" s="59" t="str">
        <x:v>SHP-2025-DEBT</x:v>
      </x:c>
      <x:c r="B48" s="59" t="str">
        <x:v>E09</x:v>
      </x:c>
      <x:c r="C48" s="59" t="str">
        <x:v>Shoprite Holdings</x:v>
      </x:c>
      <x:c r="D48" s="59" t="str">
        <x:v>current_debt</x:v>
      </x:c>
      <x:c r="E48" s="60" t="n">
        <x:v>489</x:v>
      </x:c>
      <x:c r="F48" s="59" t="str">
        <x:v>million</x:v>
      </x:c>
      <x:c r="G48" s="59" t="str">
        <x:v>ZAR</x:v>
      </x:c>
      <x:c r="H48" s="59" t="str">
        <x:v>2024-07-01</x:v>
      </x:c>
      <x:c r="I48" s="59" t="str">
        <x:v>2025-06-29</x:v>
      </x:c>
      <x:c r="J48" s="59" t="str">
        <x:v>2025-10-13</x:v>
      </x:c>
      <x:c r="K48" s="59" t="str">
        <x:v>E1</x:v>
      </x:c>
      <x:c r="L48" s="61" t="n">
        <x:v>0.99</x:v>
      </x:c>
      <x:c r="M48" s="59" t="str">
        <x:v>APPROVED</x:v>
      </x:c>
      <x:c r="N48" s="59" t="str">
        <x:v>Shoprite Holdings Annual Financial Statements 2025</x:v>
      </x:c>
      <x:c r="O48" s="59" t="n">
        <x:v>18</x:v>
      </x:c>
      <x:c r="P48" s="59" t="str">
        <x:v>https://www.shopriteholdings.co.za/docs/shp-afs-2025.pdf</x:v>
      </x:c>
      <x:c r="Q48" s="59" t="str">
        <x:v>seed-register-hash:SHP-2025-DEBT</x:v>
      </x:c>
      <x:c r="R48" s="59" t="str">
        <x:v>May anchor governed inference</x:v>
      </x:c>
    </x:row>
    <x:row r="49">
      <x:c r="A49" s="59" t="str">
        <x:v>SHP-2025-FX</x:v>
      </x:c>
      <x:c r="B49" s="59" t="str">
        <x:v>E09</x:v>
      </x:c>
      <x:c r="C49" s="59" t="str">
        <x:v>Shoprite Holdings</x:v>
      </x:c>
      <x:c r="D49" s="59" t="str">
        <x:v>fx_exposure</x:v>
      </x:c>
      <x:c r="E49" s="60" t="n">
        <x:v>3572</x:v>
      </x:c>
      <x:c r="F49" s="59" t="str">
        <x:v>million</x:v>
      </x:c>
      <x:c r="G49" s="59" t="str">
        <x:v>ZAR</x:v>
      </x:c>
      <x:c r="H49" s="59" t="str">
        <x:v>2024-07-01</x:v>
      </x:c>
      <x:c r="I49" s="59" t="str">
        <x:v>2025-06-29</x:v>
      </x:c>
      <x:c r="J49" s="59" t="str">
        <x:v>2025-10-13</x:v>
      </x:c>
      <x:c r="K49" s="59" t="str">
        <x:v>E1</x:v>
      </x:c>
      <x:c r="L49" s="61" t="n">
        <x:v>0.95</x:v>
      </x:c>
      <x:c r="M49" s="59" t="str">
        <x:v>APPROVED</x:v>
      </x:c>
      <x:c r="N49" s="59" t="str">
        <x:v>Shoprite Holdings Annual Financial Statements 2025</x:v>
      </x:c>
      <x:c r="O49" s="59" t="n">
        <x:v>118</x:v>
      </x:c>
      <x:c r="P49" s="59" t="str">
        <x:v>https://www.shopriteholdings.co.za/docs/shp-afs-2025.pdf</x:v>
      </x:c>
      <x:c r="Q49" s="59" t="str">
        <x:v>seed-register-hash:SHP-2025-FX</x:v>
      </x:c>
      <x:c r="R49" s="59" t="str">
        <x:v>May anchor governed inference</x:v>
      </x:c>
    </x:row>
    <x:row r="50">
      <x:c r="A50" s="59" t="str">
        <x:v>SHP-2025-INV-CLOSE</x:v>
      </x:c>
      <x:c r="B50" s="59" t="str">
        <x:v>E09</x:v>
      </x:c>
      <x:c r="C50" s="59" t="str">
        <x:v>Shoprite Holdings</x:v>
      </x:c>
      <x:c r="D50" s="59" t="str">
        <x:v>inventories_close</x:v>
      </x:c>
      <x:c r="E50" s="60" t="n">
        <x:v>29748</x:v>
      </x:c>
      <x:c r="F50" s="59" t="str">
        <x:v>million</x:v>
      </x:c>
      <x:c r="G50" s="59" t="str">
        <x:v>ZAR</x:v>
      </x:c>
      <x:c r="H50" s="59" t="str">
        <x:v>2024-07-01</x:v>
      </x:c>
      <x:c r="I50" s="59" t="str">
        <x:v>2025-06-29</x:v>
      </x:c>
      <x:c r="J50" s="59" t="str">
        <x:v>2025-10-13</x:v>
      </x:c>
      <x:c r="K50" s="59" t="str">
        <x:v>E1</x:v>
      </x:c>
      <x:c r="L50" s="61" t="n">
        <x:v>0.99</x:v>
      </x:c>
      <x:c r="M50" s="59" t="str">
        <x:v>APPROVED</x:v>
      </x:c>
      <x:c r="N50" s="59" t="str">
        <x:v>Shoprite Holdings Annual Financial Statements 2025</x:v>
      </x:c>
      <x:c r="O50" s="59" t="n">
        <x:v>18</x:v>
      </x:c>
      <x:c r="P50" s="59" t="str">
        <x:v>https://www.shopriteholdings.co.za/docs/shp-afs-2025.pdf</x:v>
      </x:c>
      <x:c r="Q50" s="59" t="str">
        <x:v>seed-register-hash:SHP-2025-INV-CLOSE</x:v>
      </x:c>
      <x:c r="R50" s="59" t="str">
        <x:v>May anchor governed inference</x:v>
      </x:c>
    </x:row>
    <x:row r="51">
      <x:c r="A51" s="59" t="str">
        <x:v>SHP-2025-INV-OPEN</x:v>
      </x:c>
      <x:c r="B51" s="59" t="str">
        <x:v>E09</x:v>
      </x:c>
      <x:c r="C51" s="59" t="str">
        <x:v>Shoprite Holdings</x:v>
      </x:c>
      <x:c r="D51" s="59" t="str">
        <x:v>inventories_open</x:v>
      </x:c>
      <x:c r="E51" s="60" t="n">
        <x:v>28366</x:v>
      </x:c>
      <x:c r="F51" s="59" t="str">
        <x:v>million</x:v>
      </x:c>
      <x:c r="G51" s="59" t="str">
        <x:v>ZAR</x:v>
      </x:c>
      <x:c r="H51" s="59" t="str">
        <x:v>2023-07-01</x:v>
      </x:c>
      <x:c r="I51" s="59" t="str">
        <x:v>2024-06-30</x:v>
      </x:c>
      <x:c r="J51" s="59" t="str">
        <x:v>2025-10-13</x:v>
      </x:c>
      <x:c r="K51" s="59" t="str">
        <x:v>E1</x:v>
      </x:c>
      <x:c r="L51" s="61" t="n">
        <x:v>0.99</x:v>
      </x:c>
      <x:c r="M51" s="59" t="str">
        <x:v>APPROVED</x:v>
      </x:c>
      <x:c r="N51" s="59" t="str">
        <x:v>Shoprite Holdings Annual Financial Statements 2025</x:v>
      </x:c>
      <x:c r="O51" s="59" t="n">
        <x:v>18</x:v>
      </x:c>
      <x:c r="P51" s="59" t="str">
        <x:v>https://www.shopriteholdings.co.za/docs/shp-afs-2025.pdf</x:v>
      </x:c>
      <x:c r="Q51" s="59" t="str">
        <x:v>seed-register-hash:SHP-2025-INV-OPEN</x:v>
      </x:c>
      <x:c r="R51" s="59" t="str">
        <x:v>May anchor governed inference</x:v>
      </x:c>
    </x:row>
    <x:row r="52">
      <x:c r="A52" s="59" t="str">
        <x:v>SHP-2025-REV</x:v>
      </x:c>
      <x:c r="B52" s="59" t="str">
        <x:v>E09</x:v>
      </x:c>
      <x:c r="C52" s="59" t="str">
        <x:v>Shoprite Holdings</x:v>
      </x:c>
      <x:c r="D52" s="59" t="str">
        <x:v>revenue</x:v>
      </x:c>
      <x:c r="E52" s="60" t="n">
        <x:v>256682</x:v>
      </x:c>
      <x:c r="F52" s="59" t="str">
        <x:v>million</x:v>
      </x:c>
      <x:c r="G52" s="59" t="str">
        <x:v>ZAR</x:v>
      </x:c>
      <x:c r="H52" s="59" t="str">
        <x:v>2024-07-01</x:v>
      </x:c>
      <x:c r="I52" s="59" t="str">
        <x:v>2025-06-29</x:v>
      </x:c>
      <x:c r="J52" s="59" t="str">
        <x:v>2025-10-13</x:v>
      </x:c>
      <x:c r="K52" s="59" t="str">
        <x:v>E1</x:v>
      </x:c>
      <x:c r="L52" s="61" t="n">
        <x:v>0.99</x:v>
      </x:c>
      <x:c r="M52" s="59" t="str">
        <x:v>APPROVED</x:v>
      </x:c>
      <x:c r="N52" s="59" t="str">
        <x:v>Shoprite Holdings Annual Financial Statements 2025</x:v>
      </x:c>
      <x:c r="O52" s="59" t="n">
        <x:v>19</x:v>
      </x:c>
      <x:c r="P52" s="59" t="str">
        <x:v>https://www.shopriteholdings.co.za/docs/shp-afs-2025.pdf</x:v>
      </x:c>
      <x:c r="Q52" s="59" t="str">
        <x:v>seed-register-hash:SHP-2025-REV</x:v>
      </x:c>
      <x:c r="R52" s="59" t="str">
        <x:v>May anchor governed inference</x:v>
      </x:c>
    </x:row>
    <x:row r="53">
      <x:c r="A53" s="59" t="str">
        <x:v>SHP-2025-STF</x:v>
      </x:c>
      <x:c r="B53" s="59" t="str">
        <x:v>E09</x:v>
      </x:c>
      <x:c r="C53" s="59" t="str">
        <x:v>Shoprite Holdings</x:v>
      </x:c>
      <x:c r="D53" s="59" t="str">
        <x:v>short_term_facilities</x:v>
      </x:c>
      <x:c r="E53" s="60" t="n">
        <x:v>1863</x:v>
      </x:c>
      <x:c r="F53" s="59" t="str">
        <x:v>million</x:v>
      </x:c>
      <x:c r="G53" s="59" t="str">
        <x:v>ZAR</x:v>
      </x:c>
      <x:c r="H53" s="59" t="str">
        <x:v>2024-07-01</x:v>
      </x:c>
      <x:c r="I53" s="59" t="str">
        <x:v>2025-06-29</x:v>
      </x:c>
      <x:c r="J53" s="59" t="str">
        <x:v>2025-10-13</x:v>
      </x:c>
      <x:c r="K53" s="59" t="str">
        <x:v>E1</x:v>
      </x:c>
      <x:c r="L53" s="61" t="n">
        <x:v>0.99</x:v>
      </x:c>
      <x:c r="M53" s="59" t="str">
        <x:v>APPROVED</x:v>
      </x:c>
      <x:c r="N53" s="59" t="str">
        <x:v>Shoprite Holdings Annual Financial Statements 2025</x:v>
      </x:c>
      <x:c r="O53" s="59" t="n">
        <x:v>18</x:v>
      </x:c>
      <x:c r="P53" s="59" t="str">
        <x:v>https://www.shopriteholdings.co.za/docs/shp-afs-2025.pdf</x:v>
      </x:c>
      <x:c r="Q53" s="59" t="str">
        <x:v>seed-register-hash:SHP-2025-STF</x:v>
      </x:c>
      <x:c r="R53" s="59" t="str">
        <x:v>May anchor governed inference</x:v>
      </x:c>
    </x:row>
    <x:row r="54">
      <x:c r="A54" s="59" t="str">
        <x:v>BIDCORP-2025-CASH</x:v>
      </x:c>
      <x:c r="B54" s="59" t="str">
        <x:v>E10</x:v>
      </x:c>
      <x:c r="C54" s="59" t="str">
        <x:v>Bid Corporation</x:v>
      </x:c>
      <x:c r="D54" s="59" t="str">
        <x:v>cash_and_cash_equivalents</x:v>
      </x:c>
      <x:c r="E54" s="60" t="n">
        <x:v>11767.62</x:v>
      </x:c>
      <x:c r="F54" s="59" t="str">
        <x:v>million</x:v>
      </x:c>
      <x:c r="G54" s="59" t="str">
        <x:v>ZAR</x:v>
      </x:c>
      <x:c r="H54" s="59" t="str">
        <x:v>2025-06-30</x:v>
      </x:c>
      <x:c r="I54" s="59" t="str">
        <x:v>2025-06-30</x:v>
      </x:c>
      <x:c r="J54" s="59" t="str">
        <x:v>2025-10-30</x:v>
      </x:c>
      <x:c r="K54" s="59" t="str">
        <x:v>E1</x:v>
      </x:c>
      <x:c r="L54" s="61" t="n">
        <x:v>0.98</x:v>
      </x:c>
      <x:c r="M54" s="59" t="str">
        <x:v>PENDING_REVIEW</x:v>
      </x:c>
      <x:c r="N54" s="59" t="str">
        <x:v>Bidcorp Annual Integrated Report 2025</x:v>
      </x:c>
      <x:c r="O54" s="59" t="n">
        <x:v>19</x:v>
      </x:c>
      <x:c r="P54" s="59" t="str">
        <x:v>https://www.bidcorpgroup.com/pdf/reports/2025/Bidcorp-2025-AIR.pdf</x:v>
      </x:c>
      <x:c r="Q54" s="59" t="str">
        <x:v>f2516d780aff52d4a5de8be9a2f02e753e948e13450e77f2b1603784b5215c9f</x:v>
      </x:c>
      <x:c r="R54" s="59" t="str">
        <x:v>Candidate only; excluded from approved-anchor claims</x:v>
      </x:c>
    </x:row>
    <x:row r="55">
      <x:c r="A55" s="59" t="str">
        <x:v>BIDCORP-2025-CL</x:v>
      </x:c>
      <x:c r="B55" s="59" t="str">
        <x:v>E10</x:v>
      </x:c>
      <x:c r="C55" s="59" t="str">
        <x:v>Bid Corporation</x:v>
      </x:c>
      <x:c r="D55" s="59" t="str">
        <x:v>current_liabilities</x:v>
      </x:c>
      <x:c r="E55" s="60" t="n">
        <x:v>42998.67</x:v>
      </x:c>
      <x:c r="F55" s="59" t="str">
        <x:v>million</x:v>
      </x:c>
      <x:c r="G55" s="59" t="str">
        <x:v>ZAR</x:v>
      </x:c>
      <x:c r="H55" s="59" t="str">
        <x:v>2025-06-30</x:v>
      </x:c>
      <x:c r="I55" s="59" t="str">
        <x:v>2025-06-30</x:v>
      </x:c>
      <x:c r="J55" s="59" t="str">
        <x:v>2025-10-30</x:v>
      </x:c>
      <x:c r="K55" s="59" t="str">
        <x:v>E1</x:v>
      </x:c>
      <x:c r="L55" s="61" t="n">
        <x:v>0.98</x:v>
      </x:c>
      <x:c r="M55" s="59" t="str">
        <x:v>PENDING_REVIEW</x:v>
      </x:c>
      <x:c r="N55" s="59" t="str">
        <x:v>Bidcorp Annual Integrated Report 2025</x:v>
      </x:c>
      <x:c r="O55" s="59" t="n">
        <x:v>19</x:v>
      </x:c>
      <x:c r="P55" s="59" t="str">
        <x:v>https://www.bidcorpgroup.com/pdf/reports/2025/Bidcorp-2025-AIR.pdf</x:v>
      </x:c>
      <x:c r="Q55" s="59" t="str">
        <x:v>f2516d780aff52d4a5de8be9a2f02e753e948e13450e77f2b1603784b5215c9f</x:v>
      </x:c>
      <x:c r="R55" s="59" t="str">
        <x:v>Candidate only; excluded from approved-anchor claims</x:v>
      </x:c>
    </x:row>
    <x:row r="56">
      <x:c r="A56" s="59" t="str">
        <x:v>BIDCORP-2025-REV</x:v>
      </x:c>
      <x:c r="B56" s="59" t="str">
        <x:v>E10</x:v>
      </x:c>
      <x:c r="C56" s="59" t="str">
        <x:v>Bid Corporation</x:v>
      </x:c>
      <x:c r="D56" s="59" t="str">
        <x:v>revenue</x:v>
      </x:c>
      <x:c r="E56" s="60" t="n">
        <x:v>235591.18</x:v>
      </x:c>
      <x:c r="F56" s="59" t="str">
        <x:v>million</x:v>
      </x:c>
      <x:c r="G56" s="59" t="str">
        <x:v>ZAR</x:v>
      </x:c>
      <x:c r="H56" s="59" t="str">
        <x:v>2024-07-01</x:v>
      </x:c>
      <x:c r="I56" s="59" t="str">
        <x:v>2025-06-30</x:v>
      </x:c>
      <x:c r="J56" s="59" t="str">
        <x:v>2025-10-30</x:v>
      </x:c>
      <x:c r="K56" s="59" t="str">
        <x:v>E1</x:v>
      </x:c>
      <x:c r="L56" s="61" t="n">
        <x:v>0.98</x:v>
      </x:c>
      <x:c r="M56" s="59" t="str">
        <x:v>PENDING_REVIEW</x:v>
      </x:c>
      <x:c r="N56" s="59" t="str">
        <x:v>Bidcorp Annual Integrated Report 2025</x:v>
      </x:c>
      <x:c r="O56" s="59" t="n">
        <x:v>18</x:v>
      </x:c>
      <x:c r="P56" s="59" t="str">
        <x:v>https://www.bidcorpgroup.com/pdf/reports/2025/Bidcorp-2025-AIR.pdf</x:v>
      </x:c>
      <x:c r="Q56" s="59" t="str">
        <x:v>f2516d780aff52d4a5de8be9a2f02e753e948e13450e77f2b1603784b5215c9f</x:v>
      </x:c>
      <x:c r="R56" s="59" t="str">
        <x:v>Candidate only; excluded from approved-anchor claims</x:v>
      </x:c>
    </x:row>
    <x:row r="57">
      <x:c r="A57" s="59" t="str">
        <x:v>PEPKOR-2025-CASH</x:v>
      </x:c>
      <x:c r="B57" s="59" t="str">
        <x:v>E11</x:v>
      </x:c>
      <x:c r="C57" s="59" t="str">
        <x:v>Pepkor Holdings</x:v>
      </x:c>
      <x:c r="D57" s="59" t="str">
        <x:v>cash_and_cash_equivalents</x:v>
      </x:c>
      <x:c r="E57" s="60" t="n">
        <x:v>5066</x:v>
      </x:c>
      <x:c r="F57" s="59" t="str">
        <x:v>million</x:v>
      </x:c>
      <x:c r="G57" s="59" t="str">
        <x:v>ZAR</x:v>
      </x:c>
      <x:c r="H57" s="59" t="str">
        <x:v>2025-09-30</x:v>
      </x:c>
      <x:c r="I57" s="59" t="str">
        <x:v>2025-09-30</x:v>
      </x:c>
      <x:c r="J57" s="59" t="str">
        <x:v>2025-12-15</x:v>
      </x:c>
      <x:c r="K57" s="59" t="str">
        <x:v>E1</x:v>
      </x:c>
      <x:c r="L57" s="61" t="n">
        <x:v>0.99</x:v>
      </x:c>
      <x:c r="M57" s="59" t="str">
        <x:v>PENDING_REVIEW</x:v>
      </x:c>
      <x:c r="N57" s="59" t="str">
        <x:v>Pepkor Annual Financial Statements 2025</x:v>
      </x:c>
      <x:c r="O57" s="59" t="n">
        <x:v>23</x:v>
      </x:c>
      <x:c r="P57" s="59" t="str">
        <x:v>https://pepkor.co.za/wp-content/uploads/Pepkor-annual-financial-statements-2025.pdf</x:v>
      </x:c>
      <x:c r="Q57" s="59" t="str">
        <x:v>7715894a86e0e6b06b26b90b6e5bad3ffb85b8cd6166701bf52ddf8e053193d3</x:v>
      </x:c>
      <x:c r="R57" s="59" t="str">
        <x:v>Candidate only; excluded from approved-anchor claims</x:v>
      </x:c>
    </x:row>
    <x:row r="58">
      <x:c r="A58" s="59" t="str">
        <x:v>PEPKOR-2025-DEBT</x:v>
      </x:c>
      <x:c r="B58" s="59" t="str">
        <x:v>E11</x:v>
      </x:c>
      <x:c r="C58" s="59" t="str">
        <x:v>Pepkor Holdings</x:v>
      </x:c>
      <x:c r="D58" s="59" t="str">
        <x:v>current_debt</x:v>
      </x:c>
      <x:c r="E58" s="60" t="n">
        <x:v>1200</x:v>
      </x:c>
      <x:c r="F58" s="59" t="str">
        <x:v>million</x:v>
      </x:c>
      <x:c r="G58" s="59" t="str">
        <x:v>ZAR</x:v>
      </x:c>
      <x:c r="H58" s="59" t="str">
        <x:v>2025-09-30</x:v>
      </x:c>
      <x:c r="I58" s="59" t="str">
        <x:v>2025-09-30</x:v>
      </x:c>
      <x:c r="J58" s="59" t="str">
        <x:v>2025-12-15</x:v>
      </x:c>
      <x:c r="K58" s="59" t="str">
        <x:v>E1</x:v>
      </x:c>
      <x:c r="L58" s="61" t="n">
        <x:v>0.99</x:v>
      </x:c>
      <x:c r="M58" s="59" t="str">
        <x:v>PENDING_REVIEW</x:v>
      </x:c>
      <x:c r="N58" s="59" t="str">
        <x:v>Pepkor Annual Financial Statements 2025</x:v>
      </x:c>
      <x:c r="O58" s="59" t="n">
        <x:v>23</x:v>
      </x:c>
      <x:c r="P58" s="59" t="str">
        <x:v>https://pepkor.co.za/wp-content/uploads/Pepkor-annual-financial-statements-2025.pdf</x:v>
      </x:c>
      <x:c r="Q58" s="59" t="str">
        <x:v>7715894a86e0e6b06b26b90b6e5bad3ffb85b8cd6166701bf52ddf8e053193d3</x:v>
      </x:c>
      <x:c r="R58" s="59" t="str">
        <x:v>Candidate only; excluded from approved-anchor claims</x:v>
      </x:c>
    </x:row>
    <x:row r="59">
      <x:c r="A59" s="59" t="str">
        <x:v>PEPKOR-2025-REV</x:v>
      </x:c>
      <x:c r="B59" s="59" t="str">
        <x:v>E11</x:v>
      </x:c>
      <x:c r="C59" s="59" t="str">
        <x:v>Pepkor Holdings</x:v>
      </x:c>
      <x:c r="D59" s="59" t="str">
        <x:v>revenue</x:v>
      </x:c>
      <x:c r="E59" s="60" t="n">
        <x:v>95340</x:v>
      </x:c>
      <x:c r="F59" s="59" t="str">
        <x:v>million</x:v>
      </x:c>
      <x:c r="G59" s="59" t="str">
        <x:v>ZAR</x:v>
      </x:c>
      <x:c r="H59" s="59" t="str">
        <x:v>2024-10-01</x:v>
      </x:c>
      <x:c r="I59" s="59" t="str">
        <x:v>2025-09-30</x:v>
      </x:c>
      <x:c r="J59" s="59" t="str">
        <x:v>2025-12-15</x:v>
      </x:c>
      <x:c r="K59" s="59" t="str">
        <x:v>E1</x:v>
      </x:c>
      <x:c r="L59" s="61" t="n">
        <x:v>0.99</x:v>
      </x:c>
      <x:c r="M59" s="59" t="str">
        <x:v>PENDING_REVIEW</x:v>
      </x:c>
      <x:c r="N59" s="59" t="str">
        <x:v>Pepkor Annual Financial Statements 2025</x:v>
      </x:c>
      <x:c r="O59" s="59" t="n">
        <x:v>21</x:v>
      </x:c>
      <x:c r="P59" s="59" t="str">
        <x:v>https://pepkor.co.za/wp-content/uploads/Pepkor-annual-financial-statements-2025.pdf</x:v>
      </x:c>
      <x:c r="Q59" s="59" t="str">
        <x:v>7715894a86e0e6b06b26b90b6e5bad3ffb85b8cd6166701bf52ddf8e053193d3</x:v>
      </x:c>
      <x:c r="R59" s="59" t="str">
        <x:v>Candidate only; excluded from approved-anchor claims</x:v>
      </x:c>
    </x:row>
    <x:row r="60">
      <x:c r="A60" s="59" t="str">
        <x:v>CLICKS-2025-CASH</x:v>
      </x:c>
      <x:c r="B60" s="59" t="str">
        <x:v>E12</x:v>
      </x:c>
      <x:c r="C60" s="59" t="str">
        <x:v>Clicks Group</x:v>
      </x:c>
      <x:c r="D60" s="59" t="str">
        <x:v>cash_and_cash_equivalents</x:v>
      </x:c>
      <x:c r="E60" s="60" t="n">
        <x:v>3255.77</x:v>
      </x:c>
      <x:c r="F60" s="59" t="str">
        <x:v>million</x:v>
      </x:c>
      <x:c r="G60" s="59" t="str">
        <x:v>ZAR</x:v>
      </x:c>
      <x:c r="H60" s="59" t="str">
        <x:v>2025-08-31</x:v>
      </x:c>
      <x:c r="I60" s="59" t="str">
        <x:v>2025-08-31</x:v>
      </x:c>
      <x:c r="J60" s="59" t="str">
        <x:v>2025-11-06</x:v>
      </x:c>
      <x:c r="K60" s="59" t="str">
        <x:v>E1</x:v>
      </x:c>
      <x:c r="L60" s="61" t="n">
        <x:v>0.99</x:v>
      </x:c>
      <x:c r="M60" s="59" t="str">
        <x:v>PENDING_REVIEW</x:v>
      </x:c>
      <x:c r="N60" s="59" t="str">
        <x:v>Clicks Group Annual Financial Statements 2025</x:v>
      </x:c>
      <x:c r="O60" s="59" t="n">
        <x:v>10</x:v>
      </x:c>
      <x:c r="P60" s="59" t="str">
        <x:v>https://clicksgroup.co.za/iar2025/wp-content/uploads/CGL-YE25-Annual-financial-statements.pdf</x:v>
      </x:c>
      <x:c r="Q60" s="59" t="str">
        <x:v>664c3ce033c0d36157277ae5ef9f28a933edd4acebc8cec649069cd20d9c576d</x:v>
      </x:c>
      <x:c r="R60" s="59" t="str">
        <x:v>Candidate only; excluded from approved-anchor claims</x:v>
      </x:c>
    </x:row>
    <x:row r="61">
      <x:c r="A61" s="59" t="str">
        <x:v>CLICKS-2025-PAY</x:v>
      </x:c>
      <x:c r="B61" s="59" t="str">
        <x:v>E12</x:v>
      </x:c>
      <x:c r="C61" s="59" t="str">
        <x:v>Clicks Group</x:v>
      </x:c>
      <x:c r="D61" s="59" t="str">
        <x:v>trade_payables</x:v>
      </x:c>
      <x:c r="E61" s="60" t="n">
        <x:v>10912.54</x:v>
      </x:c>
      <x:c r="F61" s="59" t="str">
        <x:v>million</x:v>
      </x:c>
      <x:c r="G61" s="59" t="str">
        <x:v>ZAR</x:v>
      </x:c>
      <x:c r="H61" s="59" t="str">
        <x:v>2025-08-31</x:v>
      </x:c>
      <x:c r="I61" s="59" t="str">
        <x:v>2025-08-31</x:v>
      </x:c>
      <x:c r="J61" s="59" t="str">
        <x:v>2025-11-06</x:v>
      </x:c>
      <x:c r="K61" s="59" t="str">
        <x:v>E1</x:v>
      </x:c>
      <x:c r="L61" s="61" t="n">
        <x:v>0.99</x:v>
      </x:c>
      <x:c r="M61" s="59" t="str">
        <x:v>PENDING_REVIEW</x:v>
      </x:c>
      <x:c r="N61" s="59" t="str">
        <x:v>Clicks Group Annual Financial Statements 2025</x:v>
      </x:c>
      <x:c r="O61" s="59" t="n">
        <x:v>10</x:v>
      </x:c>
      <x:c r="P61" s="59" t="str">
        <x:v>https://clicksgroup.co.za/iar2025/wp-content/uploads/CGL-YE25-Annual-financial-statements.pdf</x:v>
      </x:c>
      <x:c r="Q61" s="59" t="str">
        <x:v>664c3ce033c0d36157277ae5ef9f28a933edd4acebc8cec649069cd20d9c576d</x:v>
      </x:c>
      <x:c r="R61" s="59" t="str">
        <x:v>Candidate only; excluded from approved-anchor claims</x:v>
      </x:c>
    </x:row>
    <x:row r="62">
      <x:c r="A62" s="59" t="str">
        <x:v>CLICKS-2025-REV</x:v>
      </x:c>
      <x:c r="B62" s="59" t="str">
        <x:v>E12</x:v>
      </x:c>
      <x:c r="C62" s="59" t="str">
        <x:v>Clicks Group</x:v>
      </x:c>
      <x:c r="D62" s="59" t="str">
        <x:v>revenue</x:v>
      </x:c>
      <x:c r="E62" s="60" t="n">
        <x:v>51426.99</x:v>
      </x:c>
      <x:c r="F62" s="59" t="str">
        <x:v>million</x:v>
      </x:c>
      <x:c r="G62" s="59" t="str">
        <x:v>ZAR</x:v>
      </x:c>
      <x:c r="H62" s="59" t="str">
        <x:v>2024-09-01</x:v>
      </x:c>
      <x:c r="I62" s="59" t="str">
        <x:v>2025-08-31</x:v>
      </x:c>
      <x:c r="J62" s="59" t="str">
        <x:v>2025-11-06</x:v>
      </x:c>
      <x:c r="K62" s="59" t="str">
        <x:v>E1</x:v>
      </x:c>
      <x:c r="L62" s="61" t="n">
        <x:v>0.99</x:v>
      </x:c>
      <x:c r="M62" s="59" t="str">
        <x:v>PENDING_REVIEW</x:v>
      </x:c>
      <x:c r="N62" s="59" t="str">
        <x:v>Clicks Group Annual Financial Statements 2025</x:v>
      </x:c>
      <x:c r="O62" s="59" t="n">
        <x:v>10</x:v>
      </x:c>
      <x:c r="P62" s="59" t="str">
        <x:v>https://clicksgroup.co.za/iar2025/wp-content/uploads/CGL-YE25-Annual-financial-statements.pdf</x:v>
      </x:c>
      <x:c r="Q62" s="59" t="str">
        <x:v>664c3ce033c0d36157277ae5ef9f28a933edd4acebc8cec649069cd20d9c576d</x:v>
      </x:c>
      <x:c r="R62" s="59" t="str">
        <x:v>Candidate only; excluded from approved-anchor claims</x:v>
      </x:c>
    </x:row>
    <x:row r="63">
      <x:c r="A63" s="59" t="str">
        <x:v>NEPI-2025-CASH</x:v>
      </x:c>
      <x:c r="B63" s="59" t="str">
        <x:v>E13</x:v>
      </x:c>
      <x:c r="C63" s="59" t="str">
        <x:v>NEPI Rockcastle</x:v>
      </x:c>
      <x:c r="D63" s="59" t="str">
        <x:v>cash_and_cash_equivalents</x:v>
      </x:c>
      <x:c r="E63" s="60" t="n">
        <x:v>313.994</x:v>
      </x:c>
      <x:c r="F63" s="59" t="str">
        <x:v>million</x:v>
      </x:c>
      <x:c r="G63" s="59" t="str">
        <x:v>EUR</x:v>
      </x:c>
      <x:c r="H63" s="59" t="str">
        <x:v>2025-12-31</x:v>
      </x:c>
      <x:c r="I63" s="59" t="str">
        <x:v>2025-12-31</x:v>
      </x:c>
      <x:c r="J63" s="59" t="str">
        <x:v>2026-03-18</x:v>
      </x:c>
      <x:c r="K63" s="59" t="str">
        <x:v>E1</x:v>
      </x:c>
      <x:c r="L63" s="61" t="n">
        <x:v>0.99</x:v>
      </x:c>
      <x:c r="M63" s="59" t="str">
        <x:v>PENDING_REVIEW</x:v>
      </x:c>
      <x:c r="N63" s="59" t="str">
        <x:v>NEPI Rockcastle Annual Report 2025</x:v>
      </x:c>
      <x:c r="O63" s="59" t="n">
        <x:v>310</x:v>
      </x:c>
      <x:c r="P63" s="59" t="str">
        <x:v>https://nepirockcastle.com/wp-content/uploads/2026/03/NEPI_Rockcastle_Annual_Report_2025.pdf</x:v>
      </x:c>
      <x:c r="Q63" s="59" t="str">
        <x:v>4124bee2bfb55a181cda56963bd733605a2cc53a7882b1d6108358b33da479f3</x:v>
      </x:c>
      <x:c r="R63" s="59" t="str">
        <x:v>Candidate only; excluded from approved-anchor claims</x:v>
      </x:c>
    </x:row>
    <x:row r="64">
      <x:c r="A64" s="59" t="str">
        <x:v>NEPI-2025-DEBT</x:v>
      </x:c>
      <x:c r="B64" s="59" t="str">
        <x:v>E13</x:v>
      </x:c>
      <x:c r="C64" s="59" t="str">
        <x:v>NEPI Rockcastle</x:v>
      </x:c>
      <x:c r="D64" s="59" t="str">
        <x:v>current_debt</x:v>
      </x:c>
      <x:c r="E64" s="60" t="n">
        <x:v>284.059</x:v>
      </x:c>
      <x:c r="F64" s="59" t="str">
        <x:v>million</x:v>
      </x:c>
      <x:c r="G64" s="59" t="str">
        <x:v>EUR</x:v>
      </x:c>
      <x:c r="H64" s="59" t="str">
        <x:v>2025-12-31</x:v>
      </x:c>
      <x:c r="I64" s="59" t="str">
        <x:v>2025-12-31</x:v>
      </x:c>
      <x:c r="J64" s="59" t="str">
        <x:v>2026-03-18</x:v>
      </x:c>
      <x:c r="K64" s="59" t="str">
        <x:v>E1</x:v>
      </x:c>
      <x:c r="L64" s="61" t="n">
        <x:v>0.99</x:v>
      </x:c>
      <x:c r="M64" s="59" t="str">
        <x:v>PENDING_REVIEW</x:v>
      </x:c>
      <x:c r="N64" s="59" t="str">
        <x:v>NEPI Rockcastle Annual Report 2025</x:v>
      </x:c>
      <x:c r="O64" s="59" t="n">
        <x:v>310</x:v>
      </x:c>
      <x:c r="P64" s="59" t="str">
        <x:v>https://nepirockcastle.com/wp-content/uploads/2026/03/NEPI_Rockcastle_Annual_Report_2025.pdf</x:v>
      </x:c>
      <x:c r="Q64" s="59" t="str">
        <x:v>4124bee2bfb55a181cda56963bd733605a2cc53a7882b1d6108358b33da479f3</x:v>
      </x:c>
      <x:c r="R64" s="59" t="str">
        <x:v>Candidate only; excluded from approved-anchor claims</x:v>
      </x:c>
    </x:row>
    <x:row r="65">
      <x:c r="A65" s="59" t="str">
        <x:v>NEPI-2025-REV</x:v>
      </x:c>
      <x:c r="B65" s="59" t="str">
        <x:v>E13</x:v>
      </x:c>
      <x:c r="C65" s="59" t="str">
        <x:v>NEPI Rockcastle</x:v>
      </x:c>
      <x:c r="D65" s="59" t="str">
        <x:v>gross_rental_income</x:v>
      </x:c>
      <x:c r="E65" s="60" t="n">
        <x:v>624.348</x:v>
      </x:c>
      <x:c r="F65" s="59" t="str">
        <x:v>million</x:v>
      </x:c>
      <x:c r="G65" s="59" t="str">
        <x:v>EUR</x:v>
      </x:c>
      <x:c r="H65" s="59" t="str">
        <x:v>2025-01-01</x:v>
      </x:c>
      <x:c r="I65" s="59" t="str">
        <x:v>2025-12-31</x:v>
      </x:c>
      <x:c r="J65" s="59" t="str">
        <x:v>2026-03-18</x:v>
      </x:c>
      <x:c r="K65" s="59" t="str">
        <x:v>E1</x:v>
      </x:c>
      <x:c r="L65" s="61" t="n">
        <x:v>0.99</x:v>
      </x:c>
      <x:c r="M65" s="59" t="str">
        <x:v>PENDING_REVIEW</x:v>
      </x:c>
      <x:c r="N65" s="59" t="str">
        <x:v>NEPI Rockcastle Annual Report 2025</x:v>
      </x:c>
      <x:c r="O65" s="59" t="n">
        <x:v>311</x:v>
      </x:c>
      <x:c r="P65" s="59" t="str">
        <x:v>https://nepirockcastle.com/wp-content/uploads/2026/03/NEPI_Rockcastle_Annual_Report_2025.pdf</x:v>
      </x:c>
      <x:c r="Q65" s="59" t="str">
        <x:v>4124bee2bfb55a181cda56963bd733605a2cc53a7882b1d6108358b33da479f3</x:v>
      </x:c>
      <x:c r="R65" s="59" t="str">
        <x:v>Candidate only; excluded from approved-anchor claims</x:v>
      </x:c>
    </x:row>
    <x:row r="66">
      <x:c r="A66" s="59" t="str">
        <x:v>PROSUS-2026-CASH</x:v>
      </x:c>
      <x:c r="B66" s="59" t="str">
        <x:v>E14</x:v>
      </x:c>
      <x:c r="C66" s="59" t="str">
        <x:v>Prosus</x:v>
      </x:c>
      <x:c r="D66" s="59" t="str">
        <x:v>cash_and_cash_equivalents</x:v>
      </x:c>
      <x:c r="E66" s="60" t="n">
        <x:v>6682</x:v>
      </x:c>
      <x:c r="F66" s="59" t="str">
        <x:v>million</x:v>
      </x:c>
      <x:c r="G66" s="59" t="str">
        <x:v>USD</x:v>
      </x:c>
      <x:c r="H66" s="59" t="str">
        <x:v>2026-03-31</x:v>
      </x:c>
      <x:c r="I66" s="59" t="str">
        <x:v>2026-03-31</x:v>
      </x:c>
      <x:c r="J66" s="59" t="str">
        <x:v>2026-06-29</x:v>
      </x:c>
      <x:c r="K66" s="59" t="str">
        <x:v>E1</x:v>
      </x:c>
      <x:c r="L66" s="61" t="n">
        <x:v>0.99</x:v>
      </x:c>
      <x:c r="M66" s="59" t="str">
        <x:v>PENDING_REVIEW</x:v>
      </x:c>
      <x:c r="N66" s="59" t="str">
        <x:v>Prosus Annual Report 2026</x:v>
      </x:c>
      <x:c r="O66" s="59" t="n">
        <x:v>140</x:v>
      </x:c>
      <x:c r="P66" s="59" t="str">
        <x:v>https://www.prosus.com/~/media/Files/P/prosus-corp-v2/results-reports-and-events-archive/annual-report/2026/fy2026-annual-report.pdf</x:v>
      </x:c>
      <x:c r="Q66" s="59" t="str">
        <x:v>3ea6278d374118f72fe41ac635d4b622bc1b59be44f5db9c0a7bc321ceabf077</x:v>
      </x:c>
      <x:c r="R66" s="59" t="str">
        <x:v>Candidate only; excluded from approved-anchor claims</x:v>
      </x:c>
    </x:row>
    <x:row r="67">
      <x:c r="A67" s="59" t="str">
        <x:v>PROSUS-2026-DEBT</x:v>
      </x:c>
      <x:c r="B67" s="59" t="str">
        <x:v>E14</x:v>
      </x:c>
      <x:c r="C67" s="59" t="str">
        <x:v>Prosus</x:v>
      </x:c>
      <x:c r="D67" s="59" t="str">
        <x:v>current_debt</x:v>
      </x:c>
      <x:c r="E67" s="60" t="n">
        <x:v>1953</x:v>
      </x:c>
      <x:c r="F67" s="59" t="str">
        <x:v>million</x:v>
      </x:c>
      <x:c r="G67" s="59" t="str">
        <x:v>USD</x:v>
      </x:c>
      <x:c r="H67" s="59" t="str">
        <x:v>2026-03-31</x:v>
      </x:c>
      <x:c r="I67" s="59" t="str">
        <x:v>2026-03-31</x:v>
      </x:c>
      <x:c r="J67" s="59" t="str">
        <x:v>2026-06-29</x:v>
      </x:c>
      <x:c r="K67" s="59" t="str">
        <x:v>E1</x:v>
      </x:c>
      <x:c r="L67" s="61" t="n">
        <x:v>0.99</x:v>
      </x:c>
      <x:c r="M67" s="59" t="str">
        <x:v>PENDING_REVIEW</x:v>
      </x:c>
      <x:c r="N67" s="59" t="str">
        <x:v>Prosus Annual Report 2026</x:v>
      </x:c>
      <x:c r="O67" s="59" t="n">
        <x:v>140</x:v>
      </x:c>
      <x:c r="P67" s="59" t="str">
        <x:v>https://www.prosus.com/~/media/Files/P/prosus-corp-v2/results-reports-and-events-archive/annual-report/2026/fy2026-annual-report.pdf</x:v>
      </x:c>
      <x:c r="Q67" s="59" t="str">
        <x:v>3ea6278d374118f72fe41ac635d4b622bc1b59be44f5db9c0a7bc321ceabf077</x:v>
      </x:c>
      <x:c r="R67" s="59" t="str">
        <x:v>Candidate only; excluded from approved-anchor claims</x:v>
      </x:c>
    </x:row>
    <x:row r="68">
      <x:c r="A68" s="59" t="str">
        <x:v>PROSUS-2026-REV</x:v>
      </x:c>
      <x:c r="B68" s="59" t="str">
        <x:v>E14</x:v>
      </x:c>
      <x:c r="C68" s="59" t="str">
        <x:v>Prosus</x:v>
      </x:c>
      <x:c r="D68" s="59" t="str">
        <x:v>revenue</x:v>
      </x:c>
      <x:c r="E68" s="60" t="n">
        <x:v>9705</x:v>
      </x:c>
      <x:c r="F68" s="59" t="str">
        <x:v>million</x:v>
      </x:c>
      <x:c r="G68" s="59" t="str">
        <x:v>USD</x:v>
      </x:c>
      <x:c r="H68" s="59" t="str">
        <x:v>2025-04-01</x:v>
      </x:c>
      <x:c r="I68" s="59" t="str">
        <x:v>2026-03-31</x:v>
      </x:c>
      <x:c r="J68" s="59" t="str">
        <x:v>2026-06-29</x:v>
      </x:c>
      <x:c r="K68" s="59" t="str">
        <x:v>E1</x:v>
      </x:c>
      <x:c r="L68" s="61" t="n">
        <x:v>0.99</x:v>
      </x:c>
      <x:c r="M68" s="59" t="str">
        <x:v>PENDING_REVIEW</x:v>
      </x:c>
      <x:c r="N68" s="59" t="str">
        <x:v>Prosus Annual Report 2026</x:v>
      </x:c>
      <x:c r="O68" s="59" t="n">
        <x:v>141</x:v>
      </x:c>
      <x:c r="P68" s="59" t="str">
        <x:v>https://www.prosus.com/~/media/Files/P/prosus-corp-v2/results-reports-and-events-archive/annual-report/2026/fy2026-annual-report.pdf</x:v>
      </x:c>
      <x:c r="Q68" s="59" t="str">
        <x:v>3ea6278d374118f72fe41ac635d4b622bc1b59be44f5db9c0a7bc321ceabf077</x:v>
      </x:c>
      <x:c r="R68" s="59" t="str">
        <x:v>Candidate only; excluded from approved-anchor claims</x:v>
      </x:c>
    </x:row>
    <x:row r="69">
      <x:c r="A69" s="59" t="str">
        <x:v>NASPERS-2026-CASH</x:v>
      </x:c>
      <x:c r="B69" s="59" t="str">
        <x:v>E15</x:v>
      </x:c>
      <x:c r="C69" s="59" t="str">
        <x:v>Naspers</x:v>
      </x:c>
      <x:c r="D69" s="59" t="str">
        <x:v>cash_and_cash_equivalents</x:v>
      </x:c>
      <x:c r="E69" s="60" t="n">
        <x:v>6820</x:v>
      </x:c>
      <x:c r="F69" s="59" t="str">
        <x:v>million</x:v>
      </x:c>
      <x:c r="G69" s="59" t="str">
        <x:v>USD</x:v>
      </x:c>
      <x:c r="H69" s="59" t="str">
        <x:v>2026-03-31</x:v>
      </x:c>
      <x:c r="I69" s="59" t="str">
        <x:v>2026-03-31</x:v>
      </x:c>
      <x:c r="J69" s="59" t="str">
        <x:v>2026-06-29</x:v>
      </x:c>
      <x:c r="K69" s="59" t="str">
        <x:v>E1</x:v>
      </x:c>
      <x:c r="L69" s="61" t="n">
        <x:v>0.99</x:v>
      </x:c>
      <x:c r="M69" s="59" t="str">
        <x:v>PENDING_REVIEW</x:v>
      </x:c>
      <x:c r="N69" s="59" t="str">
        <x:v>Naspers Annual Financial Statements 2026</x:v>
      </x:c>
      <x:c r="O69" s="59" t="n">
        <x:v>32</x:v>
      </x:c>
      <x:c r="P69" s="59" t="str">
        <x:v>https://www.naspers.com/~/media/Files/N/Naspers-Corp-V2/results-reports-and-events-archive/latest-results/fy-2026/naspers-annual-financial-statements-2026.pdf</x:v>
      </x:c>
      <x:c r="Q69" s="59" t="str">
        <x:v>e0d23733f611c2b81f2b8c7362c492178fe52b3109472db1e08efe824298f17b</x:v>
      </x:c>
      <x:c r="R69" s="59" t="str">
        <x:v>Candidate only; excluded from approved-anchor claims</x:v>
      </x:c>
    </x:row>
    <x:row r="70">
      <x:c r="A70" s="59" t="str">
        <x:v>NASPERS-2026-DEBT</x:v>
      </x:c>
      <x:c r="B70" s="59" t="str">
        <x:v>E15</x:v>
      </x:c>
      <x:c r="C70" s="59" t="str">
        <x:v>Naspers</x:v>
      </x:c>
      <x:c r="D70" s="59" t="str">
        <x:v>current_debt</x:v>
      </x:c>
      <x:c r="E70" s="60" t="n">
        <x:v>1987</x:v>
      </x:c>
      <x:c r="F70" s="59" t="str">
        <x:v>million</x:v>
      </x:c>
      <x:c r="G70" s="59" t="str">
        <x:v>USD</x:v>
      </x:c>
      <x:c r="H70" s="59" t="str">
        <x:v>2026-03-31</x:v>
      </x:c>
      <x:c r="I70" s="59" t="str">
        <x:v>2026-03-31</x:v>
      </x:c>
      <x:c r="J70" s="59" t="str">
        <x:v>2026-06-29</x:v>
      </x:c>
      <x:c r="K70" s="59" t="str">
        <x:v>E1</x:v>
      </x:c>
      <x:c r="L70" s="61" t="n">
        <x:v>0.99</x:v>
      </x:c>
      <x:c r="M70" s="59" t="str">
        <x:v>PENDING_REVIEW</x:v>
      </x:c>
      <x:c r="N70" s="59" t="str">
        <x:v>Naspers Annual Financial Statements 2026</x:v>
      </x:c>
      <x:c r="O70" s="59" t="n">
        <x:v>32</x:v>
      </x:c>
      <x:c r="P70" s="59" t="str">
        <x:v>https://www.naspers.com/~/media/Files/N/Naspers-Corp-V2/results-reports-and-events-archive/latest-results/fy-2026/naspers-annual-financial-statements-2026.pdf</x:v>
      </x:c>
      <x:c r="Q70" s="59" t="str">
        <x:v>e0d23733f611c2b81f2b8c7362c492178fe52b3109472db1e08efe824298f17b</x:v>
      </x:c>
      <x:c r="R70" s="59" t="str">
        <x:v>Candidate only; excluded from approved-anchor claims</x:v>
      </x:c>
    </x:row>
    <x:row r="71">
      <x:c r="A71" s="59" t="str">
        <x:v>NASPERS-2026-REV</x:v>
      </x:c>
      <x:c r="B71" s="59" t="str">
        <x:v>E15</x:v>
      </x:c>
      <x:c r="C71" s="59" t="str">
        <x:v>Naspers</x:v>
      </x:c>
      <x:c r="D71" s="59" t="str">
        <x:v>revenue</x:v>
      </x:c>
      <x:c r="E71" s="60" t="n">
        <x:v>10848</x:v>
      </x:c>
      <x:c r="F71" s="59" t="str">
        <x:v>million</x:v>
      </x:c>
      <x:c r="G71" s="59" t="str">
        <x:v>USD</x:v>
      </x:c>
      <x:c r="H71" s="59" t="str">
        <x:v>2025-04-01</x:v>
      </x:c>
      <x:c r="I71" s="59" t="str">
        <x:v>2026-03-31</x:v>
      </x:c>
      <x:c r="J71" s="59" t="str">
        <x:v>2026-06-29</x:v>
      </x:c>
      <x:c r="K71" s="59" t="str">
        <x:v>E1</x:v>
      </x:c>
      <x:c r="L71" s="61" t="n">
        <x:v>0.99</x:v>
      </x:c>
      <x:c r="M71" s="59" t="str">
        <x:v>PENDING_REVIEW</x:v>
      </x:c>
      <x:c r="N71" s="59" t="str">
        <x:v>Naspers Annual Financial Statements 2026</x:v>
      </x:c>
      <x:c r="O71" s="59" t="n">
        <x:v>33</x:v>
      </x:c>
      <x:c r="P71" s="59" t="str">
        <x:v>https://www.naspers.com/~/media/Files/N/Naspers-Corp-V2/results-reports-and-events-archive/latest-results/fy-2026/naspers-annual-financial-statements-2026.pdf</x:v>
      </x:c>
      <x:c r="Q71" s="59" t="str">
        <x:v>e0d23733f611c2b81f2b8c7362c492178fe52b3109472db1e08efe824298f17b</x:v>
      </x:c>
      <x:c r="R71" s="59" t="str">
        <x:v>Candidate only; excluded from approved-anchor claims</x:v>
      </x:c>
    </x:row>
    <x:row r="72">
      <x:c r="A72" s="59" t="str">
        <x:v>MTN-2025-CASH</x:v>
      </x:c>
      <x:c r="B72" s="59" t="str">
        <x:v>E16</x:v>
      </x:c>
      <x:c r="C72" s="59" t="str">
        <x:v>MTN Group</x:v>
      </x:c>
      <x:c r="D72" s="59" t="str">
        <x:v>cash_and_cash_equivalents</x:v>
      </x:c>
      <x:c r="E72" s="60" t="n">
        <x:v>42625</x:v>
      </x:c>
      <x:c r="F72" s="59" t="str">
        <x:v>million</x:v>
      </x:c>
      <x:c r="G72" s="59" t="str">
        <x:v>ZAR</x:v>
      </x:c>
      <x:c r="H72" s="59" t="str">
        <x:v>2025-12-31</x:v>
      </x:c>
      <x:c r="I72" s="59" t="str">
        <x:v>2025-12-31</x:v>
      </x:c>
      <x:c r="J72" s="59" t="str">
        <x:v>2026-03-16</x:v>
      </x:c>
      <x:c r="K72" s="59" t="str">
        <x:v>E1</x:v>
      </x:c>
      <x:c r="L72" s="61" t="n">
        <x:v>0.99</x:v>
      </x:c>
      <x:c r="M72" s="59" t="str">
        <x:v>PENDING_REVIEW</x:v>
      </x:c>
      <x:c r="N72" s="59" t="str">
        <x:v>MTN Group Annual Financial Statements 2025</x:v>
      </x:c>
      <x:c r="O72" s="59" t="n">
        <x:v>23</x:v>
      </x:c>
      <x:c r="P72" s="59" t="str">
        <x:v>https://www.mtn.com/wp-content/uploads/2026/03/MTN-Group-FY-25-Annual-Financial-Statements.pdf</x:v>
      </x:c>
      <x:c r="Q72" s="59" t="str">
        <x:v>bea72f5adefd24ecb4dd8ed36e523730e19a3efb2fa9f79b63567bc4fac2e59b</x:v>
      </x:c>
      <x:c r="R72" s="59" t="str">
        <x:v>Candidate only; excluded from approved-anchor claims</x:v>
      </x:c>
    </x:row>
    <x:row r="73">
      <x:c r="A73" s="59" t="str">
        <x:v>MTN-2025-DEBT</x:v>
      </x:c>
      <x:c r="B73" s="59" t="str">
        <x:v>E16</x:v>
      </x:c>
      <x:c r="C73" s="59" t="str">
        <x:v>MTN Group</x:v>
      </x:c>
      <x:c r="D73" s="59" t="str">
        <x:v>current_debt</x:v>
      </x:c>
      <x:c r="E73" s="60" t="n">
        <x:v>17755</x:v>
      </x:c>
      <x:c r="F73" s="59" t="str">
        <x:v>million</x:v>
      </x:c>
      <x:c r="G73" s="59" t="str">
        <x:v>ZAR</x:v>
      </x:c>
      <x:c r="H73" s="59" t="str">
        <x:v>2025-12-31</x:v>
      </x:c>
      <x:c r="I73" s="59" t="str">
        <x:v>2025-12-31</x:v>
      </x:c>
      <x:c r="J73" s="59" t="str">
        <x:v>2026-03-16</x:v>
      </x:c>
      <x:c r="K73" s="59" t="str">
        <x:v>E1</x:v>
      </x:c>
      <x:c r="L73" s="61" t="n">
        <x:v>0.99</x:v>
      </x:c>
      <x:c r="M73" s="59" t="str">
        <x:v>PENDING_REVIEW</x:v>
      </x:c>
      <x:c r="N73" s="59" t="str">
        <x:v>MTN Group Annual Financial Statements 2025</x:v>
      </x:c>
      <x:c r="O73" s="59" t="n">
        <x:v>23</x:v>
      </x:c>
      <x:c r="P73" s="59" t="str">
        <x:v>https://www.mtn.com/wp-content/uploads/2026/03/MTN-Group-FY-25-Annual-Financial-Statements.pdf</x:v>
      </x:c>
      <x:c r="Q73" s="59" t="str">
        <x:v>bea72f5adefd24ecb4dd8ed36e523730e19a3efb2fa9f79b63567bc4fac2e59b</x:v>
      </x:c>
      <x:c r="R73" s="59" t="str">
        <x:v>Candidate only; excluded from approved-anchor claims</x:v>
      </x:c>
    </x:row>
    <x:row r="74">
      <x:c r="A74" s="59" t="str">
        <x:v>MTN-2025-REV</x:v>
      </x:c>
      <x:c r="B74" s="59" t="str">
        <x:v>E16</x:v>
      </x:c>
      <x:c r="C74" s="59" t="str">
        <x:v>MTN Group</x:v>
      </x:c>
      <x:c r="D74" s="59" t="str">
        <x:v>revenue</x:v>
      </x:c>
      <x:c r="E74" s="60" t="n">
        <x:v>226707</x:v>
      </x:c>
      <x:c r="F74" s="59" t="str">
        <x:v>million</x:v>
      </x:c>
      <x:c r="G74" s="59" t="str">
        <x:v>ZAR</x:v>
      </x:c>
      <x:c r="H74" s="59" t="str">
        <x:v>2025-01-01</x:v>
      </x:c>
      <x:c r="I74" s="59" t="str">
        <x:v>2025-12-31</x:v>
      </x:c>
      <x:c r="J74" s="59" t="str">
        <x:v>2026-03-16</x:v>
      </x:c>
      <x:c r="K74" s="59" t="str">
        <x:v>E1</x:v>
      </x:c>
      <x:c r="L74" s="61" t="n">
        <x:v>0.99</x:v>
      </x:c>
      <x:c r="M74" s="59" t="str">
        <x:v>PENDING_REVIEW</x:v>
      </x:c>
      <x:c r="N74" s="59" t="str">
        <x:v>MTN Group Annual Financial Statements 2025</x:v>
      </x:c>
      <x:c r="O74" s="59" t="n">
        <x:v>21</x:v>
      </x:c>
      <x:c r="P74" s="59" t="str">
        <x:v>https://www.mtn.com/wp-content/uploads/2026/03/MTN-Group-FY-25-Annual-Financial-Statements.pdf</x:v>
      </x:c>
      <x:c r="Q74" s="59" t="str">
        <x:v>bea72f5adefd24ecb4dd8ed36e523730e19a3efb2fa9f79b63567bc4fac2e59b</x:v>
      </x:c>
      <x:c r="R74" s="59" t="str">
        <x:v>Candidate only; excluded from approved-anchor claims</x:v>
      </x:c>
    </x:row>
    <x:row r="75">
      <x:c r="A75" s="59" t="str">
        <x:v>VODACOM-2026-CASH</x:v>
      </x:c>
      <x:c r="B75" s="59" t="str">
        <x:v>E17</x:v>
      </x:c>
      <x:c r="C75" s="59" t="str">
        <x:v>Vodacom Group</x:v>
      </x:c>
      <x:c r="D75" s="59" t="str">
        <x:v>cash_and_cash_equivalents</x:v>
      </x:c>
      <x:c r="E75" s="60" t="n">
        <x:v>31209</x:v>
      </x:c>
      <x:c r="F75" s="59" t="str">
        <x:v>million</x:v>
      </x:c>
      <x:c r="G75" s="59" t="str">
        <x:v>ZAR</x:v>
      </x:c>
      <x:c r="H75" s="59" t="str">
        <x:v>2026-03-31</x:v>
      </x:c>
      <x:c r="I75" s="59" t="str">
        <x:v>2026-03-31</x:v>
      </x:c>
      <x:c r="J75" s="59" t="str">
        <x:v>2026-06-12</x:v>
      </x:c>
      <x:c r="K75" s="59" t="str">
        <x:v>E1</x:v>
      </x:c>
      <x:c r="L75" s="61" t="n">
        <x:v>0.99</x:v>
      </x:c>
      <x:c r="M75" s="59" t="str">
        <x:v>PENDING_REVIEW</x:v>
      </x:c>
      <x:c r="N75" s="59" t="str">
        <x:v>Vodacom Consolidated and Separate Financial Statements 2026</x:v>
      </x:c>
      <x:c r="O75" s="59" t="n">
        <x:v>21</x:v>
      </x:c>
      <x:c r="P75" s="59" t="str">
        <x:v>https://vodacom-reports.co.za/integrated-reports/ir-2026/documents/vodacom-consolidated-and-separate-financial-statements-2026.pdf</x:v>
      </x:c>
      <x:c r="Q75" s="59" t="str">
        <x:v>d6f149d15a1e7a0edc82acd536f2d59644e2c9acce621a65878aa322390fd896</x:v>
      </x:c>
      <x:c r="R75" s="59" t="str">
        <x:v>Candidate only; excluded from approved-anchor claims</x:v>
      </x:c>
    </x:row>
    <x:row r="76">
      <x:c r="A76" s="59" t="str">
        <x:v>VODACOM-2026-DEBT</x:v>
      </x:c>
      <x:c r="B76" s="59" t="str">
        <x:v>E17</x:v>
      </x:c>
      <x:c r="C76" s="59" t="str">
        <x:v>Vodacom Group</x:v>
      </x:c>
      <x:c r="D76" s="59" t="str">
        <x:v>current_debt</x:v>
      </x:c>
      <x:c r="E76" s="60" t="n">
        <x:v>8781</x:v>
      </x:c>
      <x:c r="F76" s="59" t="str">
        <x:v>million</x:v>
      </x:c>
      <x:c r="G76" s="59" t="str">
        <x:v>ZAR</x:v>
      </x:c>
      <x:c r="H76" s="59" t="str">
        <x:v>2026-03-31</x:v>
      </x:c>
      <x:c r="I76" s="59" t="str">
        <x:v>2026-03-31</x:v>
      </x:c>
      <x:c r="J76" s="59" t="str">
        <x:v>2026-06-12</x:v>
      </x:c>
      <x:c r="K76" s="59" t="str">
        <x:v>E1</x:v>
      </x:c>
      <x:c r="L76" s="61" t="n">
        <x:v>0.99</x:v>
      </x:c>
      <x:c r="M76" s="59" t="str">
        <x:v>PENDING_REVIEW</x:v>
      </x:c>
      <x:c r="N76" s="59" t="str">
        <x:v>Vodacom Consolidated and Separate Financial Statements 2026</x:v>
      </x:c>
      <x:c r="O76" s="59" t="n">
        <x:v>21</x:v>
      </x:c>
      <x:c r="P76" s="59" t="str">
        <x:v>https://vodacom-reports.co.za/integrated-reports/ir-2026/documents/vodacom-consolidated-and-separate-financial-statements-2026.pdf</x:v>
      </x:c>
      <x:c r="Q76" s="59" t="str">
        <x:v>d6f149d15a1e7a0edc82acd536f2d59644e2c9acce621a65878aa322390fd896</x:v>
      </x:c>
      <x:c r="R76" s="59" t="str">
        <x:v>Candidate only; excluded from approved-anchor claims</x:v>
      </x:c>
    </x:row>
    <x:row r="77">
      <x:c r="A77" s="59" t="str">
        <x:v>VODACOM-2026-REV</x:v>
      </x:c>
      <x:c r="B77" s="59" t="str">
        <x:v>E17</x:v>
      </x:c>
      <x:c r="C77" s="59" t="str">
        <x:v>Vodacom Group</x:v>
      </x:c>
      <x:c r="D77" s="59" t="str">
        <x:v>revenue</x:v>
      </x:c>
      <x:c r="E77" s="60" t="n">
        <x:v>167652</x:v>
      </x:c>
      <x:c r="F77" s="59" t="str">
        <x:v>million</x:v>
      </x:c>
      <x:c r="G77" s="59" t="str">
        <x:v>ZAR</x:v>
      </x:c>
      <x:c r="H77" s="59" t="str">
        <x:v>2025-04-01</x:v>
      </x:c>
      <x:c r="I77" s="59" t="str">
        <x:v>2026-03-31</x:v>
      </x:c>
      <x:c r="J77" s="59" t="str">
        <x:v>2026-06-12</x:v>
      </x:c>
      <x:c r="K77" s="59" t="str">
        <x:v>E1</x:v>
      </x:c>
      <x:c r="L77" s="61" t="n">
        <x:v>0.99</x:v>
      </x:c>
      <x:c r="M77" s="59" t="str">
        <x:v>PENDING_REVIEW</x:v>
      </x:c>
      <x:c r="N77" s="59" t="str">
        <x:v>Vodacom Consolidated and Separate Financial Statements 2026</x:v>
      </x:c>
      <x:c r="O77" s="59" t="n">
        <x:v>19</x:v>
      </x:c>
      <x:c r="P77" s="59" t="str">
        <x:v>https://vodacom-reports.co.za/integrated-reports/ir-2026/documents/vodacom-consolidated-and-separate-financial-statements-2026.pdf</x:v>
      </x:c>
      <x:c r="Q77" s="59" t="str">
        <x:v>d6f149d15a1e7a0edc82acd536f2d59644e2c9acce621a65878aa322390fd896</x:v>
      </x:c>
      <x:c r="R77" s="59" t="str">
        <x:v>Candidate only; excluded from approved-anchor claims</x:v>
      </x:c>
    </x:row>
    <x:row r="78">
      <x:c r="A78" s="59" t="str">
        <x:v>BIDVEST-2025-CASH</x:v>
      </x:c>
      <x:c r="B78" s="59" t="str">
        <x:v>E18</x:v>
      </x:c>
      <x:c r="C78" s="59" t="str">
        <x:v>The Bidvest Group</x:v>
      </x:c>
      <x:c r="D78" s="59" t="str">
        <x:v>cash_and_cash_equivalents</x:v>
      </x:c>
      <x:c r="E78" s="60" t="n">
        <x:v>6193.64</x:v>
      </x:c>
      <x:c r="F78" s="59" t="str">
        <x:v>million</x:v>
      </x:c>
      <x:c r="G78" s="59" t="str">
        <x:v>ZAR</x:v>
      </x:c>
      <x:c r="H78" s="59" t="str">
        <x:v>2025-06-30</x:v>
      </x:c>
      <x:c r="I78" s="59" t="str">
        <x:v>2025-06-30</x:v>
      </x:c>
      <x:c r="J78" s="59" t="str">
        <x:v>2025-10-24</x:v>
      </x:c>
      <x:c r="K78" s="59" t="str">
        <x:v>E1</x:v>
      </x:c>
      <x:c r="L78" s="61" t="n">
        <x:v>0.98</x:v>
      </x:c>
      <x:c r="M78" s="59" t="str">
        <x:v>PENDING_REVIEW</x:v>
      </x:c>
      <x:c r="N78" s="59" t="str">
        <x:v>Bidvest Integrated Report 2025</x:v>
      </x:c>
      <x:c r="O78" s="59" t="n">
        <x:v>43</x:v>
      </x:c>
      <x:c r="P78" s="59" t="str">
        <x:v>https://bidvest.co.za/pdf/annual-reports/2025/bidvest-iar-2025.pdf</x:v>
      </x:c>
      <x:c r="Q78" s="59" t="str">
        <x:v>2a44e26a70a3c05c45814de4aba756ef39bfa15e05137f49edd3ec22b722260a</x:v>
      </x:c>
      <x:c r="R78" s="59" t="str">
        <x:v>Candidate only; excluded from approved-anchor claims</x:v>
      </x:c>
    </x:row>
    <x:row r="79">
      <x:c r="A79" s="59" t="str">
        <x:v>BIDVEST-2025-DEBT</x:v>
      </x:c>
      <x:c r="B79" s="59" t="str">
        <x:v>E18</x:v>
      </x:c>
      <x:c r="C79" s="59" t="str">
        <x:v>The Bidvest Group</x:v>
      </x:c>
      <x:c r="D79" s="59" t="str">
        <x:v>current_debt</x:v>
      </x:c>
      <x:c r="E79" s="60" t="n">
        <x:v>5336.11</x:v>
      </x:c>
      <x:c r="F79" s="59" t="str">
        <x:v>million</x:v>
      </x:c>
      <x:c r="G79" s="59" t="str">
        <x:v>ZAR</x:v>
      </x:c>
      <x:c r="H79" s="59" t="str">
        <x:v>2025-06-30</x:v>
      </x:c>
      <x:c r="I79" s="59" t="str">
        <x:v>2025-06-30</x:v>
      </x:c>
      <x:c r="J79" s="59" t="str">
        <x:v>2025-10-24</x:v>
      </x:c>
      <x:c r="K79" s="59" t="str">
        <x:v>E1</x:v>
      </x:c>
      <x:c r="L79" s="61" t="n">
        <x:v>0.98</x:v>
      </x:c>
      <x:c r="M79" s="59" t="str">
        <x:v>PENDING_REVIEW</x:v>
      </x:c>
      <x:c r="N79" s="59" t="str">
        <x:v>Bidvest Integrated Report 2025</x:v>
      </x:c>
      <x:c r="O79" s="59" t="n">
        <x:v>44</x:v>
      </x:c>
      <x:c r="P79" s="59" t="str">
        <x:v>https://bidvest.co.za/pdf/annual-reports/2025/bidvest-iar-2025.pdf</x:v>
      </x:c>
      <x:c r="Q79" s="59" t="str">
        <x:v>2a44e26a70a3c05c45814de4aba756ef39bfa15e05137f49edd3ec22b722260a</x:v>
      </x:c>
      <x:c r="R79" s="59" t="str">
        <x:v>Candidate only; excluded from approved-anchor claims</x:v>
      </x:c>
    </x:row>
    <x:row r="80">
      <x:c r="A80" s="59" t="str">
        <x:v>BIDVEST-2025-REV</x:v>
      </x:c>
      <x:c r="B80" s="59" t="str">
        <x:v>E18</x:v>
      </x:c>
      <x:c r="C80" s="59" t="str">
        <x:v>The Bidvest Group</x:v>
      </x:c>
      <x:c r="D80" s="59" t="str">
        <x:v>revenue</x:v>
      </x:c>
      <x:c r="E80" s="60" t="n">
        <x:v>126605.41</x:v>
      </x:c>
      <x:c r="F80" s="59" t="str">
        <x:v>million</x:v>
      </x:c>
      <x:c r="G80" s="59" t="str">
        <x:v>ZAR</x:v>
      </x:c>
      <x:c r="H80" s="59" t="str">
        <x:v>2024-07-01</x:v>
      </x:c>
      <x:c r="I80" s="59" t="str">
        <x:v>2025-06-30</x:v>
      </x:c>
      <x:c r="J80" s="59" t="str">
        <x:v>2025-10-24</x:v>
      </x:c>
      <x:c r="K80" s="59" t="str">
        <x:v>E1</x:v>
      </x:c>
      <x:c r="L80" s="61" t="n">
        <x:v>0.98</x:v>
      </x:c>
      <x:c r="M80" s="59" t="str">
        <x:v>PENDING_REVIEW</x:v>
      </x:c>
      <x:c r="N80" s="59" t="str">
        <x:v>Bidvest Integrated Report 2025</x:v>
      </x:c>
      <x:c r="O80" s="59" t="n">
        <x:v>40</x:v>
      </x:c>
      <x:c r="P80" s="59" t="str">
        <x:v>https://bidvest.co.za/pdf/annual-reports/2025/bidvest-iar-2025.pdf</x:v>
      </x:c>
      <x:c r="Q80" s="59" t="str">
        <x:v>2a44e26a70a3c05c45814de4aba756ef39bfa15e05137f49edd3ec22b722260a</x:v>
      </x:c>
      <x:c r="R80" s="59" t="str">
        <x:v>Candidate only; excluded from approved-anchor claims</x:v>
      </x:c>
    </x:row>
    <x:row r="81">
      <x:c r="A81" s="59" t="str">
        <x:v>ASPEN-2025-CASH</x:v>
      </x:c>
      <x:c r="B81" s="59" t="str">
        <x:v>E19</x:v>
      </x:c>
      <x:c r="C81" s="59" t="str">
        <x:v>Aspen Pharmacare</x:v>
      </x:c>
      <x:c r="D81" s="59" t="str">
        <x:v>cash_and_cash_equivalents</x:v>
      </x:c>
      <x:c r="E81" s="60" t="n">
        <x:v>6409</x:v>
      </x:c>
      <x:c r="F81" s="59" t="str">
        <x:v>million</x:v>
      </x:c>
      <x:c r="G81" s="59" t="str">
        <x:v>ZAR</x:v>
      </x:c>
      <x:c r="H81" s="59" t="str">
        <x:v>2025-06-30</x:v>
      </x:c>
      <x:c r="I81" s="59" t="str">
        <x:v>2025-06-30</x:v>
      </x:c>
      <x:c r="J81" s="59" t="str">
        <x:v>2025-10-02</x:v>
      </x:c>
      <x:c r="K81" s="59" t="str">
        <x:v>E1</x:v>
      </x:c>
      <x:c r="L81" s="61" t="n">
        <x:v>0.99</x:v>
      </x:c>
      <x:c r="M81" s="59" t="str">
        <x:v>PENDING_REVIEW</x:v>
      </x:c>
      <x:c r="N81" s="59" t="str">
        <x:v>Aspen Annual Financial Statements 2025</x:v>
      </x:c>
      <x:c r="O81" s="59" t="n">
        <x:v>15</x:v>
      </x:c>
      <x:c r="P81" s="59" t="str">
        <x:v>https://www.aspenpharma.com/download/annual-financial-statements-2/</x:v>
      </x:c>
      <x:c r="Q81" s="59" t="str">
        <x:v>a091fee4d4b575781836440b929291617c128f8f857b2dd0a7e0dfb4c1bcc53d</x:v>
      </x:c>
      <x:c r="R81" s="59" t="str">
        <x:v>Candidate only; excluded from approved-anchor claims</x:v>
      </x:c>
    </x:row>
    <x:row r="82">
      <x:c r="A82" s="59" t="str">
        <x:v>ASPEN-2025-DEBT</x:v>
      </x:c>
      <x:c r="B82" s="59" t="str">
        <x:v>E19</x:v>
      </x:c>
      <x:c r="C82" s="59" t="str">
        <x:v>Aspen Pharmacare</x:v>
      </x:c>
      <x:c r="D82" s="59" t="str">
        <x:v>current_debt</x:v>
      </x:c>
      <x:c r="E82" s="60" t="n">
        <x:v>4612</x:v>
      </x:c>
      <x:c r="F82" s="59" t="str">
        <x:v>million</x:v>
      </x:c>
      <x:c r="G82" s="59" t="str">
        <x:v>ZAR</x:v>
      </x:c>
      <x:c r="H82" s="59" t="str">
        <x:v>2025-06-30</x:v>
      </x:c>
      <x:c r="I82" s="59" t="str">
        <x:v>2025-06-30</x:v>
      </x:c>
      <x:c r="J82" s="59" t="str">
        <x:v>2025-10-02</x:v>
      </x:c>
      <x:c r="K82" s="59" t="str">
        <x:v>E1</x:v>
      </x:c>
      <x:c r="L82" s="61" t="n">
        <x:v>0.99</x:v>
      </x:c>
      <x:c r="M82" s="59" t="str">
        <x:v>PENDING_REVIEW</x:v>
      </x:c>
      <x:c r="N82" s="59" t="str">
        <x:v>Aspen Annual Financial Statements 2025</x:v>
      </x:c>
      <x:c r="O82" s="59" t="n">
        <x:v>15</x:v>
      </x:c>
      <x:c r="P82" s="59" t="str">
        <x:v>https://www.aspenpharma.com/download/annual-financial-statements-2/</x:v>
      </x:c>
      <x:c r="Q82" s="59" t="str">
        <x:v>a091fee4d4b575781836440b929291617c128f8f857b2dd0a7e0dfb4c1bcc53d</x:v>
      </x:c>
      <x:c r="R82" s="59" t="str">
        <x:v>Candidate only; excluded from approved-anchor claims</x:v>
      </x:c>
    </x:row>
    <x:row r="83">
      <x:c r="A83" s="59" t="str">
        <x:v>ASPEN-2025-REV</x:v>
      </x:c>
      <x:c r="B83" s="59" t="str">
        <x:v>E19</x:v>
      </x:c>
      <x:c r="C83" s="59" t="str">
        <x:v>Aspen Pharmacare</x:v>
      </x:c>
      <x:c r="D83" s="59" t="str">
        <x:v>revenue</x:v>
      </x:c>
      <x:c r="E83" s="60" t="n">
        <x:v>43363</x:v>
      </x:c>
      <x:c r="F83" s="59" t="str">
        <x:v>million</x:v>
      </x:c>
      <x:c r="G83" s="59" t="str">
        <x:v>ZAR</x:v>
      </x:c>
      <x:c r="H83" s="59" t="str">
        <x:v>2024-07-01</x:v>
      </x:c>
      <x:c r="I83" s="59" t="str">
        <x:v>2025-06-30</x:v>
      </x:c>
      <x:c r="J83" s="59" t="str">
        <x:v>2025-10-02</x:v>
      </x:c>
      <x:c r="K83" s="59" t="str">
        <x:v>E1</x:v>
      </x:c>
      <x:c r="L83" s="61" t="n">
        <x:v>0.99</x:v>
      </x:c>
      <x:c r="M83" s="59" t="str">
        <x:v>PENDING_REVIEW</x:v>
      </x:c>
      <x:c r="N83" s="59" t="str">
        <x:v>Aspen Annual Financial Statements 2025</x:v>
      </x:c>
      <x:c r="O83" s="59" t="n">
        <x:v>16</x:v>
      </x:c>
      <x:c r="P83" s="59" t="str">
        <x:v>https://www.aspenpharma.com/download/annual-financial-statements-2/</x:v>
      </x:c>
      <x:c r="Q83" s="59" t="str">
        <x:v>a091fee4d4b575781836440b929291617c128f8f857b2dd0a7e0dfb4c1bcc53d</x:v>
      </x:c>
      <x:c r="R83" s="59" t="str">
        <x:v>Candidate only; excluded from approved-anchor claims</x:v>
      </x:c>
    </x:row>
    <x:row r="84">
      <x:c r="A84" s="59" t="str">
        <x:v>SHC-2025-CASH</x:v>
      </x:c>
      <x:c r="B84" s="59" t="str">
        <x:v>E20</x:v>
      </x:c>
      <x:c r="C84" s="59" t="str">
        <x:v>Shaftesbury Capital plc</x:v>
      </x:c>
      <x:c r="D84" s="59" t="str">
        <x:v>cash_and_cash_equivalents</x:v>
      </x:c>
      <x:c r="E84" s="60" t="n">
        <x:v>361.4</x:v>
      </x:c>
      <x:c r="F84" s="59" t="str">
        <x:v>million</x:v>
      </x:c>
      <x:c r="G84" s="59" t="str">
        <x:v>GBP</x:v>
      </x:c>
      <x:c r="H84" s="59" t="str">
        <x:v>2025-12-31</x:v>
      </x:c>
      <x:c r="I84" s="59" t="str">
        <x:v>2025-12-31</x:v>
      </x:c>
      <x:c r="J84" s="59" t="str">
        <x:v>2026-02-25</x:v>
      </x:c>
      <x:c r="K84" s="59" t="str">
        <x:v>E1</x:v>
      </x:c>
      <x:c r="L84" s="61" t="n">
        <x:v>0.98</x:v>
      </x:c>
      <x:c r="M84" s="59" t="str">
        <x:v>PENDING_REVIEW</x:v>
      </x:c>
      <x:c r="N84" s="59" t="str">
        <x:v>Shaftesbury Capital Audited Preliminary Results 2025</x:v>
      </x:c>
      <x:c r="O84" s="59" t="n">
        <x:v>22</x:v>
      </x:c>
      <x:c r="P84" s="59" t="str">
        <x:v>https://senspdf.jse.co.za/documents/2026/JSE/isse/SHCE/FY25Result.pdf</x:v>
      </x:c>
      <x:c r="Q84" s="59" t="str">
        <x:v>71bcff13a20668eea8842f5ef28273ba787b0042b2fe7e1ea9faeb03b581ed53</x:v>
      </x:c>
      <x:c r="R84" s="59" t="str">
        <x:v>Candidate only; excluded from approved-anchor claims</x:v>
      </x:c>
    </x:row>
    <x:row r="85">
      <x:c r="A85" s="59" t="str">
        <x:v>SHC-2025-DEBT</x:v>
      </x:c>
      <x:c r="B85" s="59" t="str">
        <x:v>E20</x:v>
      </x:c>
      <x:c r="C85" s="59" t="str">
        <x:v>Shaftesbury Capital plc</x:v>
      </x:c>
      <x:c r="D85" s="59" t="str">
        <x:v>current_debt</x:v>
      </x:c>
      <x:c r="E85" s="60" t="n">
        <x:v>438.4</x:v>
      </x:c>
      <x:c r="F85" s="59" t="str">
        <x:v>million</x:v>
      </x:c>
      <x:c r="G85" s="59" t="str">
        <x:v>GBP</x:v>
      </x:c>
      <x:c r="H85" s="59" t="str">
        <x:v>2025-12-31</x:v>
      </x:c>
      <x:c r="I85" s="59" t="str">
        <x:v>2025-12-31</x:v>
      </x:c>
      <x:c r="J85" s="59" t="str">
        <x:v>2026-02-25</x:v>
      </x:c>
      <x:c r="K85" s="59" t="str">
        <x:v>E1</x:v>
      </x:c>
      <x:c r="L85" s="61" t="n">
        <x:v>0.98</x:v>
      </x:c>
      <x:c r="M85" s="59" t="str">
        <x:v>PENDING_REVIEW</x:v>
      </x:c>
      <x:c r="N85" s="59" t="str">
        <x:v>Shaftesbury Capital Audited Preliminary Results 2025</x:v>
      </x:c>
      <x:c r="O85" s="59" t="n">
        <x:v>22</x:v>
      </x:c>
      <x:c r="P85" s="59" t="str">
        <x:v>https://senspdf.jse.co.za/documents/2026/JSE/isse/SHCE/FY25Result.pdf</x:v>
      </x:c>
      <x:c r="Q85" s="59" t="str">
        <x:v>71bcff13a20668eea8842f5ef28273ba787b0042b2fe7e1ea9faeb03b581ed53</x:v>
      </x:c>
      <x:c r="R85" s="59" t="str">
        <x:v>Candidate only; excluded from approved-anchor claims</x:v>
      </x:c>
    </x:row>
    <x:row r="86">
      <x:c r="A86" s="59" t="str">
        <x:v>SHC-2025-REV</x:v>
      </x:c>
      <x:c r="B86" s="59" t="str">
        <x:v>E20</x:v>
      </x:c>
      <x:c r="C86" s="59" t="str">
        <x:v>Shaftesbury Capital plc</x:v>
      </x:c>
      <x:c r="D86" s="59" t="str">
        <x:v>revenue</x:v>
      </x:c>
      <x:c r="E86" s="60" t="n">
        <x:v>238.9</x:v>
      </x:c>
      <x:c r="F86" s="59" t="str">
        <x:v>million</x:v>
      </x:c>
      <x:c r="G86" s="59" t="str">
        <x:v>GBP</x:v>
      </x:c>
      <x:c r="H86" s="59" t="str">
        <x:v>2025-01-01</x:v>
      </x:c>
      <x:c r="I86" s="59" t="str">
        <x:v>2025-12-31</x:v>
      </x:c>
      <x:c r="J86" s="59" t="str">
        <x:v>2026-02-25</x:v>
      </x:c>
      <x:c r="K86" s="59" t="str">
        <x:v>E1</x:v>
      </x:c>
      <x:c r="L86" s="61" t="n">
        <x:v>0.98</x:v>
      </x:c>
      <x:c r="M86" s="59" t="str">
        <x:v>PENDING_REVIEW</x:v>
      </x:c>
      <x:c r="N86" s="59" t="str">
        <x:v>Shaftesbury Capital Audited Preliminary Results 2025</x:v>
      </x:c>
      <x:c r="O86" s="59" t="n">
        <x:v>21</x:v>
      </x:c>
      <x:c r="P86" s="59" t="str">
        <x:v>https://senspdf.jse.co.za/documents/2026/JSE/isse/SHCE/FY25Result.pdf</x:v>
      </x:c>
      <x:c r="Q86" s="59" t="str">
        <x:v>71bcff13a20668eea8842f5ef28273ba787b0042b2fe7e1ea9faeb03b581ed53</x:v>
      </x:c>
      <x:c r="R86" s="59" t="str">
        <x:v>Candidate only; excluded from approved-anchor claims</x:v>
      </x:c>
    </x:row>
  </x:sheetData>
  <x:mergeCells>
    <x:mergeCell ref="A1:R1"/>
    <x:mergeCell ref="A2:R2"/>
  </x:mergeCells>
  <x:conditionalFormatting sqref="A5:R86">
    <x:cfRule type="expression" dxfId="0" priority="1">
      <x:formula>$M5="APPROVED"</x:formula>
    </x:cfRule>
    <x:cfRule type="expression" dxfId="1" priority="2">
      <x:formula>$M5="PENDING_REVIEW"</x:formula>
    </x:cfRule>
  </x:conditionalFormatting>
  <x:pageMargins left="0.7" right="0.7" top="0.75" bottom="0.75" header="0.3" footer="0.3"/>
  <x:legacyDrawing xmlns:r="http://schemas.openxmlformats.org/officeDocument/2006/relationships" r:id="R08bfc9dfd6c44312"/>
</x:worksheet>
</file>

<file path=xl/worksheets/sheet3.xml><?xml version="1.0" encoding="utf-8"?>
<x:worksheet xmlns:x="http://schemas.openxmlformats.org/spreadsheetml/2006/main">
  <x:sheetViews>
    <x:sheetView showGridLines="0" workbookViewId="0"/>
  </x:sheetViews>
  <x:sheetFormatPr defaultRowHeight="15"/>
  <x:cols>
    <x:col min="1" max="1" width="17" hidden="0" customWidth="1"/>
    <x:col min="2" max="2" width="24" hidden="0" customWidth="1"/>
    <x:col min="3" max="3" width="17" hidden="0" customWidth="1"/>
    <x:col min="4" max="4" width="17" hidden="0" customWidth="1"/>
    <x:col min="5" max="5" width="17" hidden="0" customWidth="1"/>
    <x:col min="6" max="6" width="17" hidden="0" customWidth="1"/>
    <x:col min="7" max="7" width="42" hidden="0" customWidth="1"/>
    <x:col min="8" max="8" width="17" hidden="0" customWidth="1"/>
    <x:col min="9" max="9" width="17" hidden="0" customWidth="1"/>
    <x:col min="10" max="10" width="40" hidden="0" customWidth="1"/>
    <x:col min="12" max="12" width="24" hidden="0" customWidth="1"/>
  </x:cols>
  <x:sheetData>
    <x:row r="1" ht="35" customHeight="1">
      <x:c r="A1" s="3" t="str">
        <x:v>Client Evidence Coverage</x:v>
      </x:c>
      <x:c r="B1" s="3"/>
      <x:c r="C1" s="3"/>
      <x:c r="D1" s="3"/>
      <x:c r="E1" s="3"/>
      <x:c r="F1" s="3"/>
      <x:c r="G1" s="3"/>
      <x:c r="H1" s="3"/>
      <x:c r="I1" s="3"/>
      <x:c r="J1" s="3"/>
    </x:row>
    <x:row r="2" ht="26" customHeight="1">
      <x:c r="A2" s="7" t="str">
        <x:v>Coverage counts derive directly from the Public Facts sheet; approval is not inferred from presence.</x:v>
      </x:c>
      <x:c r="B2" s="7"/>
      <x:c r="C2" s="7"/>
      <x:c r="D2" s="7"/>
      <x:c r="E2" s="7"/>
      <x:c r="F2" s="7"/>
      <x:c r="G2" s="7"/>
      <x:c r="H2" s="7"/>
      <x:c r="I2" s="7"/>
      <x:c r="J2" s="7"/>
    </x:row>
    <x:row r="4" ht="30" customHeight="1">
      <x:c r="A4" s="67" t="str">
        <x:v>Entity ID</x:v>
      </x:c>
      <x:c r="B4" s="67" t="str">
        <x:v>Entity name</x:v>
      </x:c>
      <x:c r="C4" s="67" t="str">
        <x:v>Total E1 facts</x:v>
      </x:c>
      <x:c r="D4" s="67" t="str">
        <x:v>Approved</x:v>
      </x:c>
      <x:c r="E4" s="67" t="str">
        <x:v>Pending review</x:v>
      </x:c>
      <x:c r="F4" s="67" t="str">
        <x:v>Approval rate</x:v>
      </x:c>
      <x:c r="G4" s="67" t="str">
        <x:v>Concepts represented</x:v>
      </x:c>
      <x:c r="H4" s="67" t="str">
        <x:v>Source documents</x:v>
      </x:c>
      <x:c r="I4" s="67" t="str">
        <x:v>Coverage status</x:v>
      </x:c>
      <x:c r="J4" s="67" t="str">
        <x:v>Decision boundary</x:v>
      </x:c>
      <x:c r="L4" s="72" t="str">
        <x:v>Client</x:v>
      </x:c>
      <x:c r="M4" s="72" t="str">
        <x:v>Approved</x:v>
      </x:c>
      <x:c r="N4" s="72" t="str">
        <x:v>Pending</x:v>
      </x:c>
    </x:row>
    <x:row r="5">
      <x:c r="A5" s="59" t="str">
        <x:v>E01</x:v>
      </x:c>
      <x:c r="B5" s="59" t="str">
        <x:v>BHP Group</x:v>
      </x:c>
      <x:c r="C5" s="59" t="n">
        <x:f>COUNTIF('Public Facts'!$B$5:$B$86,A5)</x:f>
        <x:v>10</x:v>
      </x:c>
      <x:c r="D5" s="59" t="n">
        <x:f>COUNTIFS('Public Facts'!$B$5:$B$86,A5,'Public Facts'!$M$5:$M$86,"APPROVED")</x:f>
        <x:v>10</x:v>
      </x:c>
      <x:c r="E5" s="59" t="n">
        <x:f>COUNTIFS('Public Facts'!$B$5:$B$86,A5,'Public Facts'!$M$5:$M$86,"PENDING_REVIEW")</x:f>
        <x:v>0</x:v>
      </x:c>
      <x:c r="F5" s="61" t="n">
        <x:f>IF(C5=0,0,D5/C5)</x:f>
        <x:v>1</x:v>
      </x:c>
      <x:c r="G5" s="59" t="str">
        <x:v>current_debt, fx_exposure, inventories_close, inventories_open, operating_cost_base, revenue, trade_payables_close, trade_payables_open, trade_receivables_close, trade_receivables_open</x:v>
      </x:c>
      <x:c r="H5" s="59" t="n">
        <x:v>1</x:v>
      </x:c>
      <x:c r="I5" s="59" t="str">
        <x:f>IF(D5=C5,"APPROVED",IF(D5&gt;0,"PARTIAL","PENDING"))</x:f>
        <x:v>APPROVED</x:v>
      </x:c>
      <x:c r="J5" s="59" t="str">
        <x:v>E1 public evidence only; E3 required for measured share</x:v>
      </x:c>
      <x:c r="L5" s="59" t="str">
        <x:v>BHP Group</x:v>
      </x:c>
      <x:c r="M5" s="59" t="n">
        <x:f>D5</x:f>
        <x:v>10</x:v>
      </x:c>
      <x:c r="N5" s="59" t="n">
        <x:f>E5</x:f>
        <x:v>0</x:v>
      </x:c>
    </x:row>
    <x:row r="6">
      <x:c r="A6" s="59" t="str">
        <x:v>E02</x:v>
      </x:c>
      <x:c r="B6" s="59" t="str">
        <x:v>Glencore</x:v>
      </x:c>
      <x:c r="C6" s="59" t="n">
        <x:f>COUNTIF('Public Facts'!$B$5:$B$86,A6)</x:f>
        <x:v>10</x:v>
      </x:c>
      <x:c r="D6" s="59" t="n">
        <x:f>COUNTIFS('Public Facts'!$B$5:$B$86,A6,'Public Facts'!$M$5:$M$86,"APPROVED")</x:f>
        <x:v>10</x:v>
      </x:c>
      <x:c r="E6" s="59" t="n">
        <x:f>COUNTIFS('Public Facts'!$B$5:$B$86,A6,'Public Facts'!$M$5:$M$86,"PENDING_REVIEW")</x:f>
        <x:v>0</x:v>
      </x:c>
      <x:c r="F6" s="61" t="n">
        <x:f>IF(C6=0,0,D6/C6)</x:f>
        <x:v>1</x:v>
      </x:c>
      <x:c r="G6" s="59" t="str">
        <x:v>current_debt, fx_exposure, inventories_close, inventories_open, operating_cost_base, revenue, trade_payables_close, trade_payables_open, trade_receivables_close, trade_receivables_open</x:v>
      </x:c>
      <x:c r="H6" s="59" t="n">
        <x:v>1</x:v>
      </x:c>
      <x:c r="I6" s="59" t="str">
        <x:f>IF(D6=C6,"APPROVED",IF(D6&gt;0,"PARTIAL","PENDING"))</x:f>
        <x:v>APPROVED</x:v>
      </x:c>
      <x:c r="J6" s="59" t="str">
        <x:v>E1 public evidence only; E3 required for measured share</x:v>
      </x:c>
      <x:c r="L6" s="59" t="str">
        <x:v>Glencore</x:v>
      </x:c>
      <x:c r="M6" s="59" t="n">
        <x:f>D6</x:f>
        <x:v>10</x:v>
      </x:c>
      <x:c r="N6" s="59" t="n">
        <x:f>E6</x:f>
        <x:v>0</x:v>
      </x:c>
    </x:row>
    <x:row r="7">
      <x:c r="A7" s="59" t="str">
        <x:v>E03</x:v>
      </x:c>
      <x:c r="B7" s="59" t="str">
        <x:v>Anglo American</x:v>
      </x:c>
      <x:c r="C7" s="59" t="n">
        <x:f>COUNTIF('Public Facts'!$B$5:$B$86,A7)</x:f>
        <x:v>3</x:v>
      </x:c>
      <x:c r="D7" s="59" t="n">
        <x:f>COUNTIFS('Public Facts'!$B$5:$B$86,A7,'Public Facts'!$M$5:$M$86,"APPROVED")</x:f>
        <x:v>0</x:v>
      </x:c>
      <x:c r="E7" s="59" t="n">
        <x:f>COUNTIFS('Public Facts'!$B$5:$B$86,A7,'Public Facts'!$M$5:$M$86,"PENDING_REVIEW")</x:f>
        <x:v>3</x:v>
      </x:c>
      <x:c r="F7" s="61" t="n">
        <x:f>IF(C7=0,0,D7/C7)</x:f>
        <x:v>0</x:v>
      </x:c>
      <x:c r="G7" s="59" t="str">
        <x:v>cash_and_cash_equivalents, current_debt, revenue</x:v>
      </x:c>
      <x:c r="H7" s="59" t="n">
        <x:v>1</x:v>
      </x:c>
      <x:c r="I7" s="59" t="str">
        <x:f>IF(D7=C7,"APPROVED",IF(D7&gt;0,"PARTIAL","PENDING"))</x:f>
        <x:v>PENDING</x:v>
      </x:c>
      <x:c r="J7" s="59" t="str">
        <x:v>E1 public evidence only; E3 required for measured share</x:v>
      </x:c>
      <x:c r="L7" s="59" t="str">
        <x:v>Anglo American</x:v>
      </x:c>
      <x:c r="M7" s="59" t="n">
        <x:f>D7</x:f>
        <x:v>0</x:v>
      </x:c>
      <x:c r="N7" s="59" t="n">
        <x:f>E7</x:f>
        <x:v>3</x:v>
      </x:c>
    </x:row>
    <x:row r="8">
      <x:c r="A8" s="59" t="str">
        <x:v>E04</x:v>
      </x:c>
      <x:c r="B8" s="59" t="str">
        <x:v>AngloGold Ashanti</x:v>
      </x:c>
      <x:c r="C8" s="59" t="n">
        <x:f>COUNTIF('Public Facts'!$B$5:$B$86,A8)</x:f>
        <x:v>3</x:v>
      </x:c>
      <x:c r="D8" s="59" t="n">
        <x:f>COUNTIFS('Public Facts'!$B$5:$B$86,A8,'Public Facts'!$M$5:$M$86,"APPROVED")</x:f>
        <x:v>0</x:v>
      </x:c>
      <x:c r="E8" s="59" t="n">
        <x:f>COUNTIFS('Public Facts'!$B$5:$B$86,A8,'Public Facts'!$M$5:$M$86,"PENDING_REVIEW")</x:f>
        <x:v>3</x:v>
      </x:c>
      <x:c r="F8" s="61" t="n">
        <x:f>IF(C8=0,0,D8/C8)</x:f>
        <x:v>0</x:v>
      </x:c>
      <x:c r="G8" s="59" t="str">
        <x:v>cash_and_cash_equivalents, current_debt, revenue</x:v>
      </x:c>
      <x:c r="H8" s="59" t="n">
        <x:v>1</x:v>
      </x:c>
      <x:c r="I8" s="59" t="str">
        <x:f>IF(D8=C8,"APPROVED",IF(D8&gt;0,"PARTIAL","PENDING"))</x:f>
        <x:v>PENDING</x:v>
      </x:c>
      <x:c r="J8" s="59" t="str">
        <x:v>E1 public evidence only; E3 required for measured share</x:v>
      </x:c>
      <x:c r="L8" s="59" t="str">
        <x:v>AngloGold Ashanti</x:v>
      </x:c>
      <x:c r="M8" s="59" t="n">
        <x:f>D8</x:f>
        <x:v>0</x:v>
      </x:c>
      <x:c r="N8" s="59" t="n">
        <x:f>E8</x:f>
        <x:v>3</x:v>
      </x:c>
    </x:row>
    <x:row r="9">
      <x:c r="A9" s="59" t="str">
        <x:v>E05</x:v>
      </x:c>
      <x:c r="B9" s="59" t="str">
        <x:v>Gold Fields</x:v>
      </x:c>
      <x:c r="C9" s="59" t="n">
        <x:f>COUNTIF('Public Facts'!$B$5:$B$86,A9)</x:f>
        <x:v>3</x:v>
      </x:c>
      <x:c r="D9" s="59" t="n">
        <x:f>COUNTIFS('Public Facts'!$B$5:$B$86,A9,'Public Facts'!$M$5:$M$86,"APPROVED")</x:f>
        <x:v>0</x:v>
      </x:c>
      <x:c r="E9" s="59" t="n">
        <x:f>COUNTIFS('Public Facts'!$B$5:$B$86,A9,'Public Facts'!$M$5:$M$86,"PENDING_REVIEW")</x:f>
        <x:v>3</x:v>
      </x:c>
      <x:c r="F9" s="61" t="n">
        <x:f>IF(C9=0,0,D9/C9)</x:f>
        <x:v>0</x:v>
      </x:c>
      <x:c r="G9" s="59" t="str">
        <x:v>cash_and_cash_equivalents, current_debt, revenue</x:v>
      </x:c>
      <x:c r="H9" s="59" t="n">
        <x:v>1</x:v>
      </x:c>
      <x:c r="I9" s="59" t="str">
        <x:f>IF(D9=C9,"APPROVED",IF(D9&gt;0,"PARTIAL","PENDING"))</x:f>
        <x:v>PENDING</x:v>
      </x:c>
      <x:c r="J9" s="59" t="str">
        <x:v>E1 public evidence only; E3 required for measured share</x:v>
      </x:c>
      <x:c r="L9" s="59" t="str">
        <x:v>Gold Fields</x:v>
      </x:c>
      <x:c r="M9" s="59" t="n">
        <x:f>D9</x:f>
        <x:v>0</x:v>
      </x:c>
      <x:c r="N9" s="59" t="n">
        <x:f>E9</x:f>
        <x:v>3</x:v>
      </x:c>
    </x:row>
    <x:row r="10">
      <x:c r="A10" s="59" t="str">
        <x:v>E06</x:v>
      </x:c>
      <x:c r="B10" s="59" t="str">
        <x:v>Valterra Platinum</x:v>
      </x:c>
      <x:c r="C10" s="59" t="n">
        <x:f>COUNTIF('Public Facts'!$B$5:$B$86,A10)</x:f>
        <x:v>3</x:v>
      </x:c>
      <x:c r="D10" s="59" t="n">
        <x:f>COUNTIFS('Public Facts'!$B$5:$B$86,A10,'Public Facts'!$M$5:$M$86,"APPROVED")</x:f>
        <x:v>0</x:v>
      </x:c>
      <x:c r="E10" s="59" t="n">
        <x:f>COUNTIFS('Public Facts'!$B$5:$B$86,A10,'Public Facts'!$M$5:$M$86,"PENDING_REVIEW")</x:f>
        <x:v>3</x:v>
      </x:c>
      <x:c r="F10" s="61" t="n">
        <x:f>IF(C10=0,0,D10/C10)</x:f>
        <x:v>0</x:v>
      </x:c>
      <x:c r="G10" s="59" t="str">
        <x:v>cash_and_cash_equivalents, current_debt, revenue</x:v>
      </x:c>
      <x:c r="H10" s="59" t="n">
        <x:v>1</x:v>
      </x:c>
      <x:c r="I10" s="59" t="str">
        <x:f>IF(D10=C10,"APPROVED",IF(D10&gt;0,"PARTIAL","PENDING"))</x:f>
        <x:v>PENDING</x:v>
      </x:c>
      <x:c r="J10" s="59" t="str">
        <x:v>E1 public evidence only; E3 required for measured share</x:v>
      </x:c>
      <x:c r="L10" s="59" t="str">
        <x:v>Valterra Platinum</x:v>
      </x:c>
      <x:c r="M10" s="59" t="n">
        <x:f>D10</x:f>
        <x:v>0</x:v>
      </x:c>
      <x:c r="N10" s="59" t="n">
        <x:f>E10</x:f>
        <x:v>3</x:v>
      </x:c>
    </x:row>
    <x:row r="11">
      <x:c r="A11" s="59" t="str">
        <x:v>E07</x:v>
      </x:c>
      <x:c r="B11" s="59" t="str">
        <x:v>OUTsurance Group</x:v>
      </x:c>
      <x:c r="C11" s="59" t="n">
        <x:f>COUNTIF('Public Facts'!$B$5:$B$86,A11)</x:f>
        <x:v>3</x:v>
      </x:c>
      <x:c r="D11" s="59" t="n">
        <x:f>COUNTIFS('Public Facts'!$B$5:$B$86,A11,'Public Facts'!$M$5:$M$86,"APPROVED")</x:f>
        <x:v>0</x:v>
      </x:c>
      <x:c r="E11" s="59" t="n">
        <x:f>COUNTIFS('Public Facts'!$B$5:$B$86,A11,'Public Facts'!$M$5:$M$86,"PENDING_REVIEW")</x:f>
        <x:v>3</x:v>
      </x:c>
      <x:c r="F11" s="61" t="n">
        <x:f>IF(C11=0,0,D11/C11)</x:f>
        <x:v>0</x:v>
      </x:c>
      <x:c r="G11" s="59" t="str">
        <x:v>cash_and_cash_equivalents, insurance_liabilities, insurance_revenue</x:v>
      </x:c>
      <x:c r="H11" s="59" t="n">
        <x:v>1</x:v>
      </x:c>
      <x:c r="I11" s="59" t="str">
        <x:f>IF(D11=C11,"APPROVED",IF(D11&gt;0,"PARTIAL","PENDING"))</x:f>
        <x:v>PENDING</x:v>
      </x:c>
      <x:c r="J11" s="59" t="str">
        <x:v>E1 public evidence only; E3 required for measured share</x:v>
      </x:c>
      <x:c r="L11" s="59" t="str">
        <x:v>OUTsurance Group</x:v>
      </x:c>
      <x:c r="M11" s="59" t="n">
        <x:f>D11</x:f>
        <x:v>0</x:v>
      </x:c>
      <x:c r="N11" s="59" t="n">
        <x:f>E11</x:f>
        <x:v>3</x:v>
      </x:c>
    </x:row>
    <x:row r="12">
      <x:c r="A12" s="59" t="str">
        <x:v>E08</x:v>
      </x:c>
      <x:c r="B12" s="59" t="str">
        <x:v>Sanlam</x:v>
      </x:c>
      <x:c r="C12" s="59" t="n">
        <x:f>COUNTIF('Public Facts'!$B$5:$B$86,A12)</x:f>
        <x:v>3</x:v>
      </x:c>
      <x:c r="D12" s="59" t="n">
        <x:f>COUNTIFS('Public Facts'!$B$5:$B$86,A12,'Public Facts'!$M$5:$M$86,"APPROVED")</x:f>
        <x:v>0</x:v>
      </x:c>
      <x:c r="E12" s="59" t="n">
        <x:f>COUNTIFS('Public Facts'!$B$5:$B$86,A12,'Public Facts'!$M$5:$M$86,"PENDING_REVIEW")</x:f>
        <x:v>3</x:v>
      </x:c>
      <x:c r="F12" s="61" t="n">
        <x:f>IF(C12=0,0,D12/C12)</x:f>
        <x:v>0</x:v>
      </x:c>
      <x:c r="G12" s="59" t="str">
        <x:v>cash_and_cash_equivalents, insurance_revenue, term_finance</x:v>
      </x:c>
      <x:c r="H12" s="59" t="n">
        <x:v>1</x:v>
      </x:c>
      <x:c r="I12" s="59" t="str">
        <x:f>IF(D12=C12,"APPROVED",IF(D12&gt;0,"PARTIAL","PENDING"))</x:f>
        <x:v>PENDING</x:v>
      </x:c>
      <x:c r="J12" s="59" t="str">
        <x:v>E1 public evidence only; E3 required for measured share</x:v>
      </x:c>
      <x:c r="L12" s="59" t="str">
        <x:v>Sanlam</x:v>
      </x:c>
      <x:c r="M12" s="59" t="n">
        <x:f>D12</x:f>
        <x:v>0</x:v>
      </x:c>
      <x:c r="N12" s="59" t="n">
        <x:f>E12</x:f>
        <x:v>3</x:v>
      </x:c>
    </x:row>
    <x:row r="13">
      <x:c r="A13" s="59" t="str">
        <x:v>E09</x:v>
      </x:c>
      <x:c r="B13" s="59" t="str">
        <x:v>Shoprite Holdings</x:v>
      </x:c>
      <x:c r="C13" s="59" t="n">
        <x:f>COUNTIF('Public Facts'!$B$5:$B$86,A13)</x:f>
        <x:v>11</x:v>
      </x:c>
      <x:c r="D13" s="59" t="n">
        <x:f>COUNTIFS('Public Facts'!$B$5:$B$86,A13,'Public Facts'!$M$5:$M$86,"APPROVED")</x:f>
        <x:v>11</x:v>
      </x:c>
      <x:c r="E13" s="59" t="n">
        <x:f>COUNTIFS('Public Facts'!$B$5:$B$86,A13,'Public Facts'!$M$5:$M$86,"PENDING_REVIEW")</x:f>
        <x:v>0</x:v>
      </x:c>
      <x:c r="F13" s="61" t="n">
        <x:f>IF(C13=0,0,D13/C13)</x:f>
        <x:v>1</x:v>
      </x:c>
      <x:c r="G13" s="59" t="str">
        <x:v>current_debt, fx_exposure, inventories_close, inventories_open, operating_cost_base, revenue, short_term_facilities, trade_payables_close, trade_payables_open, trade_receivables_close, trade_receivables_open</x:v>
      </x:c>
      <x:c r="H13" s="59" t="n">
        <x:v>1</x:v>
      </x:c>
      <x:c r="I13" s="59" t="str">
        <x:f>IF(D13=C13,"APPROVED",IF(D13&gt;0,"PARTIAL","PENDING"))</x:f>
        <x:v>APPROVED</x:v>
      </x:c>
      <x:c r="J13" s="59" t="str">
        <x:v>E1 public evidence only; E3 required for measured share</x:v>
      </x:c>
      <x:c r="L13" s="59" t="str">
        <x:v>Shoprite Holdings</x:v>
      </x:c>
      <x:c r="M13" s="59" t="n">
        <x:f>D13</x:f>
        <x:v>11</x:v>
      </x:c>
      <x:c r="N13" s="59" t="n">
        <x:f>E13</x:f>
        <x:v>0</x:v>
      </x:c>
    </x:row>
    <x:row r="14">
      <x:c r="A14" s="59" t="str">
        <x:v>E10</x:v>
      </x:c>
      <x:c r="B14" s="59" t="str">
        <x:v>Bid Corporation</x:v>
      </x:c>
      <x:c r="C14" s="59" t="n">
        <x:f>COUNTIF('Public Facts'!$B$5:$B$86,A14)</x:f>
        <x:v>3</x:v>
      </x:c>
      <x:c r="D14" s="59" t="n">
        <x:f>COUNTIFS('Public Facts'!$B$5:$B$86,A14,'Public Facts'!$M$5:$M$86,"APPROVED")</x:f>
        <x:v>0</x:v>
      </x:c>
      <x:c r="E14" s="59" t="n">
        <x:f>COUNTIFS('Public Facts'!$B$5:$B$86,A14,'Public Facts'!$M$5:$M$86,"PENDING_REVIEW")</x:f>
        <x:v>3</x:v>
      </x:c>
      <x:c r="F14" s="61" t="n">
        <x:f>IF(C14=0,0,D14/C14)</x:f>
        <x:v>0</x:v>
      </x:c>
      <x:c r="G14" s="59" t="str">
        <x:v>cash_and_cash_equivalents, current_liabilities, revenue</x:v>
      </x:c>
      <x:c r="H14" s="59" t="n">
        <x:v>1</x:v>
      </x:c>
      <x:c r="I14" s="59" t="str">
        <x:f>IF(D14=C14,"APPROVED",IF(D14&gt;0,"PARTIAL","PENDING"))</x:f>
        <x:v>PENDING</x:v>
      </x:c>
      <x:c r="J14" s="59" t="str">
        <x:v>E1 public evidence only; E3 required for measured share</x:v>
      </x:c>
      <x:c r="L14" s="59" t="str">
        <x:v>Bid Corporation</x:v>
      </x:c>
      <x:c r="M14" s="59" t="n">
        <x:f>D14</x:f>
        <x:v>0</x:v>
      </x:c>
      <x:c r="N14" s="59" t="n">
        <x:f>E14</x:f>
        <x:v>3</x:v>
      </x:c>
    </x:row>
    <x:row r="15">
      <x:c r="A15" s="59" t="str">
        <x:v>E11</x:v>
      </x:c>
      <x:c r="B15" s="59" t="str">
        <x:v>Pepkor Holdings</x:v>
      </x:c>
      <x:c r="C15" s="59" t="n">
        <x:f>COUNTIF('Public Facts'!$B$5:$B$86,A15)</x:f>
        <x:v>3</x:v>
      </x:c>
      <x:c r="D15" s="59" t="n">
        <x:f>COUNTIFS('Public Facts'!$B$5:$B$86,A15,'Public Facts'!$M$5:$M$86,"APPROVED")</x:f>
        <x:v>0</x:v>
      </x:c>
      <x:c r="E15" s="59" t="n">
        <x:f>COUNTIFS('Public Facts'!$B$5:$B$86,A15,'Public Facts'!$M$5:$M$86,"PENDING_REVIEW")</x:f>
        <x:v>3</x:v>
      </x:c>
      <x:c r="F15" s="61" t="n">
        <x:f>IF(C15=0,0,D15/C15)</x:f>
        <x:v>0</x:v>
      </x:c>
      <x:c r="G15" s="59" t="str">
        <x:v>cash_and_cash_equivalents, current_debt, revenue</x:v>
      </x:c>
      <x:c r="H15" s="59" t="n">
        <x:v>1</x:v>
      </x:c>
      <x:c r="I15" s="59" t="str">
        <x:f>IF(D15=C15,"APPROVED",IF(D15&gt;0,"PARTIAL","PENDING"))</x:f>
        <x:v>PENDING</x:v>
      </x:c>
      <x:c r="J15" s="59" t="str">
        <x:v>E1 public evidence only; E3 required for measured share</x:v>
      </x:c>
      <x:c r="L15" s="59" t="str">
        <x:v>Pepkor Holdings</x:v>
      </x:c>
      <x:c r="M15" s="59" t="n">
        <x:f>D15</x:f>
        <x:v>0</x:v>
      </x:c>
      <x:c r="N15" s="59" t="n">
        <x:f>E15</x:f>
        <x:v>3</x:v>
      </x:c>
    </x:row>
    <x:row r="16">
      <x:c r="A16" s="59" t="str">
        <x:v>E12</x:v>
      </x:c>
      <x:c r="B16" s="59" t="str">
        <x:v>Clicks Group</x:v>
      </x:c>
      <x:c r="C16" s="59" t="n">
        <x:f>COUNTIF('Public Facts'!$B$5:$B$86,A16)</x:f>
        <x:v>3</x:v>
      </x:c>
      <x:c r="D16" s="59" t="n">
        <x:f>COUNTIFS('Public Facts'!$B$5:$B$86,A16,'Public Facts'!$M$5:$M$86,"APPROVED")</x:f>
        <x:v>0</x:v>
      </x:c>
      <x:c r="E16" s="59" t="n">
        <x:f>COUNTIFS('Public Facts'!$B$5:$B$86,A16,'Public Facts'!$M$5:$M$86,"PENDING_REVIEW")</x:f>
        <x:v>3</x:v>
      </x:c>
      <x:c r="F16" s="61" t="n">
        <x:f>IF(C16=0,0,D16/C16)</x:f>
        <x:v>0</x:v>
      </x:c>
      <x:c r="G16" s="59" t="str">
        <x:v>cash_and_cash_equivalents, revenue, trade_payables</x:v>
      </x:c>
      <x:c r="H16" s="59" t="n">
        <x:v>1</x:v>
      </x:c>
      <x:c r="I16" s="59" t="str">
        <x:f>IF(D16=C16,"APPROVED",IF(D16&gt;0,"PARTIAL","PENDING"))</x:f>
        <x:v>PENDING</x:v>
      </x:c>
      <x:c r="J16" s="59" t="str">
        <x:v>E1 public evidence only; E3 required for measured share</x:v>
      </x:c>
      <x:c r="L16" s="59" t="str">
        <x:v>Clicks Group</x:v>
      </x:c>
      <x:c r="M16" s="59" t="n">
        <x:f>D16</x:f>
        <x:v>0</x:v>
      </x:c>
      <x:c r="N16" s="59" t="n">
        <x:f>E16</x:f>
        <x:v>3</x:v>
      </x:c>
    </x:row>
    <x:row r="17">
      <x:c r="A17" s="59" t="str">
        <x:v>E13</x:v>
      </x:c>
      <x:c r="B17" s="59" t="str">
        <x:v>NEPI Rockcastle</x:v>
      </x:c>
      <x:c r="C17" s="59" t="n">
        <x:f>COUNTIF('Public Facts'!$B$5:$B$86,A17)</x:f>
        <x:v>3</x:v>
      </x:c>
      <x:c r="D17" s="59" t="n">
        <x:f>COUNTIFS('Public Facts'!$B$5:$B$86,A17,'Public Facts'!$M$5:$M$86,"APPROVED")</x:f>
        <x:v>0</x:v>
      </x:c>
      <x:c r="E17" s="59" t="n">
        <x:f>COUNTIFS('Public Facts'!$B$5:$B$86,A17,'Public Facts'!$M$5:$M$86,"PENDING_REVIEW")</x:f>
        <x:v>3</x:v>
      </x:c>
      <x:c r="F17" s="61" t="n">
        <x:f>IF(C17=0,0,D17/C17)</x:f>
        <x:v>0</x:v>
      </x:c>
      <x:c r="G17" s="59" t="str">
        <x:v>cash_and_cash_equivalents, current_debt, gross_rental_income</x:v>
      </x:c>
      <x:c r="H17" s="59" t="n">
        <x:v>1</x:v>
      </x:c>
      <x:c r="I17" s="59" t="str">
        <x:f>IF(D17=C17,"APPROVED",IF(D17&gt;0,"PARTIAL","PENDING"))</x:f>
        <x:v>PENDING</x:v>
      </x:c>
      <x:c r="J17" s="59" t="str">
        <x:v>E1 public evidence only; E3 required for measured share</x:v>
      </x:c>
      <x:c r="L17" s="59" t="str">
        <x:v>NEPI Rockcastle</x:v>
      </x:c>
      <x:c r="M17" s="59" t="n">
        <x:f>D17</x:f>
        <x:v>0</x:v>
      </x:c>
      <x:c r="N17" s="59" t="n">
        <x:f>E17</x:f>
        <x:v>3</x:v>
      </x:c>
    </x:row>
    <x:row r="18">
      <x:c r="A18" s="59" t="str">
        <x:v>E14</x:v>
      </x:c>
      <x:c r="B18" s="59" t="str">
        <x:v>Prosus</x:v>
      </x:c>
      <x:c r="C18" s="59" t="n">
        <x:f>COUNTIF('Public Facts'!$B$5:$B$86,A18)</x:f>
        <x:v>3</x:v>
      </x:c>
      <x:c r="D18" s="59" t="n">
        <x:f>COUNTIFS('Public Facts'!$B$5:$B$86,A18,'Public Facts'!$M$5:$M$86,"APPROVED")</x:f>
        <x:v>0</x:v>
      </x:c>
      <x:c r="E18" s="59" t="n">
        <x:f>COUNTIFS('Public Facts'!$B$5:$B$86,A18,'Public Facts'!$M$5:$M$86,"PENDING_REVIEW")</x:f>
        <x:v>3</x:v>
      </x:c>
      <x:c r="F18" s="61" t="n">
        <x:f>IF(C18=0,0,D18/C18)</x:f>
        <x:v>0</x:v>
      </x:c>
      <x:c r="G18" s="59" t="str">
        <x:v>cash_and_cash_equivalents, current_debt, revenue</x:v>
      </x:c>
      <x:c r="H18" s="59" t="n">
        <x:v>1</x:v>
      </x:c>
      <x:c r="I18" s="59" t="str">
        <x:f>IF(D18=C18,"APPROVED",IF(D18&gt;0,"PARTIAL","PENDING"))</x:f>
        <x:v>PENDING</x:v>
      </x:c>
      <x:c r="J18" s="59" t="str">
        <x:v>E1 public evidence only; E3 required for measured share</x:v>
      </x:c>
      <x:c r="L18" s="59" t="str">
        <x:v>Prosus</x:v>
      </x:c>
      <x:c r="M18" s="59" t="n">
        <x:f>D18</x:f>
        <x:v>0</x:v>
      </x:c>
      <x:c r="N18" s="59" t="n">
        <x:f>E18</x:f>
        <x:v>3</x:v>
      </x:c>
    </x:row>
    <x:row r="19">
      <x:c r="A19" s="59" t="str">
        <x:v>E15</x:v>
      </x:c>
      <x:c r="B19" s="59" t="str">
        <x:v>Naspers</x:v>
      </x:c>
      <x:c r="C19" s="59" t="n">
        <x:f>COUNTIF('Public Facts'!$B$5:$B$86,A19)</x:f>
        <x:v>3</x:v>
      </x:c>
      <x:c r="D19" s="59" t="n">
        <x:f>COUNTIFS('Public Facts'!$B$5:$B$86,A19,'Public Facts'!$M$5:$M$86,"APPROVED")</x:f>
        <x:v>0</x:v>
      </x:c>
      <x:c r="E19" s="59" t="n">
        <x:f>COUNTIFS('Public Facts'!$B$5:$B$86,A19,'Public Facts'!$M$5:$M$86,"PENDING_REVIEW")</x:f>
        <x:v>3</x:v>
      </x:c>
      <x:c r="F19" s="61" t="n">
        <x:f>IF(C19=0,0,D19/C19)</x:f>
        <x:v>0</x:v>
      </x:c>
      <x:c r="G19" s="59" t="str">
        <x:v>cash_and_cash_equivalents, current_debt, revenue</x:v>
      </x:c>
      <x:c r="H19" s="59" t="n">
        <x:v>1</x:v>
      </x:c>
      <x:c r="I19" s="59" t="str">
        <x:f>IF(D19=C19,"APPROVED",IF(D19&gt;0,"PARTIAL","PENDING"))</x:f>
        <x:v>PENDING</x:v>
      </x:c>
      <x:c r="J19" s="59" t="str">
        <x:v>E1 public evidence only; E3 required for measured share</x:v>
      </x:c>
      <x:c r="L19" s="59" t="str">
        <x:v>Naspers</x:v>
      </x:c>
      <x:c r="M19" s="59" t="n">
        <x:f>D19</x:f>
        <x:v>0</x:v>
      </x:c>
      <x:c r="N19" s="59" t="n">
        <x:f>E19</x:f>
        <x:v>3</x:v>
      </x:c>
    </x:row>
    <x:row r="20">
      <x:c r="A20" s="59" t="str">
        <x:v>E16</x:v>
      </x:c>
      <x:c r="B20" s="59" t="str">
        <x:v>MTN Group</x:v>
      </x:c>
      <x:c r="C20" s="59" t="n">
        <x:f>COUNTIF('Public Facts'!$B$5:$B$86,A20)</x:f>
        <x:v>3</x:v>
      </x:c>
      <x:c r="D20" s="59" t="n">
        <x:f>COUNTIFS('Public Facts'!$B$5:$B$86,A20,'Public Facts'!$M$5:$M$86,"APPROVED")</x:f>
        <x:v>0</x:v>
      </x:c>
      <x:c r="E20" s="59" t="n">
        <x:f>COUNTIFS('Public Facts'!$B$5:$B$86,A20,'Public Facts'!$M$5:$M$86,"PENDING_REVIEW")</x:f>
        <x:v>3</x:v>
      </x:c>
      <x:c r="F20" s="61" t="n">
        <x:f>IF(C20=0,0,D20/C20)</x:f>
        <x:v>0</x:v>
      </x:c>
      <x:c r="G20" s="59" t="str">
        <x:v>cash_and_cash_equivalents, current_debt, revenue</x:v>
      </x:c>
      <x:c r="H20" s="59" t="n">
        <x:v>1</x:v>
      </x:c>
      <x:c r="I20" s="59" t="str">
        <x:f>IF(D20=C20,"APPROVED",IF(D20&gt;0,"PARTIAL","PENDING"))</x:f>
        <x:v>PENDING</x:v>
      </x:c>
      <x:c r="J20" s="59" t="str">
        <x:v>E1 public evidence only; E3 required for measured share</x:v>
      </x:c>
      <x:c r="L20" s="59" t="str">
        <x:v>MTN Group</x:v>
      </x:c>
      <x:c r="M20" s="59" t="n">
        <x:f>D20</x:f>
        <x:v>0</x:v>
      </x:c>
      <x:c r="N20" s="59" t="n">
        <x:f>E20</x:f>
        <x:v>3</x:v>
      </x:c>
    </x:row>
    <x:row r="21">
      <x:c r="A21" s="59" t="str">
        <x:v>E17</x:v>
      </x:c>
      <x:c r="B21" s="59" t="str">
        <x:v>Vodacom Group</x:v>
      </x:c>
      <x:c r="C21" s="59" t="n">
        <x:f>COUNTIF('Public Facts'!$B$5:$B$86,A21)</x:f>
        <x:v>3</x:v>
      </x:c>
      <x:c r="D21" s="59" t="n">
        <x:f>COUNTIFS('Public Facts'!$B$5:$B$86,A21,'Public Facts'!$M$5:$M$86,"APPROVED")</x:f>
        <x:v>0</x:v>
      </x:c>
      <x:c r="E21" s="59" t="n">
        <x:f>COUNTIFS('Public Facts'!$B$5:$B$86,A21,'Public Facts'!$M$5:$M$86,"PENDING_REVIEW")</x:f>
        <x:v>3</x:v>
      </x:c>
      <x:c r="F21" s="61" t="n">
        <x:f>IF(C21=0,0,D21/C21)</x:f>
        <x:v>0</x:v>
      </x:c>
      <x:c r="G21" s="59" t="str">
        <x:v>cash_and_cash_equivalents, current_debt, revenue</x:v>
      </x:c>
      <x:c r="H21" s="59" t="n">
        <x:v>1</x:v>
      </x:c>
      <x:c r="I21" s="59" t="str">
        <x:f>IF(D21=C21,"APPROVED",IF(D21&gt;0,"PARTIAL","PENDING"))</x:f>
        <x:v>PENDING</x:v>
      </x:c>
      <x:c r="J21" s="59" t="str">
        <x:v>E1 public evidence only; E3 required for measured share</x:v>
      </x:c>
      <x:c r="L21" s="59" t="str">
        <x:v>Vodacom Group</x:v>
      </x:c>
      <x:c r="M21" s="59" t="n">
        <x:f>D21</x:f>
        <x:v>0</x:v>
      </x:c>
      <x:c r="N21" s="59" t="n">
        <x:f>E21</x:f>
        <x:v>3</x:v>
      </x:c>
    </x:row>
    <x:row r="22">
      <x:c r="A22" s="59" t="str">
        <x:v>E18</x:v>
      </x:c>
      <x:c r="B22" s="59" t="str">
        <x:v>The Bidvest Group</x:v>
      </x:c>
      <x:c r="C22" s="59" t="n">
        <x:f>COUNTIF('Public Facts'!$B$5:$B$86,A22)</x:f>
        <x:v>3</x:v>
      </x:c>
      <x:c r="D22" s="59" t="n">
        <x:f>COUNTIFS('Public Facts'!$B$5:$B$86,A22,'Public Facts'!$M$5:$M$86,"APPROVED")</x:f>
        <x:v>0</x:v>
      </x:c>
      <x:c r="E22" s="59" t="n">
        <x:f>COUNTIFS('Public Facts'!$B$5:$B$86,A22,'Public Facts'!$M$5:$M$86,"PENDING_REVIEW")</x:f>
        <x:v>3</x:v>
      </x:c>
      <x:c r="F22" s="61" t="n">
        <x:f>IF(C22=0,0,D22/C22)</x:f>
        <x:v>0</x:v>
      </x:c>
      <x:c r="G22" s="59" t="str">
        <x:v>cash_and_cash_equivalents, current_debt, revenue</x:v>
      </x:c>
      <x:c r="H22" s="59" t="n">
        <x:v>1</x:v>
      </x:c>
      <x:c r="I22" s="59" t="str">
        <x:f>IF(D22=C22,"APPROVED",IF(D22&gt;0,"PARTIAL","PENDING"))</x:f>
        <x:v>PENDING</x:v>
      </x:c>
      <x:c r="J22" s="59" t="str">
        <x:v>E1 public evidence only; E3 required for measured share</x:v>
      </x:c>
      <x:c r="L22" s="59" t="str">
        <x:v>The Bidvest Group</x:v>
      </x:c>
      <x:c r="M22" s="59" t="n">
        <x:f>D22</x:f>
        <x:v>0</x:v>
      </x:c>
      <x:c r="N22" s="59" t="n">
        <x:f>E22</x:f>
        <x:v>3</x:v>
      </x:c>
    </x:row>
    <x:row r="23">
      <x:c r="A23" s="59" t="str">
        <x:v>E19</x:v>
      </x:c>
      <x:c r="B23" s="59" t="str">
        <x:v>Aspen Pharmacare</x:v>
      </x:c>
      <x:c r="C23" s="59" t="n">
        <x:f>COUNTIF('Public Facts'!$B$5:$B$86,A23)</x:f>
        <x:v>3</x:v>
      </x:c>
      <x:c r="D23" s="59" t="n">
        <x:f>COUNTIFS('Public Facts'!$B$5:$B$86,A23,'Public Facts'!$M$5:$M$86,"APPROVED")</x:f>
        <x:v>0</x:v>
      </x:c>
      <x:c r="E23" s="59" t="n">
        <x:f>COUNTIFS('Public Facts'!$B$5:$B$86,A23,'Public Facts'!$M$5:$M$86,"PENDING_REVIEW")</x:f>
        <x:v>3</x:v>
      </x:c>
      <x:c r="F23" s="61" t="n">
        <x:f>IF(C23=0,0,D23/C23)</x:f>
        <x:v>0</x:v>
      </x:c>
      <x:c r="G23" s="59" t="str">
        <x:v>cash_and_cash_equivalents, current_debt, revenue</x:v>
      </x:c>
      <x:c r="H23" s="59" t="n">
        <x:v>1</x:v>
      </x:c>
      <x:c r="I23" s="59" t="str">
        <x:f>IF(D23=C23,"APPROVED",IF(D23&gt;0,"PARTIAL","PENDING"))</x:f>
        <x:v>PENDING</x:v>
      </x:c>
      <x:c r="J23" s="59" t="str">
        <x:v>E1 public evidence only; E3 required for measured share</x:v>
      </x:c>
      <x:c r="L23" s="59" t="str">
        <x:v>Aspen Pharmacare</x:v>
      </x:c>
      <x:c r="M23" s="59" t="n">
        <x:f>D23</x:f>
        <x:v>0</x:v>
      </x:c>
      <x:c r="N23" s="59" t="n">
        <x:f>E23</x:f>
        <x:v>3</x:v>
      </x:c>
    </x:row>
    <x:row r="24">
      <x:c r="A24" s="59" t="str">
        <x:v>E20</x:v>
      </x:c>
      <x:c r="B24" s="59" t="str">
        <x:v>Shaftesbury Capital plc</x:v>
      </x:c>
      <x:c r="C24" s="59" t="n">
        <x:f>COUNTIF('Public Facts'!$B$5:$B$86,A24)</x:f>
        <x:v>3</x:v>
      </x:c>
      <x:c r="D24" s="59" t="n">
        <x:f>COUNTIFS('Public Facts'!$B$5:$B$86,A24,'Public Facts'!$M$5:$M$86,"APPROVED")</x:f>
        <x:v>0</x:v>
      </x:c>
      <x:c r="E24" s="59" t="n">
        <x:f>COUNTIFS('Public Facts'!$B$5:$B$86,A24,'Public Facts'!$M$5:$M$86,"PENDING_REVIEW")</x:f>
        <x:v>3</x:v>
      </x:c>
      <x:c r="F24" s="61" t="n">
        <x:f>IF(C24=0,0,D24/C24)</x:f>
        <x:v>0</x:v>
      </x:c>
      <x:c r="G24" s="59" t="str">
        <x:v>cash_and_cash_equivalents, current_debt, revenue</x:v>
      </x:c>
      <x:c r="H24" s="59" t="n">
        <x:v>1</x:v>
      </x:c>
      <x:c r="I24" s="59" t="str">
        <x:f>IF(D24=C24,"APPROVED",IF(D24&gt;0,"PARTIAL","PENDING"))</x:f>
        <x:v>PENDING</x:v>
      </x:c>
      <x:c r="J24" s="59" t="str">
        <x:v>E1 public evidence only; E3 required for measured share</x:v>
      </x:c>
      <x:c r="L24" s="59" t="str">
        <x:v>Shaftesbury Capital plc</x:v>
      </x:c>
      <x:c r="M24" s="59" t="n">
        <x:f>D24</x:f>
        <x:v>0</x:v>
      </x:c>
      <x:c r="N24" s="59" t="n">
        <x:f>E24</x:f>
        <x:v>3</x:v>
      </x:c>
    </x:row>
  </x:sheetData>
  <x:mergeCells>
    <x:mergeCell ref="A1:J1"/>
    <x:mergeCell ref="A2:J2"/>
  </x:mergeCells>
  <x:conditionalFormatting sqref="I5:I24">
    <x:cfRule type="containsText" dxfId="2" priority="1" operator="containsText" text="APPROVED"/>
    <x:cfRule type="containsText" dxfId="3" priority="2" operator="containsText" text="PENDING"/>
  </x:conditionalFormatting>
  <x:pageMargins left="0.7" right="0.7" top="0.75" bottom="0.75" header="0.3" footer="0.3"/>
  <x:drawing xmlns:r="http://schemas.openxmlformats.org/officeDocument/2006/relationships" r:id="Rd986a64dfae14028"/>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23" hidden="0" customWidth="1"/>
    <x:col min="3" max="3" width="15" hidden="0" customWidth="1"/>
    <x:col min="4" max="4" width="30"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42" hidden="0" customWidth="1"/>
    <x:col min="12" max="12" width="42" hidden="0" customWidth="1"/>
    <x:col min="13" max="13" width="40" hidden="0" customWidth="1"/>
    <x:col min="14" max="14" width="40" hidden="0" customWidth="1"/>
    <x:col min="15" max="15" width="15" hidden="0" customWidth="1"/>
    <x:col min="16" max="16" width="42" hidden="0" customWidth="1"/>
  </x:cols>
  <x:sheetData>
    <x:row r="1" ht="35" customHeight="1">
      <x:c r="A1" s="3" t="str">
        <x:v>Approved Product Anchors</x:v>
      </x:c>
      <x:c r="B1" s="3"/>
      <x:c r="C1" s="3"/>
      <x:c r="D1" s="3"/>
      <x:c r="E1" s="3"/>
      <x:c r="F1" s="3"/>
      <x:c r="G1" s="3"/>
      <x:c r="H1" s="3"/>
      <x:c r="I1" s="3"/>
      <x:c r="J1" s="3"/>
      <x:c r="K1" s="3"/>
      <x:c r="L1" s="3"/>
      <x:c r="M1" s="3"/>
      <x:c r="N1" s="3"/>
      <x:c r="O1" s="3"/>
      <x:c r="P1" s="3"/>
    </x:row>
    <x:row r="2" ht="26" customHeight="1">
      <x:c r="A2" s="7" t="str">
        <x:v>15 transparent anchor calculations preserved from the frozen V1 regression boundary and consumed by the V2 substrate/V3 decision layer.</x:v>
      </x:c>
      <x:c r="B2" s="7"/>
      <x:c r="C2" s="7"/>
      <x:c r="D2" s="7"/>
      <x:c r="E2" s="7"/>
      <x:c r="F2" s="7"/>
      <x:c r="G2" s="7"/>
      <x:c r="H2" s="7"/>
      <x:c r="I2" s="7"/>
      <x:c r="J2" s="7"/>
      <x:c r="K2" s="7"/>
      <x:c r="L2" s="7"/>
      <x:c r="M2" s="7"/>
      <x:c r="N2" s="7"/>
      <x:c r="O2" s="7"/>
      <x:c r="P2" s="7"/>
    </x:row>
    <x:row r="4" ht="30" customHeight="1">
      <x:c r="A4" s="78" t="str">
        <x:v>Entity ID</x:v>
      </x:c>
      <x:c r="B4" s="78" t="str">
        <x:v>Entity name</x:v>
      </x:c>
      <x:c r="C4" s="78" t="str">
        <x:v>Product</x:v>
      </x:c>
      <x:c r="D4" s="78" t="str">
        <x:v>Anchor</x:v>
      </x:c>
      <x:c r="E4" s="78" t="str">
        <x:v>Low ZAR</x:v>
      </x:c>
      <x:c r="F4" s="78" t="str">
        <x:v>Base ZAR</x:v>
      </x:c>
      <x:c r="G4" s="78" t="str">
        <x:v>High ZAR</x:v>
      </x:c>
      <x:c r="H4" s="78" t="str">
        <x:v>Interval width</x:v>
      </x:c>
      <x:c r="I4" s="78" t="str">
        <x:v>Relative width</x:v>
      </x:c>
      <x:c r="J4" s="78" t="str">
        <x:v>Weight</x:v>
      </x:c>
      <x:c r="K4" s="78" t="str">
        <x:v>Formula</x:v>
      </x:c>
      <x:c r="L4" s="78" t="str">
        <x:v>Assumption</x:v>
      </x:c>
      <x:c r="M4" s="78" t="str">
        <x:v>Fact IDs</x:v>
      </x:c>
      <x:c r="N4" s="78" t="str">
        <x:v>Source pages</x:v>
      </x:c>
      <x:c r="O4" s="78" t="str">
        <x:v>Available date</x:v>
      </x:c>
      <x:c r="P4" s="78" t="str">
        <x:v>Lineage</x:v>
      </x:c>
    </x:row>
    <x:row r="5">
      <x:c r="A5" s="59" t="str">
        <x:v>E01</x:v>
      </x:c>
      <x:c r="B5" s="59" t="str">
        <x:v>BHP Group</x:v>
      </x:c>
      <x:c r="C5" s="59" t="str">
        <x:v>Collections</x:v>
      </x:c>
      <x:c r="D5" s="59" t="str">
        <x:v>Audited cash-collections identity</x:v>
      </x:c>
      <x:c r="E5" s="79" t="n">
        <x:v>815198982400</x:v>
      </x:c>
      <x:c r="F5" s="79" t="n">
        <x:v>926362480000</x:v>
      </x:c>
      <x:c r="G5" s="79" t="n">
        <x:v>1037525977600</x:v>
      </x:c>
      <x:c r="H5" s="79" t="n">
        <x:f>G5-E5</x:f>
        <x:v>222326995200</x:v>
      </x:c>
      <x:c r="I5" s="61" t="n">
        <x:f>IF(F5=0,0,H5/F5)</x:f>
        <x:v>0.24</x:v>
      </x:c>
      <x:c r="J5" s="61" t="n">
        <x:v>0.84</x:v>
      </x:c>
      <x:c r="K5" s="59" t="str">
        <x:v>Revenue + opening trade receivables - closing trade receivables</x:v>
      </x:c>
      <x:c r="L5" s="59" t="str">
        <x:v>Accounting proxy bounded at 88%/112% to allow non-cash and classification effects.</x:v>
      </x:c>
      <x:c r="M5" s="59" t="str">
        <x:v>BHP-2025-REV, BHP-2025-AR-OPEN, BHP-2025-AR-CLOSE</x:v>
      </x:c>
      <x:c r="N5" s="59" t="str">
        <x:v>BHP Annual Report 2025 p.118; BHP Annual Report 2025 p.139</x:v>
      </x:c>
      <x:c r="O5" s="59" t="str">
        <x:v>2025-08-19</x:v>
      </x:c>
      <x:c r="P5" s="59" t="str">
        <x:v>legacy/v1 frozen formula -&gt; V2 evidence substrate -&gt; V3 decision context</x:v>
      </x:c>
    </x:row>
    <x:row r="6">
      <x:c r="A6" s="59" t="str">
        <x:v>E01</x:v>
      </x:c>
      <x:c r="B6" s="59" t="str">
        <x:v>BHP Group</x:v>
      </x:c>
      <x:c r="C6" s="59" t="str">
        <x:v>Payments</x:v>
      </x:c>
      <x:c r="D6" s="59" t="str">
        <x:v>Audited supplier-payments identity</x:v>
      </x:c>
      <x:c r="E6" s="79" t="n">
        <x:v>511016035200</x:v>
      </x:c>
      <x:c r="F6" s="79" t="n">
        <x:v>580700040000</x:v>
      </x:c>
      <x:c r="G6" s="79" t="n">
        <x:v>650384044800</x:v>
      </x:c>
      <x:c r="H6" s="79" t="n">
        <x:f>G6-E6</x:f>
        <x:v>139368009600</x:v>
      </x:c>
      <x:c r="I6" s="61" t="n">
        <x:f>IF(F6=0,0,H6/F6)</x:f>
        <x:v>0.24</x:v>
      </x:c>
      <x:c r="J6" s="61" t="n">
        <x:v>0.84</x:v>
      </x:c>
      <x:c r="K6" s="59" t="str">
        <x:v>Cost base + closing inventory - opening inventory + opening trade payables - closing trade payables</x:v>
      </x:c>
      <x:c r="L6" s="59" t="str">
        <x:v>Accounting proxy bounded at 88%/112%; BHP's cost base is expenses excluding net finance costs.</x:v>
      </x:c>
      <x:c r="M6" s="59" t="str">
        <x:v>BHP-2025-COST, BHP-2025-INV-OPEN, BHP-2025-INV-CLOSE, BHP-2025-AP-OPEN, BHP-2025-AP-CLOSE</x:v>
      </x:c>
      <x:c r="N6" s="59" t="str">
        <x:v>BHP Annual Report 2025 p.118; BHP Annual Report 2025 p.139</x:v>
      </x:c>
      <x:c r="O6" s="59" t="str">
        <x:v>2025-08-19</x:v>
      </x:c>
      <x:c r="P6" s="59" t="str">
        <x:v>legacy/v1 frozen formula -&gt; V2 evidence substrate -&gt; V3 decision context</x:v>
      </x:c>
    </x:row>
    <x:row r="7">
      <x:c r="A7" s="59" t="str">
        <x:v>E01</x:v>
      </x:c>
      <x:c r="B7" s="59" t="str">
        <x:v>BHP Group</x:v>
      </x:c>
      <x:c r="C7" s="59" t="str">
        <x:v>Cross-border FX</x:v>
      </x:c>
      <x:c r="D7" s="59" t="str">
        <x:v>Audited FX exposure/notional turnover range</x:v>
      </x:c>
      <x:c r="E7" s="79" t="n">
        <x:v>91496780000</x:v>
      </x:c>
      <x:c r="F7" s="79" t="n">
        <x:v>182993560000</x:v>
      </x:c>
      <x:c r="G7" s="79" t="n">
        <x:v>365987120000</x:v>
      </x:c>
      <x:c r="H7" s="79" t="n">
        <x:f>G7-E7</x:f>
        <x:v>274490340000</x:v>
      </x:c>
      <x:c r="I7" s="61" t="n">
        <x:f>IF(F7=0,0,H7/F7)</x:f>
        <x:v>1.5</x:v>
      </x:c>
      <x:c r="J7" s="61" t="n">
        <x:v>0.84</x:v>
      </x:c>
      <x:c r="K7" s="59" t="str">
        <x:v>Audited FX point exposure or hedge notional × annual turnover multiple</x:v>
      </x:c>
      <x:c r="L7" s="59" t="str">
        <x:v>Annual turnover low/base/high = 1.0x/2.0x/4.0x the disclosed point exposure/notional.</x:v>
      </x:c>
      <x:c r="M7" s="59" t="str">
        <x:v>BHP-2025-FX</x:v>
      </x:c>
      <x:c r="N7" s="59" t="str">
        <x:v>BHP Annual Report 2025 p.160</x:v>
      </x:c>
      <x:c r="O7" s="59" t="str">
        <x:v>2025-08-19</x:v>
      </x:c>
      <x:c r="P7" s="59" t="str">
        <x:v>legacy/v1 frozen formula -&gt; V2 evidence substrate -&gt; V3 decision context</x:v>
      </x:c>
    </x:row>
    <x:row r="8">
      <x:c r="A8" s="59" t="str">
        <x:v>E01</x:v>
      </x:c>
      <x:c r="B8" s="59" t="str">
        <x:v>BHP Group</x:v>
      </x:c>
      <x:c r="C8" s="59" t="str">
        <x:v>Liquidity</x:v>
      </x:c>
      <x:c r="D8" s="59" t="str">
        <x:v>Audited debt-maturity liquidity range</x:v>
      </x:c>
      <x:c r="E8" s="79" t="n">
        <x:v>27031110000</x:v>
      </x:c>
      <x:c r="F8" s="79" t="n">
        <x:v>36041480000</x:v>
      </x:c>
      <x:c r="G8" s="79" t="n">
        <x:v>54062220000</x:v>
      </x:c>
      <x:c r="H8" s="79" t="n">
        <x:f>G8-E8</x:f>
        <x:v>27031110000</x:v>
      </x:c>
      <x:c r="I8" s="61" t="n">
        <x:f>IF(F8=0,0,H8/F8)</x:f>
        <x:v>0.75</x:v>
      </x:c>
      <x:c r="J8" s="61" t="n">
        <x:v>0.84</x:v>
      </x:c>
      <x:c r="K8" s="59" t="str">
        <x:v>Current debt maturity/refinancing amount × declared liquidity multiple</x:v>
      </x:c>
      <x:c r="L8" s="59" t="str">
        <x:v>Liquidity low/base/high = 0.75x/1.00x/1.50x current debt and facilities.</x:v>
      </x:c>
      <x:c r="M8" s="59" t="str">
        <x:v>BHP-2025-DEBT</x:v>
      </x:c>
      <x:c r="N8" s="59" t="str">
        <x:v>BHP Annual Report 2025 p.119</x:v>
      </x:c>
      <x:c r="O8" s="59" t="str">
        <x:v>2025-08-19</x:v>
      </x:c>
      <x:c r="P8" s="59" t="str">
        <x:v>legacy/v1 frozen formula -&gt; V2 evidence substrate -&gt; V3 decision context</x:v>
      </x:c>
    </x:row>
    <x:row r="9">
      <x:c r="A9" s="59" t="str">
        <x:v>E01</x:v>
      </x:c>
      <x:c r="B9" s="59" t="str">
        <x:v>BHP Group</x:v>
      </x:c>
      <x:c r="C9" s="59" t="str">
        <x:v>Trade finance</x:v>
      </x:c>
      <x:c r="D9" s="59" t="str">
        <x:v>Audited payments base × trade-utilisation range</x:v>
      </x:c>
      <x:c r="E9" s="79" t="n">
        <x:v>5807000400</x:v>
      </x:c>
      <x:c r="F9" s="79" t="n">
        <x:v>17421001200</x:v>
      </x:c>
      <x:c r="G9" s="79" t="n">
        <x:v>34842002400</x:v>
      </x:c>
      <x:c r="H9" s="79" t="n">
        <x:f>G9-E9</x:f>
        <x:v>29035002000</x:v>
      </x:c>
      <x:c r="I9" s="61" t="n">
        <x:f>IF(F9=0,0,H9/F9)</x:f>
        <x:v>1.6666666666666667</x:v>
      </x:c>
      <x:c r="J9" s="61" t="n">
        <x:v>0.84</x:v>
      </x:c>
      <x:c r="K9" s="59" t="str">
        <x:v>Audited supplier-payments proxy × declared sector trade-finance utilisation</x:v>
      </x:c>
      <x:c r="L9" s="59" t="str">
        <x:v>Sector utilisation low/base/high = 1.0%/3.0%/6.0%.</x:v>
      </x:c>
      <x:c r="M9" s="59" t="str">
        <x:v>BHP-2025-COST, BHP-2025-INV-OPEN, BHP-2025-INV-CLOSE, BHP-2025-AP-OPEN, BHP-2025-AP-CLOSE</x:v>
      </x:c>
      <x:c r="N9" s="59" t="str">
        <x:v>BHP Annual Report 2025 p.118; BHP Annual Report 2025 p.139</x:v>
      </x:c>
      <x:c r="O9" s="59" t="str">
        <x:v>2025-08-19</x:v>
      </x:c>
      <x:c r="P9" s="59" t="str">
        <x:v>legacy/v1 frozen formula -&gt; V2 evidence substrate -&gt; V3 decision context</x:v>
      </x:c>
    </x:row>
    <x:row r="10">
      <x:c r="A10" s="59" t="str">
        <x:v>E02</x:v>
      </x:c>
      <x:c r="B10" s="59" t="str">
        <x:v>Glencore</x:v>
      </x:c>
      <x:c r="C10" s="59" t="str">
        <x:v>Collections</x:v>
      </x:c>
      <x:c r="D10" s="59" t="str">
        <x:v>Audited cash-collections identity</x:v>
      </x:c>
      <x:c r="E10" s="79" t="n">
        <x:v>3850380248000</x:v>
      </x:c>
      <x:c r="F10" s="79" t="n">
        <x:v>4375432100000</x:v>
      </x:c>
      <x:c r="G10" s="79" t="n">
        <x:v>4900483952000</x:v>
      </x:c>
      <x:c r="H10" s="79" t="n">
        <x:f>G10-E10</x:f>
        <x:v>1050103704000</x:v>
      </x:c>
      <x:c r="I10" s="61" t="n">
        <x:f>IF(F10=0,0,H10/F10)</x:f>
        <x:v>0.24</x:v>
      </x:c>
      <x:c r="J10" s="61" t="n">
        <x:v>0.84</x:v>
      </x:c>
      <x:c r="K10" s="59" t="str">
        <x:v>Revenue + opening trade receivables - closing trade receivables</x:v>
      </x:c>
      <x:c r="L10" s="59" t="str">
        <x:v>Accounting proxy bounded at 88%/112% to allow non-cash and classification effects.</x:v>
      </x:c>
      <x:c r="M10" s="59" t="str">
        <x:v>GLEN-2025-REV, GLEN-2025-AR-OPEN, GLEN-2025-AR-CLOSE</x:v>
      </x:c>
      <x:c r="N10" s="59" t="str">
        <x:v>Glencore Annual Report 2025 p.136; Glencore Annual Report 2025 p.186</x:v>
      </x:c>
      <x:c r="O10" s="59" t="str">
        <x:v>2026-03-10</x:v>
      </x:c>
      <x:c r="P10" s="59" t="str">
        <x:v>legacy/v1 frozen formula -&gt; V2 evidence substrate -&gt; V3 decision context</x:v>
      </x:c>
    </x:row>
    <x:row r="11">
      <x:c r="A11" s="59" t="str">
        <x:v>E02</x:v>
      </x:c>
      <x:c r="B11" s="59" t="str">
        <x:v>Glencore</x:v>
      </x:c>
      <x:c r="C11" s="59" t="str">
        <x:v>Payments</x:v>
      </x:c>
      <x:c r="D11" s="59" t="str">
        <x:v>Audited supplier-payments identity</x:v>
      </x:c>
      <x:c r="E11" s="79" t="n">
        <x:v>3769910232000</x:v>
      </x:c>
      <x:c r="F11" s="79" t="n">
        <x:v>4283988900000</x:v>
      </x:c>
      <x:c r="G11" s="79" t="n">
        <x:v>4798067568000</x:v>
      </x:c>
      <x:c r="H11" s="79" t="n">
        <x:f>G11-E11</x:f>
        <x:v>1028157336000</x:v>
      </x:c>
      <x:c r="I11" s="61" t="n">
        <x:f>IF(F11=0,0,H11/F11)</x:f>
        <x:v>0.24</x:v>
      </x:c>
      <x:c r="J11" s="61" t="n">
        <x:v>0.84</x:v>
      </x:c>
      <x:c r="K11" s="59" t="str">
        <x:v>Cost base + closing inventory - opening inventory + opening trade payables - closing trade payables</x:v>
      </x:c>
      <x:c r="L11" s="59" t="str">
        <x:v>Accounting proxy bounded at 88%/112%; BHP's cost base is expenses excluding net finance costs.</x:v>
      </x:c>
      <x:c r="M11" s="59" t="str">
        <x:v>GLEN-2025-COST, GLEN-2025-INV-OPEN, GLEN-2025-INV-CLOSE, GLEN-2025-AP-OPEN, GLEN-2025-AP-CLOSE</x:v>
      </x:c>
      <x:c r="N11" s="59" t="str">
        <x:v>Glencore Annual Report 2025 p.136; Glencore Annual Report 2025 p.185; Glencore Annual Report 2025 p.205</x:v>
      </x:c>
      <x:c r="O11" s="59" t="str">
        <x:v>2026-03-10</x:v>
      </x:c>
      <x:c r="P11" s="59" t="str">
        <x:v>legacy/v1 frozen formula -&gt; V2 evidence substrate -&gt; V3 decision context</x:v>
      </x:c>
    </x:row>
    <x:row r="12">
      <x:c r="A12" s="59" t="str">
        <x:v>E02</x:v>
      </x:c>
      <x:c r="B12" s="59" t="str">
        <x:v>Glencore</x:v>
      </x:c>
      <x:c r="C12" s="59" t="str">
        <x:v>Cross-border FX</x:v>
      </x:c>
      <x:c r="D12" s="59" t="str">
        <x:v>Audited FX exposure/notional turnover range</x:v>
      </x:c>
      <x:c r="E12" s="79" t="n">
        <x:v>135503820000</x:v>
      </x:c>
      <x:c r="F12" s="79" t="n">
        <x:v>271007640000</x:v>
      </x:c>
      <x:c r="G12" s="79" t="n">
        <x:v>542015280000</x:v>
      </x:c>
      <x:c r="H12" s="79" t="n">
        <x:f>G12-E12</x:f>
        <x:v>406511460000</x:v>
      </x:c>
      <x:c r="I12" s="61" t="n">
        <x:f>IF(F12=0,0,H12/F12)</x:f>
        <x:v>1.5</x:v>
      </x:c>
      <x:c r="J12" s="61" t="n">
        <x:v>0.84</x:v>
      </x:c>
      <x:c r="K12" s="59" t="str">
        <x:v>Audited FX point exposure or hedge notional × annual turnover multiple</x:v>
      </x:c>
      <x:c r="L12" s="59" t="str">
        <x:v>Annual turnover low/base/high = 1.0x/2.0x/4.0x the disclosed point exposure/notional.</x:v>
      </x:c>
      <x:c r="M12" s="59" t="str">
        <x:v>GLEN-2025-FX</x:v>
      </x:c>
      <x:c r="N12" s="59" t="str">
        <x:v>Glencore Annual Report 2025 p.212</x:v>
      </x:c>
      <x:c r="O12" s="59" t="str">
        <x:v>2026-03-10</x:v>
      </x:c>
      <x:c r="P12" s="59" t="str">
        <x:v>legacy/v1 frozen formula -&gt; V2 evidence substrate -&gt; V3 decision context</x:v>
      </x:c>
    </x:row>
    <x:row r="13">
      <x:c r="A13" s="59" t="str">
        <x:v>E02</x:v>
      </x:c>
      <x:c r="B13" s="59" t="str">
        <x:v>Glencore</x:v>
      </x:c>
      <x:c r="C13" s="59" t="str">
        <x:v>Liquidity</x:v>
      </x:c>
      <x:c r="D13" s="59" t="str">
        <x:v>Audited debt-maturity liquidity range</x:v>
      </x:c>
      <x:c r="E13" s="79" t="n">
        <x:v>194147130000</x:v>
      </x:c>
      <x:c r="F13" s="79" t="n">
        <x:v>258862840000</x:v>
      </x:c>
      <x:c r="G13" s="79" t="n">
        <x:v>388294260000</x:v>
      </x:c>
      <x:c r="H13" s="79" t="n">
        <x:f>G13-E13</x:f>
        <x:v>194147130000</x:v>
      </x:c>
      <x:c r="I13" s="61" t="n">
        <x:f>IF(F13=0,0,H13/F13)</x:f>
        <x:v>0.75</x:v>
      </x:c>
      <x:c r="J13" s="61" t="n">
        <x:v>0.84</x:v>
      </x:c>
      <x:c r="K13" s="59" t="str">
        <x:v>Current debt maturity/refinancing amount × declared liquidity multiple</x:v>
      </x:c>
      <x:c r="L13" s="59" t="str">
        <x:v>Liquidity low/base/high = 0.75x/1.00x/1.50x current debt and facilities.</x:v>
      </x:c>
      <x:c r="M13" s="59" t="str">
        <x:v>GLEN-2025-DEBT</x:v>
      </x:c>
      <x:c r="N13" s="59" t="str">
        <x:v>Glencore Annual Report 2025 p.138</x:v>
      </x:c>
      <x:c r="O13" s="59" t="str">
        <x:v>2026-03-10</x:v>
      </x:c>
      <x:c r="P13" s="59" t="str">
        <x:v>legacy/v1 frozen formula -&gt; V2 evidence substrate -&gt; V3 decision context</x:v>
      </x:c>
    </x:row>
    <x:row r="14">
      <x:c r="A14" s="59" t="str">
        <x:v>E02</x:v>
      </x:c>
      <x:c r="B14" s="59" t="str">
        <x:v>Glencore</x:v>
      </x:c>
      <x:c r="C14" s="59" t="str">
        <x:v>Trade finance</x:v>
      </x:c>
      <x:c r="D14" s="59" t="str">
        <x:v>Audited payments base × trade-utilisation range</x:v>
      </x:c>
      <x:c r="E14" s="79" t="n">
        <x:v>42839889000</x:v>
      </x:c>
      <x:c r="F14" s="79" t="n">
        <x:v>128519667000</x:v>
      </x:c>
      <x:c r="G14" s="79" t="n">
        <x:v>257039334000</x:v>
      </x:c>
      <x:c r="H14" s="79" t="n">
        <x:f>G14-E14</x:f>
        <x:v>214199445000</x:v>
      </x:c>
      <x:c r="I14" s="61" t="n">
        <x:f>IF(F14=0,0,H14/F14)</x:f>
        <x:v>1.6666666666666667</x:v>
      </x:c>
      <x:c r="J14" s="61" t="n">
        <x:v>0.84</x:v>
      </x:c>
      <x:c r="K14" s="59" t="str">
        <x:v>Audited supplier-payments proxy × declared sector trade-finance utilisation</x:v>
      </x:c>
      <x:c r="L14" s="59" t="str">
        <x:v>Sector utilisation low/base/high = 1.0%/3.0%/6.0%.</x:v>
      </x:c>
      <x:c r="M14" s="59" t="str">
        <x:v>GLEN-2025-COST, GLEN-2025-INV-OPEN, GLEN-2025-INV-CLOSE, GLEN-2025-AP-OPEN, GLEN-2025-AP-CLOSE</x:v>
      </x:c>
      <x:c r="N14" s="59" t="str">
        <x:v>Glencore Annual Report 2025 p.136; Glencore Annual Report 2025 p.185; Glencore Annual Report 2025 p.205</x:v>
      </x:c>
      <x:c r="O14" s="59" t="str">
        <x:v>2026-03-10</x:v>
      </x:c>
      <x:c r="P14" s="59" t="str">
        <x:v>legacy/v1 frozen formula -&gt; V2 evidence substrate -&gt; V3 decision context</x:v>
      </x:c>
    </x:row>
    <x:row r="15">
      <x:c r="A15" s="59" t="str">
        <x:v>E09</x:v>
      </x:c>
      <x:c r="B15" s="59" t="str">
        <x:v>Shoprite Holdings</x:v>
      </x:c>
      <x:c r="C15" s="59" t="str">
        <x:v>Collections</x:v>
      </x:c>
      <x:c r="D15" s="59" t="str">
        <x:v>Audited cash-collections identity</x:v>
      </x:c>
      <x:c r="E15" s="79" t="n">
        <x:v>226252400000</x:v>
      </x:c>
      <x:c r="F15" s="79" t="n">
        <x:v>257105000000</x:v>
      </x:c>
      <x:c r="G15" s="79" t="n">
        <x:v>287957600000</x:v>
      </x:c>
      <x:c r="H15" s="79" t="n">
        <x:f>G15-E15</x:f>
        <x:v>61705200000</x:v>
      </x:c>
      <x:c r="I15" s="61" t="n">
        <x:f>IF(F15=0,0,H15/F15)</x:f>
        <x:v>0.24</x:v>
      </x:c>
      <x:c r="J15" s="61" t="n">
        <x:v>0.84</x:v>
      </x:c>
      <x:c r="K15" s="59" t="str">
        <x:v>Revenue + opening trade receivables - closing trade receivables</x:v>
      </x:c>
      <x:c r="L15" s="59" t="str">
        <x:v>Accounting proxy bounded at 88%/112% to allow non-cash and classification effects.</x:v>
      </x:c>
      <x:c r="M15" s="59" t="str">
        <x:v>SHP-2025-REV, SHP-2025-AR-OPEN, SHP-2025-AR-CLOSE</x:v>
      </x:c>
      <x:c r="N15" s="59" t="str">
        <x:v>Shoprite Holdings Annual Financial Statements 2025 p.18; Shoprite Holdings Annual Financial Statements 2025 p.19</x:v>
      </x:c>
      <x:c r="O15" s="59" t="str">
        <x:v>2025-10-13</x:v>
      </x:c>
      <x:c r="P15" s="59" t="str">
        <x:v>legacy/v1 frozen formula -&gt; V2 evidence substrate -&gt; V3 decision context</x:v>
      </x:c>
    </x:row>
    <x:row r="16">
      <x:c r="A16" s="59" t="str">
        <x:v>E09</x:v>
      </x:c>
      <x:c r="B16" s="59" t="str">
        <x:v>Shoprite Holdings</x:v>
      </x:c>
      <x:c r="C16" s="59" t="str">
        <x:v>Payments</x:v>
      </x:c>
      <x:c r="D16" s="59" t="str">
        <x:v>Audited supplier-payments identity</x:v>
      </x:c>
      <x:c r="E16" s="79" t="n">
        <x:v>168102000000</x:v>
      </x:c>
      <x:c r="F16" s="79" t="n">
        <x:v>191025000000</x:v>
      </x:c>
      <x:c r="G16" s="79" t="n">
        <x:v>213948000000</x:v>
      </x:c>
      <x:c r="H16" s="79" t="n">
        <x:f>G16-E16</x:f>
        <x:v>45846000000</x:v>
      </x:c>
      <x:c r="I16" s="61" t="n">
        <x:f>IF(F16=0,0,H16/F16)</x:f>
        <x:v>0.24</x:v>
      </x:c>
      <x:c r="J16" s="61" t="n">
        <x:v>0.84</x:v>
      </x:c>
      <x:c r="K16" s="59" t="str">
        <x:v>Cost base + closing inventory - opening inventory + opening trade payables - closing trade payables</x:v>
      </x:c>
      <x:c r="L16" s="59" t="str">
        <x:v>Accounting proxy bounded at 88%/112%; BHP's cost base is expenses excluding net finance costs.</x:v>
      </x:c>
      <x:c r="M16" s="59" t="str">
        <x:v>SHP-2025-COST, SHP-2025-INV-OPEN, SHP-2025-INV-CLOSE, SHP-2025-AP-OPEN, SHP-2025-AP-CLOSE</x:v>
      </x:c>
      <x:c r="N16" s="59" t="str">
        <x:v>Shoprite Holdings Annual Financial Statements 2025 p.18; Shoprite Holdings Annual Financial Statements 2025 p.19</x:v>
      </x:c>
      <x:c r="O16" s="59" t="str">
        <x:v>2025-10-13</x:v>
      </x:c>
      <x:c r="P16" s="59" t="str">
        <x:v>legacy/v1 frozen formula -&gt; V2 evidence substrate -&gt; V3 decision context</x:v>
      </x:c>
    </x:row>
    <x:row r="17">
      <x:c r="A17" s="59" t="str">
        <x:v>E09</x:v>
      </x:c>
      <x:c r="B17" s="59" t="str">
        <x:v>Shoprite Holdings</x:v>
      </x:c>
      <x:c r="C17" s="59" t="str">
        <x:v>Cross-border FX</x:v>
      </x:c>
      <x:c r="D17" s="59" t="str">
        <x:v>Audited FX exposure/notional turnover range</x:v>
      </x:c>
      <x:c r="E17" s="79" t="n">
        <x:v>3572000000</x:v>
      </x:c>
      <x:c r="F17" s="79" t="n">
        <x:v>7144000000</x:v>
      </x:c>
      <x:c r="G17" s="79" t="n">
        <x:v>14288000000</x:v>
      </x:c>
      <x:c r="H17" s="79" t="n">
        <x:f>G17-E17</x:f>
        <x:v>10716000000</x:v>
      </x:c>
      <x:c r="I17" s="61" t="n">
        <x:f>IF(F17=0,0,H17/F17)</x:f>
        <x:v>1.5</x:v>
      </x:c>
      <x:c r="J17" s="61" t="n">
        <x:v>0.84</x:v>
      </x:c>
      <x:c r="K17" s="59" t="str">
        <x:v>Audited FX point exposure or hedge notional × annual turnover multiple</x:v>
      </x:c>
      <x:c r="L17" s="59" t="str">
        <x:v>Annual turnover low/base/high = 1.0x/2.0x/4.0x the disclosed point exposure/notional.</x:v>
      </x:c>
      <x:c r="M17" s="59" t="str">
        <x:v>SHP-2025-FX</x:v>
      </x:c>
      <x:c r="N17" s="59" t="str">
        <x:v>Shoprite Holdings Annual Financial Statements 2025 p.118-119</x:v>
      </x:c>
      <x:c r="O17" s="59" t="str">
        <x:v>2025-10-13</x:v>
      </x:c>
      <x:c r="P17" s="59" t="str">
        <x:v>legacy/v1 frozen formula -&gt; V2 evidence substrate -&gt; V3 decision context</x:v>
      </x:c>
    </x:row>
    <x:row r="18">
      <x:c r="A18" s="59" t="str">
        <x:v>E09</x:v>
      </x:c>
      <x:c r="B18" s="59" t="str">
        <x:v>Shoprite Holdings</x:v>
      </x:c>
      <x:c r="C18" s="59" t="str">
        <x:v>Liquidity</x:v>
      </x:c>
      <x:c r="D18" s="59" t="str">
        <x:v>Audited debt-maturity liquidity range</x:v>
      </x:c>
      <x:c r="E18" s="79" t="n">
        <x:v>1764000000</x:v>
      </x:c>
      <x:c r="F18" s="79" t="n">
        <x:v>2352000000</x:v>
      </x:c>
      <x:c r="G18" s="79" t="n">
        <x:v>3528000000</x:v>
      </x:c>
      <x:c r="H18" s="79" t="n">
        <x:f>G18-E18</x:f>
        <x:v>1764000000</x:v>
      </x:c>
      <x:c r="I18" s="61" t="n">
        <x:f>IF(F18=0,0,H18/F18)</x:f>
        <x:v>0.75</x:v>
      </x:c>
      <x:c r="J18" s="61" t="n">
        <x:v>0.84</x:v>
      </x:c>
      <x:c r="K18" s="59" t="str">
        <x:v>Current debt maturity/refinancing amount × declared liquidity multiple</x:v>
      </x:c>
      <x:c r="L18" s="59" t="str">
        <x:v>Liquidity low/base/high = 0.75x/1.00x/1.50x current debt and facilities.</x:v>
      </x:c>
      <x:c r="M18" s="59" t="str">
        <x:v>SHP-2025-DEBT, SHP-2025-STF</x:v>
      </x:c>
      <x:c r="N18" s="59" t="str">
        <x:v>Shoprite Holdings Annual Financial Statements 2025 p.18</x:v>
      </x:c>
      <x:c r="O18" s="59" t="str">
        <x:v>2025-10-13</x:v>
      </x:c>
      <x:c r="P18" s="59" t="str">
        <x:v>legacy/v1 frozen formula -&gt; V2 evidence substrate -&gt; V3 decision context</x:v>
      </x:c>
    </x:row>
    <x:row r="19">
      <x:c r="A19" s="59" t="str">
        <x:v>E09</x:v>
      </x:c>
      <x:c r="B19" s="59" t="str">
        <x:v>Shoprite Holdings</x:v>
      </x:c>
      <x:c r="C19" s="59" t="str">
        <x:v>Trade finance</x:v>
      </x:c>
      <x:c r="D19" s="59" t="str">
        <x:v>Audited payments base × trade-utilisation range</x:v>
      </x:c>
      <x:c r="E19" s="79" t="n">
        <x:v>955125000</x:v>
      </x:c>
      <x:c r="F19" s="79" t="n">
        <x:v>2865375000</x:v>
      </x:c>
      <x:c r="G19" s="79" t="n">
        <x:v>7641000000</x:v>
      </x:c>
      <x:c r="H19" s="79" t="n">
        <x:f>G19-E19</x:f>
        <x:v>6685875000</x:v>
      </x:c>
      <x:c r="I19" s="61" t="n">
        <x:f>IF(F19=0,0,H19/F19)</x:f>
        <x:v>2.3333333333333335</x:v>
      </x:c>
      <x:c r="J19" s="61" t="n">
        <x:v>0.84</x:v>
      </x:c>
      <x:c r="K19" s="59" t="str">
        <x:v>Audited supplier-payments proxy × declared sector trade-finance utilisation</x:v>
      </x:c>
      <x:c r="L19" s="59" t="str">
        <x:v>Sector utilisation low/base/high = 0.5%/1.5%/4.0%.</x:v>
      </x:c>
      <x:c r="M19" s="59" t="str">
        <x:v>SHP-2025-COST, SHP-2025-INV-OPEN, SHP-2025-INV-CLOSE, SHP-2025-AP-OPEN, SHP-2025-AP-CLOSE</x:v>
      </x:c>
      <x:c r="N19" s="59" t="str">
        <x:v>Shoprite Holdings Annual Financial Statements 2025 p.18; Shoprite Holdings Annual Financial Statements 2025 p.19</x:v>
      </x:c>
      <x:c r="O19" s="59" t="str">
        <x:v>2025-10-13</x:v>
      </x:c>
      <x:c r="P19" s="59" t="str">
        <x:v>legacy/v1 frozen formula -&gt; V2 evidence substrate -&gt; V3 decision context</x:v>
      </x:c>
    </x:row>
  </x:sheetData>
  <x:mergeCells>
    <x:mergeCell ref="A1:P1"/>
    <x:mergeCell ref="A2:P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28" hidden="0" customWidth="1"/>
    <x:col min="3" max="3" width="15" hidden="0" customWidth="1"/>
    <x:col min="4" max="4" width="23"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48" hidden="0" customWidth="1"/>
  </x:cols>
  <x:sheetData>
    <x:row r="1" ht="35" customHeight="1">
      <x:c r="A1" s="3" t="str">
        <x:v>V3 Decision Impact</x:v>
      </x:c>
      <x:c r="B1" s="3"/>
      <x:c r="C1" s="3"/>
      <x:c r="D1" s="3"/>
      <x:c r="E1" s="3"/>
      <x:c r="F1" s="3"/>
      <x:c r="G1" s="3"/>
      <x:c r="H1" s="3"/>
      <x:c r="I1" s="3"/>
      <x:c r="J1" s="3"/>
      <x:c r="K1" s="3"/>
      <x:c r="L1" s="3"/>
      <x:c r="M1" s="3"/>
      <x:c r="N1" s="3"/>
      <x:c r="O1" s="3"/>
      <x:c r="P1" s="3"/>
      <x:c r="Q1" s="3"/>
      <x:c r="R1" s="3"/>
      <x:c r="S1" s="3"/>
      <x:c r="T1" s="3"/>
    </x:row>
    <x:row r="2" ht="26" customHeight="1">
      <x:c r="A2" s="7" t="str">
        <x:v>Every opportunity shows its evidence, claim boundary, reconstructed interval, signal state, selection and evidence-acquisition consequence.</x:v>
      </x:c>
      <x:c r="B2" s="7"/>
      <x:c r="C2" s="7"/>
      <x:c r="D2" s="7"/>
      <x:c r="E2" s="7"/>
      <x:c r="F2" s="7"/>
      <x:c r="G2" s="7"/>
      <x:c r="H2" s="7"/>
      <x:c r="I2" s="7"/>
      <x:c r="J2" s="7"/>
      <x:c r="K2" s="7"/>
      <x:c r="L2" s="7"/>
      <x:c r="M2" s="7"/>
      <x:c r="N2" s="7"/>
      <x:c r="O2" s="7"/>
      <x:c r="P2" s="7"/>
      <x:c r="Q2" s="7"/>
      <x:c r="R2" s="7"/>
      <x:c r="S2" s="7"/>
      <x:c r="T2" s="7"/>
    </x:row>
    <x:row r="4" ht="30" customHeight="1">
      <x:c r="A4" s="55" t="str">
        <x:v>Decision rank</x:v>
      </x:c>
      <x:c r="B4" s="55" t="str">
        <x:v>Opportunity ID</x:v>
      </x:c>
      <x:c r="C4" s="55" t="str">
        <x:v>Entity ID</x:v>
      </x:c>
      <x:c r="D4" s="55" t="str">
        <x:v>Client</x:v>
      </x:c>
      <x:c r="E4" s="55" t="str">
        <x:v>Sector</x:v>
      </x:c>
      <x:c r="F4" s="55" t="str">
        <x:v>Product</x:v>
      </x:c>
      <x:c r="G4" s="55" t="str">
        <x:v>Evidence tier</x:v>
      </x:c>
      <x:c r="H4" s="55" t="str">
        <x:v>Need probability</x:v>
      </x:c>
      <x:c r="I4" s="55" t="str">
        <x:v>Leakage probability</x:v>
      </x:c>
      <x:c r="J4" s="55" t="str">
        <x:v>Change probability</x:v>
      </x:c>
      <x:c r="K4" s="55" t="str">
        <x:v>Latent external wallet P50</x:v>
      </x:c>
      <x:c r="L4" s="55" t="str">
        <x:v>Bank share low</x:v>
      </x:c>
      <x:c r="M4" s="55" t="str">
        <x:v>Bank share P50</x:v>
      </x:c>
      <x:c r="N4" s="55" t="str">
        <x:v>Bank share high</x:v>
      </x:c>
      <x:c r="O4" s="55" t="str">
        <x:v>Decision score</x:v>
      </x:c>
      <x:c r="P4" s="55" t="str">
        <x:v>RM action</x:v>
      </x:c>
      <x:c r="Q4" s="55" t="str">
        <x:v>Scenario value ZAR</x:v>
      </x:c>
      <x:c r="R4" s="55" t="str">
        <x:v>Evidence plan</x:v>
      </x:c>
      <x:c r="S4" s="55" t="str">
        <x:v>Net VOI ZAR</x:v>
      </x:c>
      <x:c r="T4" s="55" t="str">
        <x:v>Measurement boundary</x:v>
      </x:c>
    </x:row>
    <x:row r="5">
      <x:c r="A5" s="59" t="n">
        <x:v>1</x:v>
      </x:c>
      <x:c r="B5" s="59" t="str">
        <x:v>E16-cross-border-fx</x:v>
      </x:c>
      <x:c r="C5" s="59" t="str">
        <x:v>E16</x:v>
      </x:c>
      <x:c r="D5" s="59" t="str">
        <x:v>MTN Group</x:v>
      </x:c>
      <x:c r="E5" s="59" t="str">
        <x:v>telecoms</x:v>
      </x:c>
      <x:c r="F5" s="59" t="str">
        <x:v>Cross-border FX</x:v>
      </x:c>
      <x:c r="G5" s="59" t="str">
        <x:v>E1</x:v>
      </x:c>
      <x:c r="H5" s="61" t="n">
        <x:v>1</x:v>
      </x:c>
      <x:c r="I5" s="61" t="n">
        <x:v>0.12636212</x:v>
      </x:c>
      <x:c r="J5" s="61" t="n">
        <x:v>0.05984303</x:v>
      </x:c>
      <x:c r="K5" s="79" t="n">
        <x:v>28944146932</x:v>
      </x:c>
      <x:c r="L5" s="61" t="n">
        <x:v>0.08605424</x:v>
      </x:c>
      <x:c r="M5" s="61" t="n">
        <x:v>0.17637785</x:v>
      </x:c>
      <x:c r="N5" s="61" t="n">
        <x:v>0.28419213</x:v>
      </x:c>
      <x:c r="O5" s="80" t="n">
        <x:v>62.55299245</x:v>
      </x:c>
      <x:c r="P5" s="59" t="str">
        <x:v>SELECTED</x:v>
      </x:c>
      <x:c r="Q5" s="79" t="n">
        <x:v>3702208</x:v>
      </x:c>
      <x:c r="R5" s="59" t="str">
        <x:v>SELECTED</x:v>
      </x:c>
      <x:c r="S5" s="79" t="n">
        <x:v>3560025</x:v>
      </x:c>
      <x:c r="T5" s="59" t="str">
        <x:v>SCENARIO/RECONSTRUCTED_NOT_MEASURED; need/leakage POSTERIOR</x:v>
      </x:c>
    </x:row>
    <x:row r="6">
      <x:c r="A6" s="59" t="n">
        <x:v>2</x:v>
      </x:c>
      <x:c r="B6" s="59" t="str">
        <x:v>E02-trade-finance</x:v>
      </x:c>
      <x:c r="C6" s="59" t="str">
        <x:v>E02</x:v>
      </x:c>
      <x:c r="D6" s="59" t="str">
        <x:v>Glencore</x:v>
      </x:c>
      <x:c r="E6" s="59" t="str">
        <x:v>mining</x:v>
      </x:c>
      <x:c r="F6" s="59" t="str">
        <x:v>Trade finance</x:v>
      </x:c>
      <x:c r="G6" s="59" t="str">
        <x:v>E1</x:v>
      </x:c>
      <x:c r="H6" s="61" t="n">
        <x:v>1</x:v>
      </x:c>
      <x:c r="I6" s="61" t="n">
        <x:v>0.08032684</x:v>
      </x:c>
      <x:c r="J6" s="61" t="n">
        <x:v>0.04585535</x:v>
      </x:c>
      <x:c r="K6" s="79" t="n">
        <x:v>13906228790</x:v>
      </x:c>
      <x:c r="L6" s="61" t="n">
        <x:v>0.03013429</x:v>
      </x:c>
      <x:c r="M6" s="61" t="n">
        <x:v>0.07238021</x:v>
      </x:c>
      <x:c r="N6" s="61" t="n">
        <x:v>0.12612204</x:v>
      </x:c>
      <x:c r="O6" s="80" t="n">
        <x:v>62.00817098</x:v>
      </x:c>
      <x:c r="P6" s="59" t="str">
        <x:v>SELECTED</x:v>
      </x:c>
      <x:c r="Q6" s="79" t="n">
        <x:v>11057777</x:v>
      </x:c>
      <x:c r="R6" s="59" t="str">
        <x:v>SELECTED</x:v>
      </x:c>
      <x:c r="S6" s="79" t="n">
        <x:v>5395267</x:v>
      </x:c>
      <x:c r="T6" s="59" t="str">
        <x:v>SCENARIO/RECONSTRUCTED_NOT_MEASURED; need/leakage POSTERIOR</x:v>
      </x:c>
    </x:row>
    <x:row r="7">
      <x:c r="A7" s="59" t="n">
        <x:v>3</x:v>
      </x:c>
      <x:c r="B7" s="59" t="str">
        <x:v>E01-trade-finance</x:v>
      </x:c>
      <x:c r="C7" s="59" t="str">
        <x:v>E01</x:v>
      </x:c>
      <x:c r="D7" s="59" t="str">
        <x:v>BHP Group</x:v>
      </x:c>
      <x:c r="E7" s="59" t="str">
        <x:v>mining</x:v>
      </x:c>
      <x:c r="F7" s="59" t="str">
        <x:v>Trade finance</x:v>
      </x:c>
      <x:c r="G7" s="59" t="str">
        <x:v>E1</x:v>
      </x:c>
      <x:c r="H7" s="61" t="n">
        <x:v>1</x:v>
      </x:c>
      <x:c r="I7" s="61" t="n">
        <x:v>0.0350237</x:v>
      </x:c>
      <x:c r="J7" s="61" t="n">
        <x:v>0.05725863</x:v>
      </x:c>
      <x:c r="K7" s="79" t="n">
        <x:v>7482426548</x:v>
      </x:c>
      <x:c r="L7" s="61" t="n">
        <x:v>0.06541508</x:v>
      </x:c>
      <x:c r="M7" s="61" t="n">
        <x:v>0.16181852</x:v>
      </x:c>
      <x:c r="N7" s="61" t="n">
        <x:v>0.28037545</x:v>
      </x:c>
      <x:c r="O7" s="80" t="n">
        <x:v>60.67357241</x:v>
      </x:c>
      <x:c r="P7" s="59" t="str">
        <x:v>SELECTED</x:v>
      </x:c>
      <x:c r="Q7" s="79" t="n">
        <x:v>4613778</x:v>
      </x:c>
      <x:c r="R7" s="59" t="str">
        <x:v>SELECTED</x:v>
      </x:c>
      <x:c r="S7" s="79" t="n">
        <x:v>3538200</x:v>
      </x:c>
      <x:c r="T7" s="59" t="str">
        <x:v>SCENARIO/RECONSTRUCTED_NOT_MEASURED; need/leakage POSTERIOR</x:v>
      </x:c>
    </x:row>
    <x:row r="8">
      <x:c r="A8" s="59" t="n">
        <x:v>4</x:v>
      </x:c>
      <x:c r="B8" s="59" t="str">
        <x:v>E10-cross-border-fx</x:v>
      </x:c>
      <x:c r="C8" s="59" t="str">
        <x:v>E10</x:v>
      </x:c>
      <x:c r="D8" s="59" t="str">
        <x:v>Bid Corporation</x:v>
      </x:c>
      <x:c r="E8" s="59" t="str">
        <x:v>consumer</x:v>
      </x:c>
      <x:c r="F8" s="59" t="str">
        <x:v>Cross-border FX</x:v>
      </x:c>
      <x:c r="G8" s="59" t="str">
        <x:v>E1</x:v>
      </x:c>
      <x:c r="H8" s="61" t="n">
        <x:v>1</x:v>
      </x:c>
      <x:c r="I8" s="61" t="n">
        <x:v>0.01850441</x:v>
      </x:c>
      <x:c r="J8" s="61" t="n">
        <x:v>0.03164805</x:v>
      </x:c>
      <x:c r="K8" s="79" t="n">
        <x:v>23598224295</x:v>
      </x:c>
      <x:c r="L8" s="61" t="n">
        <x:v>0.10006261</x:v>
      </x:c>
      <x:c r="M8" s="61" t="n">
        <x:v>0.20666712</x:v>
      </x:c>
      <x:c r="N8" s="61" t="n">
        <x:v>0.33367031</x:v>
      </x:c>
      <x:c r="O8" s="80" t="n">
        <x:v>59.04846893</x:v>
      </x:c>
      <x:c r="P8" s="59" t="str">
        <x:v>SELECTED</x:v>
      </x:c>
      <x:c r="Q8" s="79" t="n">
        <x:v>2606874</x:v>
      </x:c>
      <x:c r="R8" s="59" t="str">
        <x:v>SELECTED</x:v>
      </x:c>
      <x:c r="S8" s="79" t="n">
        <x:v>2616634</x:v>
      </x:c>
      <x:c r="T8" s="59" t="str">
        <x:v>SCENARIO/RECONSTRUCTED_NOT_MEASURED; need/leakage POSTERIOR</x:v>
      </x:c>
    </x:row>
    <x:row r="9">
      <x:c r="A9" s="59" t="n">
        <x:v>5</x:v>
      </x:c>
      <x:c r="B9" s="59" t="str">
        <x:v>E08-liquidity</x:v>
      </x:c>
      <x:c r="C9" s="59" t="str">
        <x:v>E08</x:v>
      </x:c>
      <x:c r="D9" s="59" t="str">
        <x:v>Sanlam</x:v>
      </x:c>
      <x:c r="E9" s="59" t="str">
        <x:v>insurance</x:v>
      </x:c>
      <x:c r="F9" s="59" t="str">
        <x:v>Liquidity</x:v>
      </x:c>
      <x:c r="G9" s="59" t="str">
        <x:v>E1</x:v>
      </x:c>
      <x:c r="H9" s="61" t="n">
        <x:v>1</x:v>
      </x:c>
      <x:c r="I9" s="61" t="n">
        <x:v>0.02217396</x:v>
      </x:c>
      <x:c r="J9" s="61" t="n">
        <x:v>0.02541089</x:v>
      </x:c>
      <x:c r="K9" s="79" t="n">
        <x:v>33326870425</x:v>
      </x:c>
      <x:c r="L9" s="61" t="n">
        <x:v>0.09981277</x:v>
      </x:c>
      <x:c r="M9" s="61" t="n">
        <x:v>0.21971698</x:v>
      </x:c>
      <x:c r="N9" s="61" t="n">
        <x:v>0.35241295</x:v>
      </x:c>
      <x:c r="O9" s="80" t="n">
        <x:v>58.33212687</x:v>
      </x:c>
      <x:c r="P9" s="59" t="str">
        <x:v>SELECTED</x:v>
      </x:c>
      <x:c r="Q9" s="79" t="n">
        <x:v>2313723</x:v>
      </x:c>
      <x:c r="R9" s="59" t="str">
        <x:v>DEFERRED</x:v>
      </x:c>
      <x:c r="S9" s="79" t="n">
        <x:v>0</x:v>
      </x:c>
      <x:c r="T9" s="59" t="str">
        <x:v>SCENARIO/RECONSTRUCTED_NOT_MEASURED; need/leakage POSTERIOR</x:v>
      </x:c>
    </x:row>
    <x:row r="10">
      <x:c r="A10" s="59" t="n">
        <x:v>6</x:v>
      </x:c>
      <x:c r="B10" s="59" t="str">
        <x:v>E16-liquidity</x:v>
      </x:c>
      <x:c r="C10" s="59" t="str">
        <x:v>E16</x:v>
      </x:c>
      <x:c r="D10" s="59" t="str">
        <x:v>MTN Group</x:v>
      </x:c>
      <x:c r="E10" s="59" t="str">
        <x:v>telecoms</x:v>
      </x:c>
      <x:c r="F10" s="59" t="str">
        <x:v>Liquidity</x:v>
      </x:c>
      <x:c r="G10" s="59" t="str">
        <x:v>E1</x:v>
      </x:c>
      <x:c r="H10" s="61" t="n">
        <x:v>1</x:v>
      </x:c>
      <x:c r="I10" s="61" t="n">
        <x:v>0.04739142</x:v>
      </x:c>
      <x:c r="J10" s="61" t="n">
        <x:v>0.05149937</x:v>
      </x:c>
      <x:c r="K10" s="79" t="n">
        <x:v>24686765731</x:v>
      </x:c>
      <x:c r="L10" s="61" t="n">
        <x:v>0.07863624</x:v>
      </x:c>
      <x:c r="M10" s="61" t="n">
        <x:v>0.17081301</x:v>
      </x:c>
      <x:c r="N10" s="61" t="n">
        <x:v>0.27613837</x:v>
      </x:c>
      <x:c r="O10" s="80" t="n">
        <x:v>58.15448254</x:v>
      </x:c>
      <x:c r="P10" s="59" t="str">
        <x:v>NOT SELECTED</x:v>
      </x:c>
      <x:c r="Q10" s="79" t="n">
        <x:v>0</x:v>
      </x:c>
      <x:c r="R10" s="59" t="str">
        <x:v>DEFERRED</x:v>
      </x:c>
      <x:c r="S10" s="79" t="n">
        <x:v>0</x:v>
      </x:c>
      <x:c r="T10" s="59" t="str">
        <x:v>SCENARIO/RECONSTRUCTED_NOT_MEASURED; need/leakage POSTERIOR</x:v>
      </x:c>
    </x:row>
    <x:row r="11">
      <x:c r="A11" s="59" t="n">
        <x:v>7</x:v>
      </x:c>
      <x:c r="B11" s="59" t="str">
        <x:v>E10-liquidity</x:v>
      </x:c>
      <x:c r="C11" s="59" t="str">
        <x:v>E10</x:v>
      </x:c>
      <x:c r="D11" s="59" t="str">
        <x:v>Bid Corporation</x:v>
      </x:c>
      <x:c r="E11" s="59" t="str">
        <x:v>consumer</x:v>
      </x:c>
      <x:c r="F11" s="59" t="str">
        <x:v>Liquidity</x:v>
      </x:c>
      <x:c r="G11" s="59" t="str">
        <x:v>E1</x:v>
      </x:c>
      <x:c r="H11" s="61" t="n">
        <x:v>1</x:v>
      </x:c>
      <x:c r="I11" s="61" t="n">
        <x:v>0.03482525</x:v>
      </x:c>
      <x:c r="J11" s="61" t="n">
        <x:v>0.03661893</x:v>
      </x:c>
      <x:c r="K11" s="79" t="n">
        <x:v>26512236695</x:v>
      </x:c>
      <x:c r="L11" s="61" t="n">
        <x:v>0.08676476</x:v>
      </x:c>
      <x:c r="M11" s="61" t="n">
        <x:v>0.19176973</x:v>
      </x:c>
      <x:c r="N11" s="61" t="n">
        <x:v>0.30686383</x:v>
      </x:c>
      <x:c r="O11" s="80" t="n">
        <x:v>58.04234835</x:v>
      </x:c>
      <x:c r="P11" s="59" t="str">
        <x:v>NOT SELECTED</x:v>
      </x:c>
      <x:c r="Q11" s="79" t="n">
        <x:v>0</x:v>
      </x:c>
      <x:c r="R11" s="59" t="str">
        <x:v>DEFERRED</x:v>
      </x:c>
      <x:c r="S11" s="79" t="n">
        <x:v>0</x:v>
      </x:c>
      <x:c r="T11" s="59" t="str">
        <x:v>SCENARIO/RECONSTRUCTED_NOT_MEASURED; need/leakage POSTERIOR</x:v>
      </x:c>
    </x:row>
    <x:row r="12">
      <x:c r="A12" s="59" t="n">
        <x:v>8</x:v>
      </x:c>
      <x:c r="B12" s="59" t="str">
        <x:v>E01-collections</x:v>
      </x:c>
      <x:c r="C12" s="59" t="str">
        <x:v>E01</x:v>
      </x:c>
      <x:c r="D12" s="59" t="str">
        <x:v>BHP Group</x:v>
      </x:c>
      <x:c r="E12" s="59" t="str">
        <x:v>mining</x:v>
      </x:c>
      <x:c r="F12" s="59" t="str">
        <x:v>Collections</x:v>
      </x:c>
      <x:c r="G12" s="59" t="str">
        <x:v>E1</x:v>
      </x:c>
      <x:c r="H12" s="61" t="n">
        <x:v>1</x:v>
      </x:c>
      <x:c r="I12" s="61" t="n">
        <x:v>0.04954831</x:v>
      </x:c>
      <x:c r="J12" s="61" t="n">
        <x:v>0.0408404</x:v>
      </x:c>
      <x:c r="K12" s="79" t="n">
        <x:v>82018606043</x:v>
      </x:c>
      <x:c r="L12" s="61" t="n">
        <x:v>0.05943205</x:v>
      </x:c>
      <x:c r="M12" s="61" t="n">
        <x:v>0.10071775</x:v>
      </x:c>
      <x:c r="N12" s="61" t="n">
        <x:v>0.14078203</x:v>
      </x:c>
      <x:c r="O12" s="80" t="n">
        <x:v>57.80436431</x:v>
      </x:c>
      <x:c r="P12" s="59" t="str">
        <x:v>NOT SELECTED</x:v>
      </x:c>
      <x:c r="Q12" s="79" t="n">
        <x:v>0</x:v>
      </x:c>
      <x:c r="R12" s="59" t="str">
        <x:v>DEFERRED</x:v>
      </x:c>
      <x:c r="S12" s="79" t="n">
        <x:v>0</x:v>
      </x:c>
      <x:c r="T12" s="59" t="str">
        <x:v>SCENARIO/RECONSTRUCTED_NOT_MEASURED; need/leakage POSTERIOR</x:v>
      </x:c>
    </x:row>
    <x:row r="13">
      <x:c r="A13" s="59" t="n">
        <x:v>9</x:v>
      </x:c>
      <x:c r="B13" s="59" t="str">
        <x:v>E01-liquidity</x:v>
      </x:c>
      <x:c r="C13" s="59" t="str">
        <x:v>E01</x:v>
      </x:c>
      <x:c r="D13" s="59" t="str">
        <x:v>BHP Group</x:v>
      </x:c>
      <x:c r="E13" s="59" t="str">
        <x:v>mining</x:v>
      </x:c>
      <x:c r="F13" s="59" t="str">
        <x:v>Liquidity</x:v>
      </x:c>
      <x:c r="G13" s="59" t="str">
        <x:v>E1</x:v>
      </x:c>
      <x:c r="H13" s="61" t="n">
        <x:v>1</x:v>
      </x:c>
      <x:c r="I13" s="61" t="n">
        <x:v>0.04753542</x:v>
      </x:c>
      <x:c r="J13" s="61" t="n">
        <x:v>0.03172261</x:v>
      </x:c>
      <x:c r="K13" s="79" t="n">
        <x:v>25634225323</x:v>
      </x:c>
      <x:c r="L13" s="61" t="n">
        <x:v>0.11059223</x:v>
      </x:c>
      <x:c r="M13" s="61" t="n">
        <x:v>0.24147618</x:v>
      </x:c>
      <x:c r="N13" s="61" t="n">
        <x:v>0.38703403</x:v>
      </x:c>
      <x:c r="O13" s="80" t="n">
        <x:v>57.5520219</x:v>
      </x:c>
      <x:c r="P13" s="59" t="str">
        <x:v>NOT SELECTED</x:v>
      </x:c>
      <x:c r="Q13" s="79" t="n">
        <x:v>0</x:v>
      </x:c>
      <x:c r="R13" s="59" t="str">
        <x:v>DEFERRED</x:v>
      </x:c>
      <x:c r="S13" s="79" t="n">
        <x:v>0</x:v>
      </x:c>
      <x:c r="T13" s="59" t="str">
        <x:v>SCENARIO/RECONSTRUCTED_NOT_MEASURED; need/leakage POSTERIOR</x:v>
      </x:c>
    </x:row>
    <x:row r="14">
      <x:c r="A14" s="59" t="n">
        <x:v>10</x:v>
      </x:c>
      <x:c r="B14" s="59" t="str">
        <x:v>E10-trade-finance</x:v>
      </x:c>
      <x:c r="C14" s="59" t="str">
        <x:v>E10</x:v>
      </x:c>
      <x:c r="D14" s="59" t="str">
        <x:v>Bid Corporation</x:v>
      </x:c>
      <x:c r="E14" s="59" t="str">
        <x:v>consumer</x:v>
      </x:c>
      <x:c r="F14" s="59" t="str">
        <x:v>Trade finance</x:v>
      </x:c>
      <x:c r="G14" s="59" t="str">
        <x:v>E1</x:v>
      </x:c>
      <x:c r="H14" s="61" t="n">
        <x:v>1</x:v>
      </x:c>
      <x:c r="I14" s="61" t="n">
        <x:v>0.01924042</x:v>
      </x:c>
      <x:c r="J14" s="61" t="n">
        <x:v>0.04020866</x:v>
      </x:c>
      <x:c r="K14" s="79" t="n">
        <x:v>4666140199</x:v>
      </x:c>
      <x:c r="L14" s="61" t="n">
        <x:v>0.11274206</x:v>
      </x:c>
      <x:c r="M14" s="61" t="n">
        <x:v>0.28705042</x:v>
      </x:c>
      <x:c r="N14" s="61" t="n">
        <x:v>0.49633922</x:v>
      </x:c>
      <x:c r="O14" s="80" t="n">
        <x:v>57.24868734</x:v>
      </x:c>
      <x:c r="P14" s="59" t="str">
        <x:v>NOT SELECTED</x:v>
      </x:c>
      <x:c r="Q14" s="79" t="n">
        <x:v>0</x:v>
      </x:c>
      <x:c r="R14" s="59" t="str">
        <x:v>DEFERRED</x:v>
      </x:c>
      <x:c r="S14" s="79" t="n">
        <x:v>0</x:v>
      </x:c>
      <x:c r="T14" s="59" t="str">
        <x:v>SCENARIO/RECONSTRUCTED_NOT_MEASURED; need/leakage POSTERIOR</x:v>
      </x:c>
    </x:row>
    <x:row r="15">
      <x:c r="A15" s="59" t="n">
        <x:v>11</x:v>
      </x:c>
      <x:c r="B15" s="59" t="str">
        <x:v>E11-cross-border-fx</x:v>
      </x:c>
      <x:c r="C15" s="59" t="str">
        <x:v>E11</x:v>
      </x:c>
      <x:c r="D15" s="59" t="str">
        <x:v>Pepkor Holdings</x:v>
      </x:c>
      <x:c r="E15" s="59" t="str">
        <x:v>consumer</x:v>
      </x:c>
      <x:c r="F15" s="59" t="str">
        <x:v>Cross-border FX</x:v>
      </x:c>
      <x:c r="G15" s="59" t="str">
        <x:v>E1</x:v>
      </x:c>
      <x:c r="H15" s="61" t="n">
        <x:v>1</x:v>
      </x:c>
      <x:c r="I15" s="61" t="n">
        <x:v>0.08293997</x:v>
      </x:c>
      <x:c r="J15" s="61" t="n">
        <x:v>0.04250322</x:v>
      </x:c>
      <x:c r="K15" s="79" t="n">
        <x:v>16124403147</x:v>
      </x:c>
      <x:c r="L15" s="61" t="n">
        <x:v>0.14043321</x:v>
      </x:c>
      <x:c r="M15" s="61" t="n">
        <x:v>0.29149938</x:v>
      </x:c>
      <x:c r="N15" s="61" t="n">
        <x:v>0.46671026</x:v>
      </x:c>
      <x:c r="O15" s="80" t="n">
        <x:v>56.2149133</x:v>
      </x:c>
      <x:c r="P15" s="59" t="str">
        <x:v>NOT SELECTED</x:v>
      </x:c>
      <x:c r="Q15" s="79" t="n">
        <x:v>0</x:v>
      </x:c>
      <x:c r="R15" s="59" t="str">
        <x:v>DEFERRED</x:v>
      </x:c>
      <x:c r="S15" s="79" t="n">
        <x:v>0</x:v>
      </x:c>
      <x:c r="T15" s="59" t="str">
        <x:v>SCENARIO/RECONSTRUCTED_NOT_MEASURED; need/leakage POSTERIOR</x:v>
      </x:c>
    </x:row>
    <x:row r="16">
      <x:c r="A16" s="59" t="n">
        <x:v>12</x:v>
      </x:c>
      <x:c r="B16" s="59" t="str">
        <x:v>E09-trade-finance</x:v>
      </x:c>
      <x:c r="C16" s="59" t="str">
        <x:v>E09</x:v>
      </x:c>
      <x:c r="D16" s="59" t="str">
        <x:v>Shoprite Holdings</x:v>
      </x:c>
      <x:c r="E16" s="59" t="str">
        <x:v>consumer</x:v>
      </x:c>
      <x:c r="F16" s="59" t="str">
        <x:v>Trade finance</x:v>
      </x:c>
      <x:c r="G16" s="59" t="str">
        <x:v>E1</x:v>
      </x:c>
      <x:c r="H16" s="61" t="n">
        <x:v>1</x:v>
      </x:c>
      <x:c r="I16" s="61" t="n">
        <x:v>0.03775285</x:v>
      </x:c>
      <x:c r="J16" s="61" t="n">
        <x:v>0.03818793</x:v>
      </x:c>
      <x:c r="K16" s="79" t="n">
        <x:v>3828400066</x:v>
      </x:c>
      <x:c r="L16" s="61" t="n">
        <x:v>0.11324809</x:v>
      </x:c>
      <x:c r="M16" s="61" t="n">
        <x:v>0.28674304</x:v>
      </x:c>
      <x:c r="N16" s="61" t="n">
        <x:v>0.50207322</x:v>
      </x:c>
      <x:c r="O16" s="80" t="n">
        <x:v>55.89331615</x:v>
      </x:c>
      <x:c r="P16" s="59" t="str">
        <x:v>SELECTED</x:v>
      </x:c>
      <x:c r="Q16" s="79" t="n">
        <x:v>1317191</x:v>
      </x:c>
      <x:c r="R16" s="59" t="str">
        <x:v>DEFERRED</x:v>
      </x:c>
      <x:c r="S16" s="79" t="n">
        <x:v>0</x:v>
      </x:c>
      <x:c r="T16" s="59" t="str">
        <x:v>SCENARIO/RECONSTRUCTED_NOT_MEASURED; need/leakage POSTERIOR</x:v>
      </x:c>
    </x:row>
    <x:row r="17">
      <x:c r="A17" s="59" t="n">
        <x:v>13</x:v>
      </x:c>
      <x:c r="B17" s="59" t="str">
        <x:v>E01-payments</x:v>
      </x:c>
      <x:c r="C17" s="59" t="str">
        <x:v>E01</x:v>
      </x:c>
      <x:c r="D17" s="59" t="str">
        <x:v>BHP Group</x:v>
      </x:c>
      <x:c r="E17" s="59" t="str">
        <x:v>mining</x:v>
      </x:c>
      <x:c r="F17" s="59" t="str">
        <x:v>Payments</x:v>
      </x:c>
      <x:c r="G17" s="59" t="str">
        <x:v>E1</x:v>
      </x:c>
      <x:c r="H17" s="61" t="n">
        <x:v>1</x:v>
      </x:c>
      <x:c r="I17" s="61" t="n">
        <x:v>0.01954066</x:v>
      </x:c>
      <x:c r="J17" s="61" t="n">
        <x:v>0.03087477</x:v>
      </x:c>
      <x:c r="K17" s="79" t="n">
        <x:v>60981744397</x:v>
      </x:c>
      <x:c r="L17" s="61" t="n">
        <x:v>0.05969403</x:v>
      </x:c>
      <x:c r="M17" s="61" t="n">
        <x:v>0.10475197</x:v>
      </x:c>
      <x:c r="N17" s="61" t="n">
        <x:v>0.14881733</x:v>
      </x:c>
      <x:c r="O17" s="80" t="n">
        <x:v>53.61982966</x:v>
      </x:c>
      <x:c r="P17" s="59" t="str">
        <x:v>NOT SELECTED</x:v>
      </x:c>
      <x:c r="Q17" s="79" t="n">
        <x:v>0</x:v>
      </x:c>
      <x:c r="R17" s="59" t="str">
        <x:v>DEFERRED</x:v>
      </x:c>
      <x:c r="S17" s="79" t="n">
        <x:v>0</x:v>
      </x:c>
      <x:c r="T17" s="59" t="str">
        <x:v>SCENARIO/RECONSTRUCTED_NOT_MEASURED; need/leakage POSTERIOR</x:v>
      </x:c>
    </x:row>
    <x:row r="18">
      <x:c r="A18" s="59" t="n">
        <x:v>14</x:v>
      </x:c>
      <x:c r="B18" s="59" t="str">
        <x:v>E02-liquidity</x:v>
      </x:c>
      <x:c r="C18" s="59" t="str">
        <x:v>E02</x:v>
      </x:c>
      <x:c r="D18" s="59" t="str">
        <x:v>Glencore</x:v>
      </x:c>
      <x:c r="E18" s="59" t="str">
        <x:v>mining</x:v>
      </x:c>
      <x:c r="F18" s="59" t="str">
        <x:v>Liquidity</x:v>
      </x:c>
      <x:c r="G18" s="59" t="str">
        <x:v>E1</x:v>
      </x:c>
      <x:c r="H18" s="61" t="n">
        <x:v>0.84308411</x:v>
      </x:c>
      <x:c r="I18" s="61" t="n">
        <x:v>0.027988</x:v>
      </x:c>
      <x:c r="J18" s="61" t="n">
        <x:v>0.04837587</x:v>
      </x:c>
      <x:c r="K18" s="79" t="n">
        <x:v>26307751125</x:v>
      </x:c>
      <x:c r="L18" s="61" t="n">
        <x:v>0.0338534</x:v>
      </x:c>
      <x:c r="M18" s="61" t="n">
        <x:v>0.07618742</x:v>
      </x:c>
      <x:c r="N18" s="61" t="n">
        <x:v>0.12439648</x:v>
      </x:c>
      <x:c r="O18" s="80" t="n">
        <x:v>53.21094328</x:v>
      </x:c>
      <x:c r="P18" s="59" t="str">
        <x:v>NOT SELECTED</x:v>
      </x:c>
      <x:c r="Q18" s="79" t="n">
        <x:v>0</x:v>
      </x:c>
      <x:c r="R18" s="59" t="str">
        <x:v>DEFERRED</x:v>
      </x:c>
      <x:c r="S18" s="79" t="n">
        <x:v>0</x:v>
      </x:c>
      <x:c r="T18" s="59" t="str">
        <x:v>SCENARIO/RECONSTRUCTED_NOT_MEASURED; need/leakage POSTERIOR</x:v>
      </x:c>
    </x:row>
    <x:row r="19">
      <x:c r="A19" s="59" t="n">
        <x:v>15</x:v>
      </x:c>
      <x:c r="B19" s="59" t="str">
        <x:v>E18-trade-finance</x:v>
      </x:c>
      <x:c r="C19" s="59" t="str">
        <x:v>E18</x:v>
      </x:c>
      <x:c r="D19" s="59" t="str">
        <x:v>The Bidvest Group</x:v>
      </x:c>
      <x:c r="E19" s="59" t="str">
        <x:v>industrials_pharma</x:v>
      </x:c>
      <x:c r="F19" s="59" t="str">
        <x:v>Trade finance</x:v>
      </x:c>
      <x:c r="G19" s="59" t="str">
        <x:v>E1</x:v>
      </x:c>
      <x:c r="H19" s="61" t="n">
        <x:v>0.8792856</x:v>
      </x:c>
      <x:c r="I19" s="61" t="n">
        <x:v>0.13752746</x:v>
      </x:c>
      <x:c r="J19" s="61" t="n">
        <x:v>0.04357979</x:v>
      </x:c>
      <x:c r="K19" s="79" t="n">
        <x:v>3663833369</x:v>
      </x:c>
      <x:c r="L19" s="61" t="n">
        <x:v>0.11206194</x:v>
      </x:c>
      <x:c r="M19" s="61" t="n">
        <x:v>0.28527164</x:v>
      </x:c>
      <x:c r="N19" s="61" t="n">
        <x:v>0.50034799</x:v>
      </x:c>
      <x:c r="O19" s="80" t="n">
        <x:v>53.15506522</x:v>
      </x:c>
      <x:c r="P19" s="59" t="str">
        <x:v>SELECTED</x:v>
      </x:c>
      <x:c r="Q19" s="79" t="n">
        <x:v>1276487</x:v>
      </x:c>
      <x:c r="R19" s="59" t="str">
        <x:v>DEFERRED</x:v>
      </x:c>
      <x:c r="S19" s="79" t="n">
        <x:v>0</x:v>
      </x:c>
      <x:c r="T19" s="59" t="str">
        <x:v>SCENARIO/RECONSTRUCTED_NOT_MEASURED; need/leakage POSTERIOR</x:v>
      </x:c>
    </x:row>
    <x:row r="20">
      <x:c r="A20" s="59" t="n">
        <x:v>16</x:v>
      </x:c>
      <x:c r="B20" s="59" t="str">
        <x:v>E09-payments</x:v>
      </x:c>
      <x:c r="C20" s="59" t="str">
        <x:v>E09</x:v>
      </x:c>
      <x:c r="D20" s="59" t="str">
        <x:v>Shoprite Holdings</x:v>
      </x:c>
      <x:c r="E20" s="59" t="str">
        <x:v>consumer</x:v>
      </x:c>
      <x:c r="F20" s="59" t="str">
        <x:v>Payments</x:v>
      </x:c>
      <x:c r="G20" s="59" t="str">
        <x:v>E1</x:v>
      </x:c>
      <x:c r="H20" s="61" t="n">
        <x:v>1</x:v>
      </x:c>
      <x:c r="I20" s="61" t="n">
        <x:v>0.06683595</x:v>
      </x:c>
      <x:c r="J20" s="61" t="n">
        <x:v>0.04315494</x:v>
      </x:c>
      <x:c r="K20" s="79" t="n">
        <x:v>40915694781</x:v>
      </x:c>
      <x:c r="L20" s="61" t="n">
        <x:v>0.08999012</x:v>
      </x:c>
      <x:c r="M20" s="61" t="n">
        <x:v>0.15765593</x:v>
      </x:c>
      <x:c r="N20" s="61" t="n">
        <x:v>0.22475689</x:v>
      </x:c>
      <x:c r="O20" s="80" t="n">
        <x:v>52.57998966</x:v>
      </x:c>
      <x:c r="P20" s="59" t="str">
        <x:v>NOT SELECTED</x:v>
      </x:c>
      <x:c r="Q20" s="79" t="n">
        <x:v>0</x:v>
      </x:c>
      <x:c r="R20" s="59" t="str">
        <x:v>DEFERRED</x:v>
      </x:c>
      <x:c r="S20" s="79" t="n">
        <x:v>0</x:v>
      </x:c>
      <x:c r="T20" s="59" t="str">
        <x:v>SCENARIO/RECONSTRUCTED_NOT_MEASURED; need/leakage POSTERIOR</x:v>
      </x:c>
    </x:row>
    <x:row r="21">
      <x:c r="A21" s="59" t="n">
        <x:v>17</x:v>
      </x:c>
      <x:c r="B21" s="59" t="str">
        <x:v>E11-collections</x:v>
      </x:c>
      <x:c r="C21" s="59" t="str">
        <x:v>E11</x:v>
      </x:c>
      <x:c r="D21" s="59" t="str">
        <x:v>Pepkor Holdings</x:v>
      </x:c>
      <x:c r="E21" s="59" t="str">
        <x:v>consumer</x:v>
      </x:c>
      <x:c r="F21" s="59" t="str">
        <x:v>Collections</x:v>
      </x:c>
      <x:c r="G21" s="59" t="str">
        <x:v>E1</x:v>
      </x:c>
      <x:c r="H21" s="61" t="n">
        <x:v>1</x:v>
      </x:c>
      <x:c r="I21" s="61" t="n">
        <x:v>0.0633191</x:v>
      </x:c>
      <x:c r="J21" s="61" t="n">
        <x:v>0.04268643</x:v>
      </x:c>
      <x:c r="K21" s="79" t="n">
        <x:v>32287023025</x:v>
      </x:c>
      <x:c r="L21" s="61" t="n">
        <x:v>0.13153309</x:v>
      </x:c>
      <x:c r="M21" s="61" t="n">
        <x:v>0.22425448</x:v>
      </x:c>
      <x:c r="N21" s="61" t="n">
        <x:v>0.31388522</x:v>
      </x:c>
      <x:c r="O21" s="80" t="n">
        <x:v>51.8860078</x:v>
      </x:c>
      <x:c r="P21" s="59" t="str">
        <x:v>NOT SELECTED</x:v>
      </x:c>
      <x:c r="Q21" s="79" t="n">
        <x:v>0</x:v>
      </x:c>
      <x:c r="R21" s="59" t="str">
        <x:v>DEFERRED</x:v>
      </x:c>
      <x:c r="S21" s="79" t="n">
        <x:v>0</x:v>
      </x:c>
      <x:c r="T21" s="59" t="str">
        <x:v>SCENARIO/RECONSTRUCTED_NOT_MEASURED; need/leakage POSTERIOR</x:v>
      </x:c>
    </x:row>
    <x:row r="22">
      <x:c r="A22" s="59" t="n">
        <x:v>18</x:v>
      </x:c>
      <x:c r="B22" s="59" t="str">
        <x:v>E03-liquidity</x:v>
      </x:c>
      <x:c r="C22" s="59" t="str">
        <x:v>E03</x:v>
      </x:c>
      <x:c r="D22" s="59" t="str">
        <x:v>Anglo American</x:v>
      </x:c>
      <x:c r="E22" s="59" t="str">
        <x:v>mining</x:v>
      </x:c>
      <x:c r="F22" s="59" t="str">
        <x:v>Liquidity</x:v>
      </x:c>
      <x:c r="G22" s="59" t="str">
        <x:v>E1</x:v>
      </x:c>
      <x:c r="H22" s="61" t="n">
        <x:v>0.800325</x:v>
      </x:c>
      <x:c r="I22" s="61" t="n">
        <x:v>0.01342691</x:v>
      </x:c>
      <x:c r="J22" s="61" t="n">
        <x:v>0.02621301</x:v>
      </x:c>
      <x:c r="K22" s="79" t="n">
        <x:v>28598376031</x:v>
      </x:c>
      <x:c r="L22" s="61" t="n">
        <x:v>0.05202333</x:v>
      </x:c>
      <x:c r="M22" s="61" t="n">
        <x:v>0.11413741</x:v>
      </x:c>
      <x:c r="N22" s="61" t="n">
        <x:v>0.18466692</x:v>
      </x:c>
      <x:c r="O22" s="80" t="n">
        <x:v>51.33857155</x:v>
      </x:c>
      <x:c r="P22" s="59" t="str">
        <x:v>SELECTED</x:v>
      </x:c>
      <x:c r="Q22" s="79" t="n">
        <x:v>2588035</x:v>
      </x:c>
      <x:c r="R22" s="59" t="str">
        <x:v>SELECTED</x:v>
      </x:c>
      <x:c r="S22" s="79" t="n">
        <x:v>2926482</x:v>
      </x:c>
      <x:c r="T22" s="59" t="str">
        <x:v>SCENARIO/RECONSTRUCTED_NOT_MEASURED; need/leakage POSTERIOR</x:v>
      </x:c>
    </x:row>
    <x:row r="23">
      <x:c r="A23" s="59" t="n">
        <x:v>19</x:v>
      </x:c>
      <x:c r="B23" s="59" t="str">
        <x:v>E10-payments</x:v>
      </x:c>
      <x:c r="C23" s="59" t="str">
        <x:v>E10</x:v>
      </x:c>
      <x:c r="D23" s="59" t="str">
        <x:v>Bid Corporation</x:v>
      </x:c>
      <x:c r="E23" s="59" t="str">
        <x:v>consumer</x:v>
      </x:c>
      <x:c r="F23" s="59" t="str">
        <x:v>Payments</x:v>
      </x:c>
      <x:c r="G23" s="59" t="str">
        <x:v>E1</x:v>
      </x:c>
      <x:c r="H23" s="61" t="n">
        <x:v>1</x:v>
      </x:c>
      <x:c r="I23" s="61" t="n">
        <x:v>0.03347638</x:v>
      </x:c>
      <x:c r="J23" s="61" t="n">
        <x:v>0.03702892</x:v>
      </x:c>
      <x:c r="K23" s="79" t="n">
        <x:v>41251520262</x:v>
      </x:c>
      <x:c r="L23" s="61" t="n">
        <x:v>0.10540604</x:v>
      </x:c>
      <x:c r="M23" s="61" t="n">
        <x:v>0.18367693</x:v>
      </x:c>
      <x:c r="N23" s="61" t="n">
        <x:v>0.26413468</x:v>
      </x:c>
      <x:c r="O23" s="80" t="n">
        <x:v>50.93791962</x:v>
      </x:c>
      <x:c r="P23" s="59" t="str">
        <x:v>NOT SELECTED</x:v>
      </x:c>
      <x:c r="Q23" s="79" t="n">
        <x:v>0</x:v>
      </x:c>
      <x:c r="R23" s="59" t="str">
        <x:v>DEFERRED</x:v>
      </x:c>
      <x:c r="S23" s="79" t="n">
        <x:v>0</x:v>
      </x:c>
      <x:c r="T23" s="59" t="str">
        <x:v>SCENARIO/RECONSTRUCTED_NOT_MEASURED; need/leakage POSTERIOR</x:v>
      </x:c>
    </x:row>
    <x:row r="24">
      <x:c r="A24" s="59" t="n">
        <x:v>20</x:v>
      </x:c>
      <x:c r="B24" s="59" t="str">
        <x:v>E16-payments</x:v>
      </x:c>
      <x:c r="C24" s="59" t="str">
        <x:v>E16</x:v>
      </x:c>
      <x:c r="D24" s="59" t="str">
        <x:v>MTN Group</x:v>
      </x:c>
      <x:c r="E24" s="59" t="str">
        <x:v>telecoms</x:v>
      </x:c>
      <x:c r="F24" s="59" t="str">
        <x:v>Payments</x:v>
      </x:c>
      <x:c r="G24" s="59" t="str">
        <x:v>E1</x:v>
      </x:c>
      <x:c r="H24" s="61" t="n">
        <x:v>1</x:v>
      </x:c>
      <x:c r="I24" s="61" t="n">
        <x:v>0.03565463</x:v>
      </x:c>
      <x:c r="J24" s="61" t="n">
        <x:v>0.06978327</x:v>
      </x:c>
      <x:c r="K24" s="79" t="n">
        <x:v>36022218043</x:v>
      </x:c>
      <x:c r="L24" s="61" t="n">
        <x:v>0.09686275</x:v>
      </x:c>
      <x:c r="M24" s="61" t="n">
        <x:v>0.17335648</x:v>
      </x:c>
      <x:c r="N24" s="61" t="n">
        <x:v>0.24916612</x:v>
      </x:c>
      <x:c r="O24" s="80" t="n">
        <x:v>50.38631533</x:v>
      </x:c>
      <x:c r="P24" s="59" t="str">
        <x:v>NOT SELECTED</x:v>
      </x:c>
      <x:c r="Q24" s="79" t="n">
        <x:v>0</x:v>
      </x:c>
      <x:c r="R24" s="59" t="str">
        <x:v>DEFERRED</x:v>
      </x:c>
      <x:c r="S24" s="79" t="n">
        <x:v>0</x:v>
      </x:c>
      <x:c r="T24" s="59" t="str">
        <x:v>SCENARIO/RECONSTRUCTED_NOT_MEASURED; need/leakage POSTERIOR</x:v>
      </x:c>
    </x:row>
    <x:row r="25">
      <x:c r="A25" s="59" t="n">
        <x:v>21</x:v>
      </x:c>
      <x:c r="B25" s="59" t="str">
        <x:v>E08-collections</x:v>
      </x:c>
      <x:c r="C25" s="59" t="str">
        <x:v>E08</x:v>
      </x:c>
      <x:c r="D25" s="59" t="str">
        <x:v>Sanlam</x:v>
      </x:c>
      <x:c r="E25" s="59" t="str">
        <x:v>insurance</x:v>
      </x:c>
      <x:c r="F25" s="59" t="str">
        <x:v>Collections</x:v>
      </x:c>
      <x:c r="G25" s="59" t="str">
        <x:v>E1</x:v>
      </x:c>
      <x:c r="H25" s="61" t="n">
        <x:v>1</x:v>
      </x:c>
      <x:c r="I25" s="61" t="n">
        <x:v>0.02280611</x:v>
      </x:c>
      <x:c r="J25" s="61" t="n">
        <x:v>0.02544838</x:v>
      </x:c>
      <x:c r="K25" s="79" t="n">
        <x:v>23246153652</x:v>
      </x:c>
      <x:c r="L25" s="61" t="n">
        <x:v>0.10679532</x:v>
      </x:c>
      <x:c r="M25" s="61" t="n">
        <x:v>0.18574867</x:v>
      </x:c>
      <x:c r="N25" s="61" t="n">
        <x:v>0.26126826</x:v>
      </x:c>
      <x:c r="O25" s="80" t="n">
        <x:v>49.86308195</x:v>
      </x:c>
      <x:c r="P25" s="59" t="str">
        <x:v>NOT SELECTED</x:v>
      </x:c>
      <x:c r="Q25" s="79" t="n">
        <x:v>0</x:v>
      </x:c>
      <x:c r="R25" s="59" t="str">
        <x:v>DEFERRED</x:v>
      </x:c>
      <x:c r="S25" s="79" t="n">
        <x:v>0</x:v>
      </x:c>
      <x:c r="T25" s="59" t="str">
        <x:v>SCENARIO/RECONSTRUCTED_NOT_MEASURED; need/leakage POSTERIOR</x:v>
      </x:c>
    </x:row>
    <x:row r="26">
      <x:c r="A26" s="59" t="n">
        <x:v>22</x:v>
      </x:c>
      <x:c r="B26" s="59" t="str">
        <x:v>E03-collections</x:v>
      </x:c>
      <x:c r="C26" s="59" t="str">
        <x:v>E03</x:v>
      </x:c>
      <x:c r="D26" s="59" t="str">
        <x:v>Anglo American</x:v>
      </x:c>
      <x:c r="E26" s="59" t="str">
        <x:v>mining</x:v>
      </x:c>
      <x:c r="F26" s="59" t="str">
        <x:v>Collections</x:v>
      </x:c>
      <x:c r="G26" s="59" t="str">
        <x:v>E1</x:v>
      </x:c>
      <x:c r="H26" s="61" t="n">
        <x:v>0.90392155</x:v>
      </x:c>
      <x:c r="I26" s="61" t="n">
        <x:v>0.02158569</x:v>
      </x:c>
      <x:c r="J26" s="61" t="n">
        <x:v>0.02632071</x:v>
      </x:c>
      <x:c r="K26" s="79" t="n">
        <x:v>34399300796</x:v>
      </x:c>
      <x:c r="L26" s="61" t="n">
        <x:v>0.06608777</x:v>
      </x:c>
      <x:c r="M26" s="61" t="n">
        <x:v>0.11098676</x:v>
      </x:c>
      <x:c r="N26" s="61" t="n">
        <x:v>0.15600389</x:v>
      </x:c>
      <x:c r="O26" s="80" t="n">
        <x:v>49.42377699</x:v>
      </x:c>
      <x:c r="P26" s="59" t="str">
        <x:v>NOT SELECTED</x:v>
      </x:c>
      <x:c r="Q26" s="79" t="n">
        <x:v>0</x:v>
      </x:c>
      <x:c r="R26" s="59" t="str">
        <x:v>DEFERRED</x:v>
      </x:c>
      <x:c r="S26" s="79" t="n">
        <x:v>0</x:v>
      </x:c>
      <x:c r="T26" s="59" t="str">
        <x:v>SCENARIO/RECONSTRUCTED_NOT_MEASURED; need/leakage POSTERIOR</x:v>
      </x:c>
    </x:row>
    <x:row r="27">
      <x:c r="A27" s="59" t="n">
        <x:v>23</x:v>
      </x:c>
      <x:c r="B27" s="59" t="str">
        <x:v>E08-payments</x:v>
      </x:c>
      <x:c r="C27" s="59" t="str">
        <x:v>E08</x:v>
      </x:c>
      <x:c r="D27" s="59" t="str">
        <x:v>Sanlam</x:v>
      </x:c>
      <x:c r="E27" s="59" t="str">
        <x:v>insurance</x:v>
      </x:c>
      <x:c r="F27" s="59" t="str">
        <x:v>Payments</x:v>
      </x:c>
      <x:c r="G27" s="59" t="str">
        <x:v>E1</x:v>
      </x:c>
      <x:c r="H27" s="61" t="n">
        <x:v>1</x:v>
      </x:c>
      <x:c r="I27" s="61" t="n">
        <x:v>0.02278437</x:v>
      </x:c>
      <x:c r="J27" s="61" t="n">
        <x:v>0.02649819</x:v>
      </x:c>
      <x:c r="K27" s="79" t="n">
        <x:v>33313681550</x:v>
      </x:c>
      <x:c r="L27" s="61" t="n">
        <x:v>0.16172328</x:v>
      </x:c>
      <x:c r="M27" s="61" t="n">
        <x:v>0.28785725</x:v>
      </x:c>
      <x:c r="N27" s="61" t="n">
        <x:v>0.41607579</x:v>
      </x:c>
      <x:c r="O27" s="80" t="n">
        <x:v>47.84233655</x:v>
      </x:c>
      <x:c r="P27" s="59" t="str">
        <x:v>NOT SELECTED</x:v>
      </x:c>
      <x:c r="Q27" s="79" t="n">
        <x:v>0</x:v>
      </x:c>
      <x:c r="R27" s="59" t="str">
        <x:v>DEFERRED</x:v>
      </x:c>
      <x:c r="S27" s="79" t="n">
        <x:v>0</x:v>
      </x:c>
      <x:c r="T27" s="59" t="str">
        <x:v>SCENARIO/RECONSTRUCTED_NOT_MEASURED; need/leakage POSTERIOR</x:v>
      </x:c>
    </x:row>
    <x:row r="28">
      <x:c r="A28" s="59" t="n">
        <x:v>24</x:v>
      </x:c>
      <x:c r="B28" s="59" t="str">
        <x:v>E11-trade-finance</x:v>
      </x:c>
      <x:c r="C28" s="59" t="str">
        <x:v>E11</x:v>
      </x:c>
      <x:c r="D28" s="59" t="str">
        <x:v>Pepkor Holdings</x:v>
      </x:c>
      <x:c r="E28" s="59" t="str">
        <x:v>consumer</x:v>
      </x:c>
      <x:c r="F28" s="59" t="str">
        <x:v>Trade finance</x:v>
      </x:c>
      <x:c r="G28" s="59" t="str">
        <x:v>E1</x:v>
      </x:c>
      <x:c r="H28" s="61" t="n">
        <x:v>0.89144747</x:v>
      </x:c>
      <x:c r="I28" s="61" t="n">
        <x:v>0.02476014</x:v>
      </x:c>
      <x:c r="J28" s="61" t="n">
        <x:v>0.05524127</x:v>
      </x:c>
      <x:c r="K28" s="79" t="n">
        <x:v>2852464954</x:v>
      </x:c>
      <x:c r="L28" s="61" t="n">
        <x:v>0.13895286</x:v>
      </x:c>
      <x:c r="M28" s="61" t="n">
        <x:v>0.34957533</x:v>
      </x:c>
      <x:c r="N28" s="61" t="n">
        <x:v>0.59421301</x:v>
      </x:c>
      <x:c r="O28" s="80" t="n">
        <x:v>47.79205373</x:v>
      </x:c>
      <x:c r="P28" s="59" t="str">
        <x:v>NOT SELECTED</x:v>
      </x:c>
      <x:c r="Q28" s="79" t="n">
        <x:v>0</x:v>
      </x:c>
      <x:c r="R28" s="59" t="str">
        <x:v>DEFERRED</x:v>
      </x:c>
      <x:c r="S28" s="79" t="n">
        <x:v>0</x:v>
      </x:c>
      <x:c r="T28" s="59" t="str">
        <x:v>SCENARIO/RECONSTRUCTED_NOT_MEASURED; need/leakage POSTERIOR</x:v>
      </x:c>
    </x:row>
    <x:row r="29">
      <x:c r="A29" s="59" t="n">
        <x:v>25</x:v>
      </x:c>
      <x:c r="B29" s="59" t="str">
        <x:v>E11-payments</x:v>
      </x:c>
      <x:c r="C29" s="59" t="str">
        <x:v>E11</x:v>
      </x:c>
      <x:c r="D29" s="59" t="str">
        <x:v>Pepkor Holdings</x:v>
      </x:c>
      <x:c r="E29" s="59" t="str">
        <x:v>consumer</x:v>
      </x:c>
      <x:c r="F29" s="59" t="str">
        <x:v>Payments</x:v>
      </x:c>
      <x:c r="G29" s="59" t="str">
        <x:v>E1</x:v>
      </x:c>
      <x:c r="H29" s="61" t="n">
        <x:v>1</x:v>
      </x:c>
      <x:c r="I29" s="61" t="n">
        <x:v>0.08503816</x:v>
      </x:c>
      <x:c r="J29" s="61" t="n">
        <x:v>0.04266672</x:v>
      </x:c>
      <x:c r="K29" s="79" t="n">
        <x:v>44374768261</x:v>
      </x:c>
      <x:c r="L29" s="61" t="n">
        <x:v>0.19756723</x:v>
      </x:c>
      <x:c r="M29" s="61" t="n">
        <x:v>0.35089733</x:v>
      </x:c>
      <x:c r="N29" s="61" t="n">
        <x:v>0.50014086</x:v>
      </x:c>
      <x:c r="O29" s="80" t="n">
        <x:v>47.78251956</x:v>
      </x:c>
      <x:c r="P29" s="59" t="str">
        <x:v>NOT SELECTED</x:v>
      </x:c>
      <x:c r="Q29" s="79" t="n">
        <x:v>0</x:v>
      </x:c>
      <x:c r="R29" s="59" t="str">
        <x:v>DEFERRED</x:v>
      </x:c>
      <x:c r="S29" s="79" t="n">
        <x:v>0</x:v>
      </x:c>
      <x:c r="T29" s="59" t="str">
        <x:v>SCENARIO/RECONSTRUCTED_NOT_MEASURED; need/leakage POSTERIOR</x:v>
      </x:c>
    </x:row>
    <x:row r="30">
      <x:c r="A30" s="59" t="n">
        <x:v>26</x:v>
      </x:c>
      <x:c r="B30" s="59" t="str">
        <x:v>E15-cross-border-fx</x:v>
      </x:c>
      <x:c r="C30" s="59" t="str">
        <x:v>E15</x:v>
      </x:c>
      <x:c r="D30" s="59" t="str">
        <x:v>Naspers</x:v>
      </x:c>
      <x:c r="E30" s="59" t="str">
        <x:v>tech</x:v>
      </x:c>
      <x:c r="F30" s="59" t="str">
        <x:v>Cross-border FX</x:v>
      </x:c>
      <x:c r="G30" s="59" t="str">
        <x:v>E1</x:v>
      </x:c>
      <x:c r="H30" s="61" t="n">
        <x:v>0.65726427</x:v>
      </x:c>
      <x:c r="I30" s="61" t="n">
        <x:v>0.12381942</x:v>
      </x:c>
      <x:c r="J30" s="61" t="n">
        <x:v>0.05355726</x:v>
      </x:c>
      <x:c r="K30" s="79" t="n">
        <x:v>17336968530</x:v>
      </x:c>
      <x:c r="L30" s="61" t="n">
        <x:v>0.05125382</x:v>
      </x:c>
      <x:c r="M30" s="61" t="n">
        <x:v>0.1058016</x:v>
      </x:c>
      <x:c r="N30" s="61" t="n">
        <x:v>0.16604772</x:v>
      </x:c>
      <x:c r="O30" s="80" t="n">
        <x:v>47.76989453</x:v>
      </x:c>
      <x:c r="P30" s="59" t="str">
        <x:v>SELECTED</x:v>
      </x:c>
      <x:c r="Q30" s="79" t="n">
        <x:v>2355793</x:v>
      </x:c>
      <x:c r="R30" s="59" t="str">
        <x:v>DEFERRED</x:v>
      </x:c>
      <x:c r="S30" s="79" t="n">
        <x:v>0</x:v>
      </x:c>
      <x:c r="T30" s="59" t="str">
        <x:v>SCENARIO/RECONSTRUCTED_NOT_MEASURED; need/leakage POSTERIOR</x:v>
      </x:c>
    </x:row>
    <x:row r="31">
      <x:c r="A31" s="59" t="n">
        <x:v>27</x:v>
      </x:c>
      <x:c r="B31" s="59" t="str">
        <x:v>E10-collections</x:v>
      </x:c>
      <x:c r="C31" s="59" t="str">
        <x:v>E10</x:v>
      </x:c>
      <x:c r="D31" s="59" t="str">
        <x:v>Bid Corporation</x:v>
      </x:c>
      <x:c r="E31" s="59" t="str">
        <x:v>consumer</x:v>
      </x:c>
      <x:c r="F31" s="59" t="str">
        <x:v>Collections</x:v>
      </x:c>
      <x:c r="G31" s="59" t="str">
        <x:v>E1</x:v>
      </x:c>
      <x:c r="H31" s="61" t="n">
        <x:v>0.81755934</x:v>
      </x:c>
      <x:c r="I31" s="61" t="n">
        <x:v>0.05398844</x:v>
      </x:c>
      <x:c r="J31" s="61" t="n">
        <x:v>0.03831598</x:v>
      </x:c>
      <x:c r="K31" s="79" t="n">
        <x:v>25629466998</x:v>
      </x:c>
      <x:c r="L31" s="61" t="n">
        <x:v>0.06807885</x:v>
      </x:c>
      <x:c r="M31" s="61" t="n">
        <x:v>0.11405131</x:v>
      </x:c>
      <x:c r="N31" s="61" t="n">
        <x:v>0.15899604</x:v>
      </x:c>
      <x:c r="O31" s="80" t="n">
        <x:v>45.3652158</x:v>
      </x:c>
      <x:c r="P31" s="59" t="str">
        <x:v>NOT SELECTED</x:v>
      </x:c>
      <x:c r="Q31" s="79" t="n">
        <x:v>0</x:v>
      </x:c>
      <x:c r="R31" s="59" t="str">
        <x:v>DEFERRED</x:v>
      </x:c>
      <x:c r="S31" s="79" t="n">
        <x:v>0</x:v>
      </x:c>
      <x:c r="T31" s="59" t="str">
        <x:v>SCENARIO/RECONSTRUCTED_NOT_MEASURED; need/leakage POSTERIOR</x:v>
      </x:c>
    </x:row>
    <x:row r="32">
      <x:c r="A32" s="59" t="n">
        <x:v>28</x:v>
      </x:c>
      <x:c r="B32" s="59" t="str">
        <x:v>E09-cross-border-fx</x:v>
      </x:c>
      <x:c r="C32" s="59" t="str">
        <x:v>E09</x:v>
      </x:c>
      <x:c r="D32" s="59" t="str">
        <x:v>Shoprite Holdings</x:v>
      </x:c>
      <x:c r="E32" s="59" t="str">
        <x:v>consumer</x:v>
      </x:c>
      <x:c r="F32" s="59" t="str">
        <x:v>Cross-border FX</x:v>
      </x:c>
      <x:c r="G32" s="59" t="str">
        <x:v>E1</x:v>
      </x:c>
      <x:c r="H32" s="61" t="n">
        <x:v>0.78913434</x:v>
      </x:c>
      <x:c r="I32" s="61" t="n">
        <x:v>0.15103905</x:v>
      </x:c>
      <x:c r="J32" s="61" t="n">
        <x:v>0.05586407</x:v>
      </x:c>
      <x:c r="K32" s="79" t="n">
        <x:v>6923119728</x:v>
      </x:c>
      <x:c r="L32" s="61" t="n">
        <x:v>0.16069399</x:v>
      </x:c>
      <x:c r="M32" s="61" t="n">
        <x:v>0.32592559</x:v>
      </x:c>
      <x:c r="N32" s="61" t="n">
        <x:v>0.51222267</x:v>
      </x:c>
      <x:c r="O32" s="80" t="n">
        <x:v>44.43225898</x:v>
      </x:c>
      <x:c r="P32" s="59" t="str">
        <x:v>NOT SELECTED</x:v>
      </x:c>
      <x:c r="Q32" s="79" t="n">
        <x:v>0</x:v>
      </x:c>
      <x:c r="R32" s="59" t="str">
        <x:v>DEFERRED</x:v>
      </x:c>
      <x:c r="S32" s="79" t="n">
        <x:v>0</x:v>
      </x:c>
      <x:c r="T32" s="59" t="str">
        <x:v>SCENARIO/RECONSTRUCTED_NOT_MEASURED; need/leakage POSTERIOR</x:v>
      </x:c>
    </x:row>
    <x:row r="33">
      <x:c r="A33" s="59" t="n">
        <x:v>29</x:v>
      </x:c>
      <x:c r="B33" s="59" t="str">
        <x:v>E17-cross-border-fx</x:v>
      </x:c>
      <x:c r="C33" s="59" t="str">
        <x:v>E17</x:v>
      </x:c>
      <x:c r="D33" s="59" t="str">
        <x:v>Vodacom Group</x:v>
      </x:c>
      <x:c r="E33" s="59" t="str">
        <x:v>telecoms</x:v>
      </x:c>
      <x:c r="F33" s="59" t="str">
        <x:v>Cross-border FX</x:v>
      </x:c>
      <x:c r="G33" s="59" t="str">
        <x:v>E1</x:v>
      </x:c>
      <x:c r="H33" s="61" t="n">
        <x:v>0.6184376</x:v>
      </x:c>
      <x:c r="I33" s="61" t="n">
        <x:v>0.07795565</x:v>
      </x:c>
      <x:c r="J33" s="61" t="n">
        <x:v>0.04341162</x:v>
      </x:c>
      <x:c r="K33" s="79" t="n">
        <x:v>16429163521</x:v>
      </x:c>
      <x:c r="L33" s="61" t="n">
        <x:v>0.07215472</x:v>
      </x:c>
      <x:c r="M33" s="61" t="n">
        <x:v>0.14999969</x:v>
      </x:c>
      <x:c r="N33" s="61" t="n">
        <x:v>0.24198127</x:v>
      </x:c>
      <x:c r="O33" s="80" t="n">
        <x:v>44.06013239</x:v>
      </x:c>
      <x:c r="P33" s="59" t="str">
        <x:v>SELECTED</x:v>
      </x:c>
      <x:c r="Q33" s="79" t="n">
        <x:v>1954135</x:v>
      </x:c>
      <x:c r="R33" s="59" t="str">
        <x:v>DEFERRED</x:v>
      </x:c>
      <x:c r="S33" s="79" t="n">
        <x:v>0</x:v>
      </x:c>
      <x:c r="T33" s="59" t="str">
        <x:v>SCENARIO/RECONSTRUCTED_NOT_MEASURED; need/leakage POSTERIOR</x:v>
      </x:c>
    </x:row>
    <x:row r="34">
      <x:c r="A34" s="59" t="n">
        <x:v>30</x:v>
      </x:c>
      <x:c r="B34" s="59" t="str">
        <x:v>E16-trade-finance</x:v>
      </x:c>
      <x:c r="C34" s="59" t="str">
        <x:v>E16</x:v>
      </x:c>
      <x:c r="D34" s="59" t="str">
        <x:v>MTN Group</x:v>
      </x:c>
      <x:c r="E34" s="59" t="str">
        <x:v>telecoms</x:v>
      </x:c>
      <x:c r="F34" s="59" t="str">
        <x:v>Trade finance</x:v>
      </x:c>
      <x:c r="G34" s="59" t="str">
        <x:v>E1</x:v>
      </x:c>
      <x:c r="H34" s="61" t="n">
        <x:v>0.71177083</x:v>
      </x:c>
      <x:c r="I34" s="61" t="n">
        <x:v>0.02682726</x:v>
      </x:c>
      <x:c r="J34" s="61" t="n">
        <x:v>0.07597154</x:v>
      </x:c>
      <x:c r="K34" s="79" t="n">
        <x:v>3343519279</x:v>
      </x:c>
      <x:c r="L34" s="61" t="n">
        <x:v>0.11940372</x:v>
      </x:c>
      <x:c r="M34" s="61" t="n">
        <x:v>0.30149636</x:v>
      </x:c>
      <x:c r="N34" s="61" t="n">
        <x:v>0.53820617</x:v>
      </x:c>
      <x:c r="O34" s="80" t="n">
        <x:v>43.08090849</x:v>
      </x:c>
      <x:c r="P34" s="59" t="str">
        <x:v>NOT SELECTED</x:v>
      </x:c>
      <x:c r="Q34" s="79" t="n">
        <x:v>0</x:v>
      </x:c>
      <x:c r="R34" s="59" t="str">
        <x:v>DEFERRED</x:v>
      </x:c>
      <x:c r="S34" s="79" t="n">
        <x:v>0</x:v>
      </x:c>
      <x:c r="T34" s="59" t="str">
        <x:v>SCENARIO/RECONSTRUCTED_NOT_MEASURED; need/leakage POSTERIOR</x:v>
      </x:c>
    </x:row>
    <x:row r="35">
      <x:c r="A35" s="59" t="n">
        <x:v>31</x:v>
      </x:c>
      <x:c r="B35" s="59" t="str">
        <x:v>E08-cross-border-fx</x:v>
      </x:c>
      <x:c r="C35" s="59" t="str">
        <x:v>E08</x:v>
      </x:c>
      <x:c r="D35" s="59" t="str">
        <x:v>Sanlam</x:v>
      </x:c>
      <x:c r="E35" s="59" t="str">
        <x:v>insurance</x:v>
      </x:c>
      <x:c r="F35" s="59" t="str">
        <x:v>Cross-border FX</x:v>
      </x:c>
      <x:c r="G35" s="59" t="str">
        <x:v>E1</x:v>
      </x:c>
      <x:c r="H35" s="61" t="n">
        <x:v>0.69376823</x:v>
      </x:c>
      <x:c r="I35" s="61" t="n">
        <x:v>0.05504322</x:v>
      </x:c>
      <x:c r="J35" s="61" t="n">
        <x:v>0.04370935</x:v>
      </x:c>
      <x:c r="K35" s="79" t="n">
        <x:v>8730312479</x:v>
      </x:c>
      <x:c r="L35" s="61" t="n">
        <x:v>0.11221638</x:v>
      </x:c>
      <x:c r="M35" s="61" t="n">
        <x:v>0.2334379</x:v>
      </x:c>
      <x:c r="N35" s="61" t="n">
        <x:v>0.37987802</x:v>
      </x:c>
      <x:c r="O35" s="80" t="n">
        <x:v>42.4601433</x:v>
      </x:c>
      <x:c r="P35" s="59" t="str">
        <x:v>NOT SELECTED</x:v>
      </x:c>
      <x:c r="Q35" s="79" t="n">
        <x:v>0</x:v>
      </x:c>
      <x:c r="R35" s="59" t="str">
        <x:v>DEFERRED</x:v>
      </x:c>
      <x:c r="S35" s="79" t="n">
        <x:v>0</x:v>
      </x:c>
      <x:c r="T35" s="59" t="str">
        <x:v>SCENARIO/RECONSTRUCTED_NOT_MEASURED; need/leakage POSTERIOR</x:v>
      </x:c>
    </x:row>
    <x:row r="36">
      <x:c r="A36" s="59" t="n">
        <x:v>32</x:v>
      </x:c>
      <x:c r="B36" s="59" t="str">
        <x:v>E11-liquidity</x:v>
      </x:c>
      <x:c r="C36" s="59" t="str">
        <x:v>E11</x:v>
      </x:c>
      <x:c r="D36" s="59" t="str">
        <x:v>Pepkor Holdings</x:v>
      </x:c>
      <x:c r="E36" s="59" t="str">
        <x:v>consumer</x:v>
      </x:c>
      <x:c r="F36" s="59" t="str">
        <x:v>Liquidity</x:v>
      </x:c>
      <x:c r="G36" s="59" t="str">
        <x:v>E1</x:v>
      </x:c>
      <x:c r="H36" s="61" t="n">
        <x:v>1</x:v>
      </x:c>
      <x:c r="I36" s="61" t="n">
        <x:v>0.07861093</x:v>
      </x:c>
      <x:c r="J36" s="61" t="n">
        <x:v>0.04266439</x:v>
      </x:c>
      <x:c r="K36" s="79" t="n">
        <x:v>23366409390</x:v>
      </x:c>
      <x:c r="L36" s="61" t="n">
        <x:v>0.19270742</x:v>
      </x:c>
      <x:c r="M36" s="61" t="n">
        <x:v>0.41624048</x:v>
      </x:c>
      <x:c r="N36" s="61" t="n">
        <x:v>0.67131018</x:v>
      </x:c>
      <x:c r="O36" s="80" t="n">
        <x:v>42.16729338</x:v>
      </x:c>
      <x:c r="P36" s="59" t="str">
        <x:v>NOT SELECTED</x:v>
      </x:c>
      <x:c r="Q36" s="79" t="n">
        <x:v>0</x:v>
      </x:c>
      <x:c r="R36" s="59" t="str">
        <x:v>DEFERRED</x:v>
      </x:c>
      <x:c r="S36" s="79" t="n">
        <x:v>0</x:v>
      </x:c>
      <x:c r="T36" s="59" t="str">
        <x:v>SCENARIO/RECONSTRUCTED_NOT_MEASURED; need/leakage POSTERIOR</x:v>
      </x:c>
    </x:row>
    <x:row r="37">
      <x:c r="A37" s="59" t="n">
        <x:v>33</x:v>
      </x:c>
      <x:c r="B37" s="59" t="str">
        <x:v>E02-collections</x:v>
      </x:c>
      <x:c r="C37" s="59" t="str">
        <x:v>E02</x:v>
      </x:c>
      <x:c r="D37" s="59" t="str">
        <x:v>Glencore</x:v>
      </x:c>
      <x:c r="E37" s="59" t="str">
        <x:v>mining</x:v>
      </x:c>
      <x:c r="F37" s="59" t="str">
        <x:v>Collections</x:v>
      </x:c>
      <x:c r="G37" s="59" t="str">
        <x:v>E1</x:v>
      </x:c>
      <x:c r="H37" s="61" t="n">
        <x:v>0.64886748</x:v>
      </x:c>
      <x:c r="I37" s="61" t="n">
        <x:v>0.02655069</x:v>
      </x:c>
      <x:c r="J37" s="61" t="n">
        <x:v>0.0758591</x:v>
      </x:c>
      <x:c r="K37" s="79" t="n">
        <x:v>63696128229</x:v>
      </x:c>
      <x:c r="L37" s="61" t="n">
        <x:v>0.02194243</x:v>
      </x:c>
      <x:c r="M37" s="61" t="n">
        <x:v>0.03723024</x:v>
      </x:c>
      <x:c r="N37" s="61" t="n">
        <x:v>0.0519695</x:v>
      </x:c>
      <x:c r="O37" s="80" t="n">
        <x:v>41.76998151</x:v>
      </x:c>
      <x:c r="P37" s="59" t="str">
        <x:v>NOT SELECTED</x:v>
      </x:c>
      <x:c r="Q37" s="79" t="n">
        <x:v>0</x:v>
      </x:c>
      <x:c r="R37" s="59" t="str">
        <x:v>DEFERRED</x:v>
      </x:c>
      <x:c r="S37" s="79" t="n">
        <x:v>0</x:v>
      </x:c>
      <x:c r="T37" s="59" t="str">
        <x:v>SCENARIO/RECONSTRUCTED_NOT_MEASURED; need/leakage POSTERIOR</x:v>
      </x:c>
    </x:row>
    <x:row r="38">
      <x:c r="A38" s="59" t="n">
        <x:v>34</x:v>
      </x:c>
      <x:c r="B38" s="59" t="str">
        <x:v>E09-liquidity</x:v>
      </x:c>
      <x:c r="C38" s="59" t="str">
        <x:v>E09</x:v>
      </x:c>
      <x:c r="D38" s="59" t="str">
        <x:v>Shoprite Holdings</x:v>
      </x:c>
      <x:c r="E38" s="59" t="str">
        <x:v>consumer</x:v>
      </x:c>
      <x:c r="F38" s="59" t="str">
        <x:v>Liquidity</x:v>
      </x:c>
      <x:c r="G38" s="59" t="str">
        <x:v>E1</x:v>
      </x:c>
      <x:c r="H38" s="61" t="n">
        <x:v>1</x:v>
      </x:c>
      <x:c r="I38" s="61" t="n">
        <x:v>0.06837764</x:v>
      </x:c>
      <x:c r="J38" s="61" t="n">
        <x:v>0.04310336</x:v>
      </x:c>
      <x:c r="K38" s="79" t="n">
        <x:v>7170500187</x:v>
      </x:c>
      <x:c r="L38" s="61" t="n">
        <x:v>0.1935412</x:v>
      </x:c>
      <x:c r="M38" s="61" t="n">
        <x:v>0.41874351</x:v>
      </x:c>
      <x:c r="N38" s="61" t="n">
        <x:v>0.67546223</x:v>
      </x:c>
      <x:c r="O38" s="80" t="n">
        <x:v>41.70944101</x:v>
      </x:c>
      <x:c r="P38" s="59" t="str">
        <x:v>NOT SELECTED</x:v>
      </x:c>
      <x:c r="Q38" s="79" t="n">
        <x:v>0</x:v>
      </x:c>
      <x:c r="R38" s="59" t="str">
        <x:v>DEFERRED</x:v>
      </x:c>
      <x:c r="S38" s="79" t="n">
        <x:v>0</x:v>
      </x:c>
      <x:c r="T38" s="59" t="str">
        <x:v>SCENARIO/RECONSTRUCTED_NOT_MEASURED; need/leakage POSTERIOR</x:v>
      </x:c>
    </x:row>
    <x:row r="39">
      <x:c r="A39" s="59" t="n">
        <x:v>35</x:v>
      </x:c>
      <x:c r="B39" s="59" t="str">
        <x:v>E02-cross-border-fx</x:v>
      </x:c>
      <x:c r="C39" s="59" t="str">
        <x:v>E02</x:v>
      </x:c>
      <x:c r="D39" s="59" t="str">
        <x:v>Glencore</x:v>
      </x:c>
      <x:c r="E39" s="59" t="str">
        <x:v>mining</x:v>
      </x:c>
      <x:c r="F39" s="59" t="str">
        <x:v>Cross-border FX</x:v>
      </x:c>
      <x:c r="G39" s="59" t="str">
        <x:v>E1</x:v>
      </x:c>
      <x:c r="H39" s="61" t="n">
        <x:v>0.50894722</x:v>
      </x:c>
      <x:c r="I39" s="61" t="n">
        <x:v>0.03815876</x:v>
      </x:c>
      <x:c r="J39" s="61" t="n">
        <x:v>0.04440543</x:v>
      </x:c>
      <x:c r="K39" s="79" t="n">
        <x:v>26754596867</x:v>
      </x:c>
      <x:c r="L39" s="61" t="n">
        <x:v>0.03841993</x:v>
      </x:c>
      <x:c r="M39" s="61" t="n">
        <x:v>0.07981693</x:v>
      </x:c>
      <x:c r="N39" s="61" t="n">
        <x:v>0.12866369</x:v>
      </x:c>
      <x:c r="O39" s="80" t="n">
        <x:v>40.90781739</x:v>
      </x:c>
      <x:c r="P39" s="59" t="str">
        <x:v>NOT SELECTED</x:v>
      </x:c>
      <x:c r="Q39" s="79" t="n">
        <x:v>0</x:v>
      </x:c>
      <x:c r="R39" s="59" t="str">
        <x:v>DEFERRED</x:v>
      </x:c>
      <x:c r="S39" s="79" t="n">
        <x:v>0</x:v>
      </x:c>
      <x:c r="T39" s="59" t="str">
        <x:v>SCENARIO/RECONSTRUCTED_NOT_MEASURED; need/leakage POSTERIOR</x:v>
      </x:c>
    </x:row>
    <x:row r="40">
      <x:c r="A40" s="59" t="n">
        <x:v>36</x:v>
      </x:c>
      <x:c r="B40" s="59" t="str">
        <x:v>E09-collections</x:v>
      </x:c>
      <x:c r="C40" s="59" t="str">
        <x:v>E09</x:v>
      </x:c>
      <x:c r="D40" s="59" t="str">
        <x:v>Shoprite Holdings</x:v>
      </x:c>
      <x:c r="E40" s="59" t="str">
        <x:v>consumer</x:v>
      </x:c>
      <x:c r="F40" s="59" t="str">
        <x:v>Collections</x:v>
      </x:c>
      <x:c r="G40" s="59" t="str">
        <x:v>E1</x:v>
      </x:c>
      <x:c r="H40" s="61" t="n">
        <x:v>0.67136503</x:v>
      </x:c>
      <x:c r="I40" s="61" t="n">
        <x:v>0.07002914</x:v>
      </x:c>
      <x:c r="J40" s="61" t="n">
        <x:v>0.04302386</x:v>
      </x:c>
      <x:c r="K40" s="79" t="n">
        <x:v>23448596317</x:v>
      </x:c>
      <x:c r="L40" s="61" t="n">
        <x:v>0.06051206</x:v>
      </x:c>
      <x:c r="M40" s="61" t="n">
        <x:v>0.10234613</x:v>
      </x:c>
      <x:c r="N40" s="61" t="n">
        <x:v>0.14473929</x:v>
      </x:c>
      <x:c r="O40" s="80" t="n">
        <x:v>39.31240025</x:v>
      </x:c>
      <x:c r="P40" s="59" t="str">
        <x:v>NOT SELECTED</x:v>
      </x:c>
      <x:c r="Q40" s="79" t="n">
        <x:v>0</x:v>
      </x:c>
      <x:c r="R40" s="59" t="str">
        <x:v>DEFERRED</x:v>
      </x:c>
      <x:c r="S40" s="79" t="n">
        <x:v>0</x:v>
      </x:c>
      <x:c r="T40" s="59" t="str">
        <x:v>SCENARIO/RECONSTRUCTED_NOT_MEASURED; need/leakage POSTERIOR</x:v>
      </x:c>
    </x:row>
    <x:row r="41">
      <x:c r="A41" s="59" t="n">
        <x:v>37</x:v>
      </x:c>
      <x:c r="B41" s="59" t="str">
        <x:v>E14-cross-border-fx</x:v>
      </x:c>
      <x:c r="C41" s="59" t="str">
        <x:v>E14</x:v>
      </x:c>
      <x:c r="D41" s="59" t="str">
        <x:v>Prosus</x:v>
      </x:c>
      <x:c r="E41" s="59" t="str">
        <x:v>tech</x:v>
      </x:c>
      <x:c r="F41" s="59" t="str">
        <x:v>Cross-border FX</x:v>
      </x:c>
      <x:c r="G41" s="59" t="str">
        <x:v>E1</x:v>
      </x:c>
      <x:c r="H41" s="61" t="n">
        <x:v>0.43048481</x:v>
      </x:c>
      <x:c r="I41" s="61" t="n">
        <x:v>0.11889024</x:v>
      </x:c>
      <x:c r="J41" s="61" t="n">
        <x:v>0.19922663</x:v>
      </x:c>
      <x:c r="K41" s="79" t="n">
        <x:v>16037859387</x:v>
      </x:c>
      <x:c r="L41" s="61" t="n">
        <x:v>0.05311494</x:v>
      </x:c>
      <x:c r="M41" s="61" t="n">
        <x:v>0.10946047</x:v>
      </x:c>
      <x:c r="N41" s="61" t="n">
        <x:v>0.1723884</x:v>
      </x:c>
      <x:c r="O41" s="80" t="n">
        <x:v>38.17144625</x:v>
      </x:c>
      <x:c r="P41" s="59" t="str">
        <x:v>NOT SELECTED</x:v>
      </x:c>
      <x:c r="Q41" s="79" t="n">
        <x:v>0</x:v>
      </x:c>
      <x:c r="R41" s="59" t="str">
        <x:v>DEFERRED</x:v>
      </x:c>
      <x:c r="S41" s="79" t="n">
        <x:v>0</x:v>
      </x:c>
      <x:c r="T41" s="59" t="str">
        <x:v>SCENARIO/RECONSTRUCTED_NOT_MEASURED; need/leakage POSTERIOR</x:v>
      </x:c>
    </x:row>
    <x:row r="42">
      <x:c r="A42" s="59" t="n">
        <x:v>38</x:v>
      </x:c>
      <x:c r="B42" s="59" t="str">
        <x:v>E18-payments</x:v>
      </x:c>
      <x:c r="C42" s="59" t="str">
        <x:v>E18</x:v>
      </x:c>
      <x:c r="D42" s="59" t="str">
        <x:v>The Bidvest Group</x:v>
      </x:c>
      <x:c r="E42" s="59" t="str">
        <x:v>industrials_pharma</x:v>
      </x:c>
      <x:c r="F42" s="59" t="str">
        <x:v>Payments</x:v>
      </x:c>
      <x:c r="G42" s="59" t="str">
        <x:v>E1</x:v>
      </x:c>
      <x:c r="H42" s="61" t="n">
        <x:v>0.74550835</x:v>
      </x:c>
      <x:c r="I42" s="61" t="n">
        <x:v>0.0428885</x:v>
      </x:c>
      <x:c r="J42" s="61" t="n">
        <x:v>0.04421511</x:v>
      </x:c>
      <x:c r="K42" s="79" t="n">
        <x:v>17865950549</x:v>
      </x:c>
      <x:c r="L42" s="61" t="n">
        <x:v>0.08988437</x:v>
      </x:c>
      <x:c r="M42" s="61" t="n">
        <x:v>0.15924778</x:v>
      </x:c>
      <x:c r="N42" s="61" t="n">
        <x:v>0.23077342</x:v>
      </x:c>
      <x:c r="O42" s="80" t="n">
        <x:v>37.76123352</x:v>
      </x:c>
      <x:c r="P42" s="59" t="str">
        <x:v>NOT SELECTED</x:v>
      </x:c>
      <x:c r="Q42" s="79" t="n">
        <x:v>0</x:v>
      </x:c>
      <x:c r="R42" s="59" t="str">
        <x:v>DEFERRED</x:v>
      </x:c>
      <x:c r="S42" s="79" t="n">
        <x:v>0</x:v>
      </x:c>
      <x:c r="T42" s="59" t="str">
        <x:v>SCENARIO/RECONSTRUCTED_NOT_MEASURED; need/leakage POSTERIOR</x:v>
      </x:c>
    </x:row>
    <x:row r="43">
      <x:c r="A43" s="59" t="n">
        <x:v>39</x:v>
      </x:c>
      <x:c r="B43" s="59" t="str">
        <x:v>E16-collections</x:v>
      </x:c>
      <x:c r="C43" s="59" t="str">
        <x:v>E16</x:v>
      </x:c>
      <x:c r="D43" s="59" t="str">
        <x:v>MTN Group</x:v>
      </x:c>
      <x:c r="E43" s="59" t="str">
        <x:v>telecoms</x:v>
      </x:c>
      <x:c r="F43" s="59" t="str">
        <x:v>Collections</x:v>
      </x:c>
      <x:c r="G43" s="59" t="str">
        <x:v>E1</x:v>
      </x:c>
      <x:c r="H43" s="61" t="n">
        <x:v>0.6301725</x:v>
      </x:c>
      <x:c r="I43" s="61" t="n">
        <x:v>0.08074459</x:v>
      </x:c>
      <x:c r="J43" s="61" t="n">
        <x:v>0.05209863</x:v>
      </x:c>
      <x:c r="K43" s="79" t="n">
        <x:v>22099794136</x:v>
      </x:c>
      <x:c r="L43" s="61" t="n">
        <x:v>0.06210078</x:v>
      </x:c>
      <x:c r="M43" s="61" t="n">
        <x:v>0.10586897</x:v>
      </x:c>
      <x:c r="N43" s="61" t="n">
        <x:v>0.15086639</x:v>
      </x:c>
      <x:c r="O43" s="80" t="n">
        <x:v>37.12450466</x:v>
      </x:c>
      <x:c r="P43" s="59" t="str">
        <x:v>NOT SELECTED</x:v>
      </x:c>
      <x:c r="Q43" s="79" t="n">
        <x:v>0</x:v>
      </x:c>
      <x:c r="R43" s="59" t="str">
        <x:v>DEFERRED</x:v>
      </x:c>
      <x:c r="S43" s="79" t="n">
        <x:v>0</x:v>
      </x:c>
      <x:c r="T43" s="59" t="str">
        <x:v>SCENARIO/RECONSTRUCTED_NOT_MEASURED; need/leakage POSTERIOR</x:v>
      </x:c>
    </x:row>
    <x:row r="44">
      <x:c r="A44" s="59" t="n">
        <x:v>40</x:v>
      </x:c>
      <x:c r="B44" s="59" t="str">
        <x:v>E03-payments</x:v>
      </x:c>
      <x:c r="C44" s="59" t="str">
        <x:v>E03</x:v>
      </x:c>
      <x:c r="D44" s="59" t="str">
        <x:v>Anglo American</x:v>
      </x:c>
      <x:c r="E44" s="59" t="str">
        <x:v>mining</x:v>
      </x:c>
      <x:c r="F44" s="59" t="str">
        <x:v>Payments</x:v>
      </x:c>
      <x:c r="G44" s="59" t="str">
        <x:v>E1</x:v>
      </x:c>
      <x:c r="H44" s="61" t="n">
        <x:v>0.67125585</x:v>
      </x:c>
      <x:c r="I44" s="61" t="n">
        <x:v>0.01504211</x:v>
      </x:c>
      <x:c r="J44" s="61" t="n">
        <x:v>0.02928148</x:v>
      </x:c>
      <x:c r="K44" s="79" t="n">
        <x:v>24596374465</x:v>
      </x:c>
      <x:c r="L44" s="61" t="n">
        <x:v>0.06195992</x:v>
      </x:c>
      <x:c r="M44" s="61" t="n">
        <x:v>0.11112295</x:v>
      </x:c>
      <x:c r="N44" s="61" t="n">
        <x:v>0.15904271</x:v>
      </x:c>
      <x:c r="O44" s="80" t="n">
        <x:v>35.91315538</x:v>
      </x:c>
      <x:c r="P44" s="59" t="str">
        <x:v>NOT SELECTED</x:v>
      </x:c>
      <x:c r="Q44" s="79" t="n">
        <x:v>0</x:v>
      </x:c>
      <x:c r="R44" s="59" t="str">
        <x:v>DEFERRED</x:v>
      </x:c>
      <x:c r="S44" s="79" t="n">
        <x:v>0</x:v>
      </x:c>
      <x:c r="T44" s="59" t="str">
        <x:v>SCENARIO/RECONSTRUCTED_NOT_MEASURED; need/leakage POSTERIOR</x:v>
      </x:c>
    </x:row>
    <x:row r="45">
      <x:c r="A45" s="59" t="n">
        <x:v>41</x:v>
      </x:c>
      <x:c r="B45" s="59" t="str">
        <x:v>E01-cross-border-fx</x:v>
      </x:c>
      <x:c r="C45" s="59" t="str">
        <x:v>E01</x:v>
      </x:c>
      <x:c r="D45" s="59" t="str">
        <x:v>BHP Group</x:v>
      </x:c>
      <x:c r="E45" s="59" t="str">
        <x:v>mining</x:v>
      </x:c>
      <x:c r="F45" s="59" t="str">
        <x:v>Cross-border FX</x:v>
      </x:c>
      <x:c r="G45" s="59" t="str">
        <x:v>E1</x:v>
      </x:c>
      <x:c r="H45" s="61" t="n">
        <x:v>0.35838583</x:v>
      </x:c>
      <x:c r="I45" s="61" t="n">
        <x:v>0.04309946</x:v>
      </x:c>
      <x:c r="J45" s="61" t="n">
        <x:v>0.05704421</x:v>
      </x:c>
      <x:c r="K45" s="79" t="n">
        <x:v>21813284604</x:v>
      </x:c>
      <x:c r="L45" s="61" t="n">
        <x:v>0.04343802</x:v>
      </x:c>
      <x:c r="M45" s="61" t="n">
        <x:v>0.08703417</x:v>
      </x:c>
      <x:c r="N45" s="61" t="n">
        <x:v>0.13838917</x:v>
      </x:c>
      <x:c r="O45" s="80" t="n">
        <x:v>34.60483898</x:v>
      </x:c>
      <x:c r="P45" s="59" t="str">
        <x:v>NOT SELECTED</x:v>
      </x:c>
      <x:c r="Q45" s="79" t="n">
        <x:v>0</x:v>
      </x:c>
      <x:c r="R45" s="59" t="str">
        <x:v>DEFERRED</x:v>
      </x:c>
      <x:c r="S45" s="79" t="n">
        <x:v>0</x:v>
      </x:c>
      <x:c r="T45" s="59" t="str">
        <x:v>SCENARIO/RECONSTRUCTED_NOT_MEASURED; need/leakage POSTERIOR</x:v>
      </x:c>
    </x:row>
    <x:row r="46">
      <x:c r="A46" s="59" t="n">
        <x:v>42</x:v>
      </x:c>
      <x:c r="B46" s="59" t="str">
        <x:v>E18-liquidity</x:v>
      </x:c>
      <x:c r="C46" s="59" t="str">
        <x:v>E18</x:v>
      </x:c>
      <x:c r="D46" s="59" t="str">
        <x:v>The Bidvest Group</x:v>
      </x:c>
      <x:c r="E46" s="59" t="str">
        <x:v>industrials_pharma</x:v>
      </x:c>
      <x:c r="F46" s="59" t="str">
        <x:v>Liquidity</x:v>
      </x:c>
      <x:c r="G46" s="59" t="str">
        <x:v>E1</x:v>
      </x:c>
      <x:c r="H46" s="61" t="n">
        <x:v>0.52863915</x:v>
      </x:c>
      <x:c r="I46" s="61" t="n">
        <x:v>0.03058706</x:v>
      </x:c>
      <x:c r="J46" s="61" t="n">
        <x:v>0.03692205</x:v>
      </x:c>
      <x:c r="K46" s="79" t="n">
        <x:v>7529835884</x:v>
      </x:c>
      <x:c r="L46" s="61" t="n">
        <x:v>0.10963087</x:v>
      </x:c>
      <x:c r="M46" s="61" t="n">
        <x:v>0.2349563</x:v>
      </x:c>
      <x:c r="N46" s="61" t="n">
        <x:v>0.38263306</x:v>
      </x:c>
      <x:c r="O46" s="80" t="n">
        <x:v>33.02135366</x:v>
      </x:c>
      <x:c r="P46" s="59" t="str">
        <x:v>NOT SELECTED</x:v>
      </x:c>
      <x:c r="Q46" s="79" t="n">
        <x:v>0</x:v>
      </x:c>
      <x:c r="R46" s="59" t="str">
        <x:v>DEFERRED</x:v>
      </x:c>
      <x:c r="S46" s="79" t="n">
        <x:v>0</x:v>
      </x:c>
      <x:c r="T46" s="59" t="str">
        <x:v>SCENARIO/RECONSTRUCTED_NOT_MEASURED; need/leakage POSTERIOR</x:v>
      </x:c>
    </x:row>
    <x:row r="47">
      <x:c r="A47" s="59" t="n">
        <x:v>43</x:v>
      </x:c>
      <x:c r="B47" s="59" t="str">
        <x:v>E19-payments</x:v>
      </x:c>
      <x:c r="C47" s="59" t="str">
        <x:v>E19</x:v>
      </x:c>
      <x:c r="D47" s="59" t="str">
        <x:v>Aspen Pharmacare</x:v>
      </x:c>
      <x:c r="E47" s="59" t="str">
        <x:v>industrials_pharma</x:v>
      </x:c>
      <x:c r="F47" s="59" t="str">
        <x:v>Payments</x:v>
      </x:c>
      <x:c r="G47" s="59" t="str">
        <x:v>E1</x:v>
      </x:c>
      <x:c r="H47" s="61" t="n">
        <x:v>0.68181527</x:v>
      </x:c>
      <x:c r="I47" s="61" t="n">
        <x:v>0.03793926</x:v>
      </x:c>
      <x:c r="J47" s="61" t="n">
        <x:v>0.03586005</x:v>
      </x:c>
      <x:c r="K47" s="79" t="n">
        <x:v>9632062601</x:v>
      </x:c>
      <x:c r="L47" s="61" t="n">
        <x:v>0.12119204</x:v>
      </x:c>
      <x:c r="M47" s="61" t="n">
        <x:v>0.21171263</x:v>
      </x:c>
      <x:c r="N47" s="61" t="n">
        <x:v>0.3044089</x:v>
      </x:c>
      <x:c r="O47" s="80" t="n">
        <x:v>32.66553663</x:v>
      </x:c>
      <x:c r="P47" s="59" t="str">
        <x:v>NOT SELECTED</x:v>
      </x:c>
      <x:c r="Q47" s="79" t="n">
        <x:v>0</x:v>
      </x:c>
      <x:c r="R47" s="59" t="str">
        <x:v>DEFERRED</x:v>
      </x:c>
      <x:c r="S47" s="79" t="n">
        <x:v>0</x:v>
      </x:c>
      <x:c r="T47" s="59" t="str">
        <x:v>SCENARIO/RECONSTRUCTED_NOT_MEASURED; need/leakage POSTERIOR</x:v>
      </x:c>
    </x:row>
    <x:row r="48">
      <x:c r="A48" s="59" t="n">
        <x:v>44</x:v>
      </x:c>
      <x:c r="B48" s="59" t="str">
        <x:v>E18-cross-border-fx</x:v>
      </x:c>
      <x:c r="C48" s="59" t="str">
        <x:v>E18</x:v>
      </x:c>
      <x:c r="D48" s="59" t="str">
        <x:v>The Bidvest Group</x:v>
      </x:c>
      <x:c r="E48" s="59" t="str">
        <x:v>industrials_pharma</x:v>
      </x:c>
      <x:c r="F48" s="59" t="str">
        <x:v>Cross-border FX</x:v>
      </x:c>
      <x:c r="G48" s="59" t="str">
        <x:v>E1</x:v>
      </x:c>
      <x:c r="H48" s="61" t="n">
        <x:v>0.37908103</x:v>
      </x:c>
      <x:c r="I48" s="61" t="n">
        <x:v>0.0714184</x:v>
      </x:c>
      <x:c r="J48" s="61" t="n">
        <x:v>0.11216485</x:v>
      </x:c>
      <x:c r="K48" s="79" t="n">
        <x:v>10911137077</x:v>
      </x:c>
      <x:c r="L48" s="61" t="n">
        <x:v>0.06276527</x:v>
      </x:c>
      <x:c r="M48" s="61" t="n">
        <x:v>0.12872816</x:v>
      </x:c>
      <x:c r="N48" s="61" t="n">
        <x:v>0.20766343</x:v>
      </x:c>
      <x:c r="O48" s="80" t="n">
        <x:v>32.30223645</x:v>
      </x:c>
      <x:c r="P48" s="59" t="str">
        <x:v>NOT SELECTED</x:v>
      </x:c>
      <x:c r="Q48" s="79" t="n">
        <x:v>0</x:v>
      </x:c>
      <x:c r="R48" s="59" t="str">
        <x:v>DEFERRED</x:v>
      </x:c>
      <x:c r="S48" s="79" t="n">
        <x:v>0</x:v>
      </x:c>
      <x:c r="T48" s="59" t="str">
        <x:v>SCENARIO/RECONSTRUCTED_NOT_MEASURED; need/leakage POSTERIOR</x:v>
      </x:c>
    </x:row>
    <x:row r="49">
      <x:c r="A49" s="59" t="n">
        <x:v>45</x:v>
      </x:c>
      <x:c r="B49" s="59" t="str">
        <x:v>E02-payments</x:v>
      </x:c>
      <x:c r="C49" s="59" t="str">
        <x:v>E02</x:v>
      </x:c>
      <x:c r="D49" s="59" t="str">
        <x:v>Glencore</x:v>
      </x:c>
      <x:c r="E49" s="59" t="str">
        <x:v>mining</x:v>
      </x:c>
      <x:c r="F49" s="59" t="str">
        <x:v>Payments</x:v>
      </x:c>
      <x:c r="G49" s="59" t="str">
        <x:v>E1</x:v>
      </x:c>
      <x:c r="H49" s="61" t="n">
        <x:v>0.43158919</x:v>
      </x:c>
      <x:c r="I49" s="61" t="n">
        <x:v>0.0199052</x:v>
      </x:c>
      <x:c r="J49" s="61" t="n">
        <x:v>0.04693113</x:v>
      </x:c>
      <x:c r="K49" s="79" t="n">
        <x:v>56175121674</x:v>
      </x:c>
      <x:c r="L49" s="61" t="n">
        <x:v>0.01858361</x:v>
      </x:c>
      <x:c r="M49" s="61" t="n">
        <x:v>0.03231816</x:v>
      </x:c>
      <x:c r="N49" s="61" t="n">
        <x:v>0.04621411</x:v>
      </x:c>
      <x:c r="O49" s="80" t="n">
        <x:v>31.2965512</x:v>
      </x:c>
      <x:c r="P49" s="59" t="str">
        <x:v>NOT SELECTED</x:v>
      </x:c>
      <x:c r="Q49" s="79" t="n">
        <x:v>0</x:v>
      </x:c>
      <x:c r="R49" s="59" t="str">
        <x:v>DEFERRED</x:v>
      </x:c>
      <x:c r="S49" s="79" t="n">
        <x:v>0</x:v>
      </x:c>
      <x:c r="T49" s="59" t="str">
        <x:v>SCENARIO/RECONSTRUCTED_NOT_MEASURED; need/leakage POSTERIOR</x:v>
      </x:c>
    </x:row>
    <x:row r="50">
      <x:c r="A50" s="59" t="n">
        <x:v>46</x:v>
      </x:c>
      <x:c r="B50" s="59" t="str">
        <x:v>E19-cross-border-fx</x:v>
      </x:c>
      <x:c r="C50" s="59" t="str">
        <x:v>E19</x:v>
      </x:c>
      <x:c r="D50" s="59" t="str">
        <x:v>Aspen Pharmacare</x:v>
      </x:c>
      <x:c r="E50" s="59" t="str">
        <x:v>industrials_pharma</x:v>
      </x:c>
      <x:c r="F50" s="59" t="str">
        <x:v>Cross-border FX</x:v>
      </x:c>
      <x:c r="G50" s="59" t="str">
        <x:v>E1</x:v>
      </x:c>
      <x:c r="H50" s="61" t="n">
        <x:v>0.39250589</x:v>
      </x:c>
      <x:c r="I50" s="61" t="n">
        <x:v>0.080334</x:v>
      </x:c>
      <x:c r="J50" s="61" t="n">
        <x:v>0.04454116</x:v>
      </x:c>
      <x:c r="K50" s="79" t="n">
        <x:v>6441033686</x:v>
      </x:c>
      <x:c r="L50" s="61" t="n">
        <x:v>0.08829968</x:v>
      </x:c>
      <x:c r="M50" s="61" t="n">
        <x:v>0.17971525</x:v>
      </x:c>
      <x:c r="N50" s="61" t="n">
        <x:v>0.28566554</x:v>
      </x:c>
      <x:c r="O50" s="80" t="n">
        <x:v>30.63787873</x:v>
      </x:c>
      <x:c r="P50" s="59" t="str">
        <x:v>NOT SELECTED</x:v>
      </x:c>
      <x:c r="Q50" s="79" t="n">
        <x:v>0</x:v>
      </x:c>
      <x:c r="R50" s="59" t="str">
        <x:v>DEFERRED</x:v>
      </x:c>
      <x:c r="S50" s="79" t="n">
        <x:v>0</x:v>
      </x:c>
      <x:c r="T50" s="59" t="str">
        <x:v>SCENARIO/RECONSTRUCTED_NOT_MEASURED; need/leakage POSTERIOR</x:v>
      </x:c>
    </x:row>
    <x:row r="51">
      <x:c r="A51" s="59" t="n">
        <x:v>47</x:v>
      </x:c>
      <x:c r="B51" s="59" t="str">
        <x:v>E05-trade-finance</x:v>
      </x:c>
      <x:c r="C51" s="59" t="str">
        <x:v>E05</x:v>
      </x:c>
      <x:c r="D51" s="59" t="str">
        <x:v>Gold Fields</x:v>
      </x:c>
      <x:c r="E51" s="59" t="str">
        <x:v>mining</x:v>
      </x:c>
      <x:c r="F51" s="59" t="str">
        <x:v>Trade finance</x:v>
      </x:c>
      <x:c r="G51" s="59" t="str">
        <x:v>E1</x:v>
      </x:c>
      <x:c r="H51" s="61" t="n">
        <x:v>0.30281831</x:v>
      </x:c>
      <x:c r="I51" s="61" t="n">
        <x:v>0.07992083</x:v>
      </x:c>
      <x:c r="J51" s="61" t="n">
        <x:v>0.07351359</x:v>
      </x:c>
      <x:c r="K51" s="79" t="n">
        <x:v>2777866945</x:v>
      </x:c>
      <x:c r="L51" s="61" t="n">
        <x:v>0.0781755</x:v>
      </x:c>
      <x:c r="M51" s="61" t="n">
        <x:v>0.20021168</x:v>
      </x:c>
      <x:c r="N51" s="61" t="n">
        <x:v>0.34779429</x:v>
      </x:c>
      <x:c r="O51" s="80" t="n">
        <x:v>30.07034909</x:v>
      </x:c>
      <x:c r="P51" s="59" t="str">
        <x:v>NOT SELECTED</x:v>
      </x:c>
      <x:c r="Q51" s="79" t="n">
        <x:v>0</x:v>
      </x:c>
      <x:c r="R51" s="59" t="str">
        <x:v>DEFERRED</x:v>
      </x:c>
      <x:c r="S51" s="79" t="n">
        <x:v>0</x:v>
      </x:c>
      <x:c r="T51" s="59" t="str">
        <x:v>SCENARIO/RECONSTRUCTED_NOT_MEASURED; need/leakage POSTERIOR</x:v>
      </x:c>
    </x:row>
    <x:row r="52">
      <x:c r="A52" s="59" t="n">
        <x:v>48</x:v>
      </x:c>
      <x:c r="B52" s="59" t="str">
        <x:v>E19-liquidity</x:v>
      </x:c>
      <x:c r="C52" s="59" t="str">
        <x:v>E19</x:v>
      </x:c>
      <x:c r="D52" s="59" t="str">
        <x:v>Aspen Pharmacare</x:v>
      </x:c>
      <x:c r="E52" s="59" t="str">
        <x:v>industrials_pharma</x:v>
      </x:c>
      <x:c r="F52" s="59" t="str">
        <x:v>Liquidity</x:v>
      </x:c>
      <x:c r="G52" s="59" t="str">
        <x:v>E1</x:v>
      </x:c>
      <x:c r="H52" s="61" t="n">
        <x:v>0.4595777</x:v>
      </x:c>
      <x:c r="I52" s="61" t="n">
        <x:v>0.03118107</x:v>
      </x:c>
      <x:c r="J52" s="61" t="n">
        <x:v>0.03276981</x:v>
      </x:c>
      <x:c r="K52" s="79" t="n">
        <x:v>6315971081</x:v>
      </x:c>
      <x:c r="L52" s="61" t="n">
        <x:v>0.09935</x:v>
      </x:c>
      <x:c r="M52" s="61" t="n">
        <x:v>0.21469362</x:v>
      </x:c>
      <x:c r="N52" s="61" t="n">
        <x:v>0.34251879</x:v>
      </x:c>
      <x:c r="O52" s="80" t="n">
        <x:v>29.66768544</x:v>
      </x:c>
      <x:c r="P52" s="59" t="str">
        <x:v>NOT SELECTED</x:v>
      </x:c>
      <x:c r="Q52" s="79" t="n">
        <x:v>0</x:v>
      </x:c>
      <x:c r="R52" s="59" t="str">
        <x:v>DEFERRED</x:v>
      </x:c>
      <x:c r="S52" s="79" t="n">
        <x:v>0</x:v>
      </x:c>
      <x:c r="T52" s="59" t="str">
        <x:v>SCENARIO/RECONSTRUCTED_NOT_MEASURED; need/leakage POSTERIOR</x:v>
      </x:c>
    </x:row>
    <x:row r="53">
      <x:c r="A53" s="59" t="n">
        <x:v>49</x:v>
      </x:c>
      <x:c r="B53" s="59" t="str">
        <x:v>E03-trade-finance</x:v>
      </x:c>
      <x:c r="C53" s="59" t="str">
        <x:v>E03</x:v>
      </x:c>
      <x:c r="D53" s="59" t="str">
        <x:v>Anglo American</x:v>
      </x:c>
      <x:c r="E53" s="59" t="str">
        <x:v>mining</x:v>
      </x:c>
      <x:c r="F53" s="59" t="str">
        <x:v>Trade finance</x:v>
      </x:c>
      <x:c r="G53" s="59" t="str">
        <x:v>E1</x:v>
      </x:c>
      <x:c r="H53" s="61" t="n">
        <x:v>0.22135374</x:v>
      </x:c>
      <x:c r="I53" s="61" t="n">
        <x:v>0.03599132</x:v>
      </x:c>
      <x:c r="J53" s="61" t="n">
        <x:v>0.04180283</x:v>
      </x:c>
      <x:c r="K53" s="79" t="n">
        <x:v>3658573662</x:v>
      </x:c>
      <x:c r="L53" s="61" t="n">
        <x:v>0.05689398</x:v>
      </x:c>
      <x:c r="M53" s="61" t="n">
        <x:v>0.14730295</x:v>
      </x:c>
      <x:c r="N53" s="61" t="n">
        <x:v>0.26069518</x:v>
      </x:c>
      <x:c r="O53" s="80" t="n">
        <x:v>27.93575049</x:v>
      </x:c>
      <x:c r="P53" s="59" t="str">
        <x:v>NOT SELECTED</x:v>
      </x:c>
      <x:c r="Q53" s="79" t="n">
        <x:v>0</x:v>
      </x:c>
      <x:c r="R53" s="59" t="str">
        <x:v>DEFERRED</x:v>
      </x:c>
      <x:c r="S53" s="79" t="n">
        <x:v>0</x:v>
      </x:c>
      <x:c r="T53" s="59" t="str">
        <x:v>SCENARIO/RECONSTRUCTED_NOT_MEASURED; need/leakage POSTERIOR</x:v>
      </x:c>
    </x:row>
    <x:row r="54">
      <x:c r="A54" s="59" t="n">
        <x:v>50</x:v>
      </x:c>
      <x:c r="B54" s="59" t="str">
        <x:v>E03-cross-border-fx</x:v>
      </x:c>
      <x:c r="C54" s="59" t="str">
        <x:v>E03</x:v>
      </x:c>
      <x:c r="D54" s="59" t="str">
        <x:v>Anglo American</x:v>
      </x:c>
      <x:c r="E54" s="59" t="str">
        <x:v>mining</x:v>
      </x:c>
      <x:c r="F54" s="59" t="str">
        <x:v>Cross-border FX</x:v>
      </x:c>
      <x:c r="G54" s="59" t="str">
        <x:v>E1</x:v>
      </x:c>
      <x:c r="H54" s="61" t="n">
        <x:v>0.20504816</x:v>
      </x:c>
      <x:c r="I54" s="61" t="n">
        <x:v>0.0627215</x:v>
      </x:c>
      <x:c r="J54" s="61" t="n">
        <x:v>0.03616074</x:v>
      </x:c>
      <x:c r="K54" s="79" t="n">
        <x:v>14086655950</x:v>
      </x:c>
      <x:c r="L54" s="61" t="n">
        <x:v>0.03178512</x:v>
      </x:c>
      <x:c r="M54" s="61" t="n">
        <x:v>0.0657886</x:v>
      </x:c>
      <x:c r="N54" s="61" t="n">
        <x:v>0.1038688</x:v>
      </x:c>
      <x:c r="O54" s="80" t="n">
        <x:v>27.34572146</x:v>
      </x:c>
      <x:c r="P54" s="59" t="str">
        <x:v>NOT SELECTED</x:v>
      </x:c>
      <x:c r="Q54" s="79" t="n">
        <x:v>0</x:v>
      </x:c>
      <x:c r="R54" s="59" t="str">
        <x:v>DEFERRED</x:v>
      </x:c>
      <x:c r="S54" s="79" t="n">
        <x:v>0</x:v>
      </x:c>
      <x:c r="T54" s="59" t="str">
        <x:v>SCENARIO/RECONSTRUCTED_NOT_MEASURED; need/leakage POSTERIOR</x:v>
      </x:c>
    </x:row>
    <x:row r="55">
      <x:c r="A55" s="59" t="n">
        <x:v>51</x:v>
      </x:c>
      <x:c r="B55" s="59" t="str">
        <x:v>E04-cross-border-fx</x:v>
      </x:c>
      <x:c r="C55" s="59" t="str">
        <x:v>E04</x:v>
      </x:c>
      <x:c r="D55" s="59" t="str">
        <x:v>AngloGold Ashanti</x:v>
      </x:c>
      <x:c r="E55" s="59" t="str">
        <x:v>mining</x:v>
      </x:c>
      <x:c r="F55" s="59" t="str">
        <x:v>Cross-border FX</x:v>
      </x:c>
      <x:c r="G55" s="59" t="str">
        <x:v>E1</x:v>
      </x:c>
      <x:c r="H55" s="61" t="n">
        <x:v>0.22125688</x:v>
      </x:c>
      <x:c r="I55" s="61" t="n">
        <x:v>0.08883787</x:v>
      </x:c>
      <x:c r="J55" s="61" t="n">
        <x:v>0.08411477</x:v>
      </x:c>
      <x:c r="K55" s="79" t="n">
        <x:v>10124731573</x:v>
      </x:c>
      <x:c r="L55" s="61" t="n">
        <x:v>0.0374616</x:v>
      </x:c>
      <x:c r="M55" s="61" t="n">
        <x:v>0.07716211</x:v>
      </x:c>
      <x:c r="N55" s="61" t="n">
        <x:v>0.12131999</x:v>
      </x:c>
      <x:c r="O55" s="80" t="n">
        <x:v>27.23283798</x:v>
      </x:c>
      <x:c r="P55" s="59" t="str">
        <x:v>NOT SELECTED</x:v>
      </x:c>
      <x:c r="Q55" s="79" t="n">
        <x:v>0</x:v>
      </x:c>
      <x:c r="R55" s="59" t="str">
        <x:v>DEFERRED</x:v>
      </x:c>
      <x:c r="S55" s="79" t="n">
        <x:v>0</x:v>
      </x:c>
      <x:c r="T55" s="59" t="str">
        <x:v>SCENARIO/RECONSTRUCTED_NOT_MEASURED; need/leakage POSTERIOR</x:v>
      </x:c>
    </x:row>
    <x:row r="56">
      <x:c r="A56" s="59" t="n">
        <x:v>52</x:v>
      </x:c>
      <x:c r="B56" s="59" t="str">
        <x:v>E04-trade-finance</x:v>
      </x:c>
      <x:c r="C56" s="59" t="str">
        <x:v>E04</x:v>
      </x:c>
      <x:c r="D56" s="59" t="str">
        <x:v>AngloGold Ashanti</x:v>
      </x:c>
      <x:c r="E56" s="59" t="str">
        <x:v>mining</x:v>
      </x:c>
      <x:c r="F56" s="59" t="str">
        <x:v>Trade finance</x:v>
      </x:c>
      <x:c r="G56" s="59" t="str">
        <x:v>E1</x:v>
      </x:c>
      <x:c r="H56" s="61" t="n">
        <x:v>0.21254151</x:v>
      </x:c>
      <x:c r="I56" s="61" t="n">
        <x:v>0.10590686</x:v>
      </x:c>
      <x:c r="J56" s="61" t="n">
        <x:v>0.30259103</x:v>
      </x:c>
      <x:c r="K56" s="79" t="n">
        <x:v>2504015854</x:v>
      </x:c>
      <x:c r="L56" s="61" t="n">
        <x:v>0.06788302</x:v>
      </x:c>
      <x:c r="M56" s="61" t="n">
        <x:v>0.17077597</x:v>
      </x:c>
      <x:c r="N56" s="61" t="n">
        <x:v>0.29846387</x:v>
      </x:c>
      <x:c r="O56" s="80" t="n">
        <x:v>26.90690777</x:v>
      </x:c>
      <x:c r="P56" s="59" t="str">
        <x:v>NOT SELECTED</x:v>
      </x:c>
      <x:c r="Q56" s="79" t="n">
        <x:v>0</x:v>
      </x:c>
      <x:c r="R56" s="59" t="str">
        <x:v>DEFERRED</x:v>
      </x:c>
      <x:c r="S56" s="79" t="n">
        <x:v>0</x:v>
      </x:c>
      <x:c r="T56" s="59" t="str">
        <x:v>SCENARIO/RECONSTRUCTED_NOT_MEASURED; need/leakage POSTERIOR</x:v>
      </x:c>
    </x:row>
    <x:row r="57">
      <x:c r="A57" s="59" t="n">
        <x:v>53</x:v>
      </x:c>
      <x:c r="B57" s="59" t="str">
        <x:v>E04-liquidity</x:v>
      </x:c>
      <x:c r="C57" s="59" t="str">
        <x:v>E04</x:v>
      </x:c>
      <x:c r="D57" s="59" t="str">
        <x:v>AngloGold Ashanti</x:v>
      </x:c>
      <x:c r="E57" s="59" t="str">
        <x:v>mining</x:v>
      </x:c>
      <x:c r="F57" s="59" t="str">
        <x:v>Liquidity</x:v>
      </x:c>
      <x:c r="G57" s="59" t="str">
        <x:v>E1</x:v>
      </x:c>
      <x:c r="H57" s="61" t="n">
        <x:v>0.18813324</x:v>
      </x:c>
      <x:c r="I57" s="61" t="n">
        <x:v>0.13842672</x:v>
      </x:c>
      <x:c r="J57" s="61" t="n">
        <x:v>0.03898477</x:v>
      </x:c>
      <x:c r="K57" s="79" t="n">
        <x:v>8755051215</x:v>
      </x:c>
      <x:c r="L57" s="61" t="n">
        <x:v>0.04699689</x:v>
      </x:c>
      <x:c r="M57" s="61" t="n">
        <x:v>0.09948421</x:v>
      </x:c>
      <x:c r="N57" s="61" t="n">
        <x:v>0.16396086</x:v>
      </x:c>
      <x:c r="O57" s="80" t="n">
        <x:v>24.72337106</x:v>
      </x:c>
      <x:c r="P57" s="59" t="str">
        <x:v>SELECTED</x:v>
      </x:c>
      <x:c r="Q57" s="79" t="n">
        <x:v>668781</x:v>
      </x:c>
      <x:c r="R57" s="59" t="str">
        <x:v>DEFERRED</x:v>
      </x:c>
      <x:c r="S57" s="79" t="n">
        <x:v>0</x:v>
      </x:c>
      <x:c r="T57" s="59" t="str">
        <x:v>SCENARIO/RECONSTRUCTED_NOT_MEASURED; need/leakage POSTERIOR</x:v>
      </x:c>
    </x:row>
    <x:row r="58">
      <x:c r="A58" s="59" t="n">
        <x:v>54</x:v>
      </x:c>
      <x:c r="B58" s="59" t="str">
        <x:v>E12-cross-border-fx</x:v>
      </x:c>
      <x:c r="C58" s="59" t="str">
        <x:v>E12</x:v>
      </x:c>
      <x:c r="D58" s="59" t="str">
        <x:v>Clicks Group</x:v>
      </x:c>
      <x:c r="E58" s="59" t="str">
        <x:v>consumer</x:v>
      </x:c>
      <x:c r="F58" s="59" t="str">
        <x:v>Cross-border FX</x:v>
      </x:c>
      <x:c r="G58" s="59" t="str">
        <x:v>E1</x:v>
      </x:c>
      <x:c r="H58" s="61" t="n">
        <x:v>0.27138316</x:v>
      </x:c>
      <x:c r="I58" s="61" t="n">
        <x:v>0.05306507</x:v>
      </x:c>
      <x:c r="J58" s="61" t="n">
        <x:v>0.06282109</x:v>
      </x:c>
      <x:c r="K58" s="79" t="n">
        <x:v>4457727730</x:v>
      </x:c>
      <x:c r="L58" s="61" t="n">
        <x:v>0.09065396</x:v>
      </x:c>
      <x:c r="M58" s="61" t="n">
        <x:v>0.18395902</x:v>
      </x:c>
      <x:c r="N58" s="61" t="n">
        <x:v>0.30090997</x:v>
      </x:c>
      <x:c r="O58" s="80" t="n">
        <x:v>23.89912492</x:v>
      </x:c>
      <x:c r="P58" s="59" t="str">
        <x:v>NOT SELECTED</x:v>
      </x:c>
      <x:c r="Q58" s="79" t="n">
        <x:v>0</x:v>
      </x:c>
      <x:c r="R58" s="59" t="str">
        <x:v>DEFERRED</x:v>
      </x:c>
      <x:c r="S58" s="79" t="n">
        <x:v>0</x:v>
      </x:c>
      <x:c r="T58" s="59" t="str">
        <x:v>SCENARIO/RECONSTRUCTED_NOT_MEASURED; need/leakage POSTERIOR</x:v>
      </x:c>
    </x:row>
    <x:row r="59">
      <x:c r="A59" s="59" t="n">
        <x:v>55</x:v>
      </x:c>
      <x:c r="B59" s="59" t="str">
        <x:v>E05-cross-border-fx</x:v>
      </x:c>
      <x:c r="C59" s="59" t="str">
        <x:v>E05</x:v>
      </x:c>
      <x:c r="D59" s="59" t="str">
        <x:v>Gold Fields</x:v>
      </x:c>
      <x:c r="E59" s="59" t="str">
        <x:v>mining</x:v>
      </x:c>
      <x:c r="F59" s="59" t="str">
        <x:v>Cross-border FX</x:v>
      </x:c>
      <x:c r="G59" s="59" t="str">
        <x:v>E1</x:v>
      </x:c>
      <x:c r="H59" s="61" t="n">
        <x:v>0.16814883</x:v>
      </x:c>
      <x:c r="I59" s="61" t="n">
        <x:v>0.05231982</x:v>
      </x:c>
      <x:c r="J59" s="61" t="n">
        <x:v>0.04151715</x:v>
      </x:c>
      <x:c r="K59" s="79" t="n">
        <x:v>9984112479</x:v>
      </x:c>
      <x:c r="L59" s="61" t="n">
        <x:v>0.04010041</x:v>
      </x:c>
      <x:c r="M59" s="61" t="n">
        <x:v>0.08229814</x:v>
      </x:c>
      <x:c r="N59" s="61" t="n">
        <x:v>0.13007428</x:v>
      </x:c>
      <x:c r="O59" s="80" t="n">
        <x:v>23.58950418</x:v>
      </x:c>
      <x:c r="P59" s="59" t="str">
        <x:v>NOT SELECTED</x:v>
      </x:c>
      <x:c r="Q59" s="79" t="n">
        <x:v>0</x:v>
      </x:c>
      <x:c r="R59" s="59" t="str">
        <x:v>DEFERRED</x:v>
      </x:c>
      <x:c r="S59" s="79" t="n">
        <x:v>0</x:v>
      </x:c>
      <x:c r="T59" s="59" t="str">
        <x:v>SCENARIO/RECONSTRUCTED_NOT_MEASURED; need/leakage POSTERIOR</x:v>
      </x:c>
    </x:row>
    <x:row r="60">
      <x:c r="A60" s="59" t="n">
        <x:v>56</x:v>
      </x:c>
      <x:c r="B60" s="59" t="str">
        <x:v>E14-liquidity</x:v>
      </x:c>
      <x:c r="C60" s="59" t="str">
        <x:v>E14</x:v>
      </x:c>
      <x:c r="D60" s="59" t="str">
        <x:v>Prosus</x:v>
      </x:c>
      <x:c r="E60" s="59" t="str">
        <x:v>tech</x:v>
      </x:c>
      <x:c r="F60" s="59" t="str">
        <x:v>Liquidity</x:v>
      </x:c>
      <x:c r="G60" s="59" t="str">
        <x:v>E1</x:v>
      </x:c>
      <x:c r="H60" s="61" t="n">
        <x:v>0.17240864</x:v>
      </x:c>
      <x:c r="I60" s="61" t="n">
        <x:v>0.07093853</x:v>
      </x:c>
      <x:c r="J60" s="61" t="n">
        <x:v>0.05058173</x:v>
      </x:c>
      <x:c r="K60" s="79" t="n">
        <x:v>12742211040</x:v>
      </x:c>
      <x:c r="L60" s="61" t="n">
        <x:v>0.03137157</x:v>
      </x:c>
      <x:c r="M60" s="61" t="n">
        <x:v>0.06888473</x:v>
      </x:c>
      <x:c r="N60" s="61" t="n">
        <x:v>0.11130287</x:v>
      </x:c>
      <x:c r="O60" s="80" t="n">
        <x:v>23.41728377</x:v>
      </x:c>
      <x:c r="P60" s="59" t="str">
        <x:v>SELECTED</x:v>
      </x:c>
      <x:c r="Q60" s="79" t="n">
        <x:v>1028124</x:v>
      </x:c>
      <x:c r="R60" s="59" t="str">
        <x:v>DEFERRED</x:v>
      </x:c>
      <x:c r="S60" s="79" t="n">
        <x:v>0</x:v>
      </x:c>
      <x:c r="T60" s="59" t="str">
        <x:v>SCENARIO/RECONSTRUCTED_NOT_MEASURED; need/leakage POSTERIOR</x:v>
      </x:c>
    </x:row>
    <x:row r="61">
      <x:c r="A61" s="59" t="n">
        <x:v>57</x:v>
      </x:c>
      <x:c r="B61" s="59" t="str">
        <x:v>E15-liquidity</x:v>
      </x:c>
      <x:c r="C61" s="59" t="str">
        <x:v>E15</x:v>
      </x:c>
      <x:c r="D61" s="59" t="str">
        <x:v>Naspers</x:v>
      </x:c>
      <x:c r="E61" s="59" t="str">
        <x:v>tech</x:v>
      </x:c>
      <x:c r="F61" s="59" t="str">
        <x:v>Liquidity</x:v>
      </x:c>
      <x:c r="G61" s="59" t="str">
        <x:v>E1</x:v>
      </x:c>
      <x:c r="H61" s="61" t="n">
        <x:v>0.17225704</x:v>
      </x:c>
      <x:c r="I61" s="61" t="n">
        <x:v>0.04035332</x:v>
      </x:c>
      <x:c r="J61" s="61" t="n">
        <x:v>0.07791248</x:v>
      </x:c>
      <x:c r="K61" s="79" t="n">
        <x:v>10739849185</x:v>
      </x:c>
      <x:c r="L61" s="61" t="n">
        <x:v>0.02717504</x:v>
      </x:c>
      <x:c r="M61" s="61" t="n">
        <x:v>0.06229309</x:v>
      </x:c>
      <x:c r="N61" s="61" t="n">
        <x:v>0.09954989</x:v>
      </x:c>
      <x:c r="O61" s="80" t="n">
        <x:v>22.24254915</x:v>
      </x:c>
      <x:c r="P61" s="59" t="str">
        <x:v>NOT SELECTED</x:v>
      </x:c>
      <x:c r="Q61" s="79" t="n">
        <x:v>0</x:v>
      </x:c>
      <x:c r="R61" s="59" t="str">
        <x:v>DEFERRED</x:v>
      </x:c>
      <x:c r="S61" s="79" t="n">
        <x:v>0</x:v>
      </x:c>
      <x:c r="T61" s="59" t="str">
        <x:v>SCENARIO/RECONSTRUCTED_NOT_MEASURED; need/leakage POSTERIOR</x:v>
      </x:c>
    </x:row>
    <x:row r="62">
      <x:c r="A62" s="59" t="n">
        <x:v>58</x:v>
      </x:c>
      <x:c r="B62" s="59" t="str">
        <x:v>E19-trade-finance</x:v>
      </x:c>
      <x:c r="C62" s="59" t="str">
        <x:v>E19</x:v>
      </x:c>
      <x:c r="D62" s="59" t="str">
        <x:v>Aspen Pharmacare</x:v>
      </x:c>
      <x:c r="E62" s="59" t="str">
        <x:v>industrials_pharma</x:v>
      </x:c>
      <x:c r="F62" s="59" t="str">
        <x:v>Trade finance</x:v>
      </x:c>
      <x:c r="G62" s="59" t="str">
        <x:v>E1</x:v>
      </x:c>
      <x:c r="H62" s="61" t="n">
        <x:v>0.25921383</x:v>
      </x:c>
      <x:c r="I62" s="61" t="n">
        <x:v>0.07502453</x:v>
      </x:c>
      <x:c r="J62" s="61" t="n">
        <x:v>0.04452793</x:v>
      </x:c>
      <x:c r="K62" s="79" t="n">
        <x:v>1277780082</x:v>
      </x:c>
      <x:c r="L62" s="61" t="n">
        <x:v>0.117251</x:v>
      </x:c>
      <x:c r="M62" s="61" t="n">
        <x:v>0.29412324</x:v>
      </x:c>
      <x:c r="N62" s="61" t="n">
        <x:v>0.50521924</x:v>
      </x:c>
      <x:c r="O62" s="80" t="n">
        <x:v>21.94113629</x:v>
      </x:c>
      <x:c r="P62" s="59" t="str">
        <x:v>NOT SELECTED</x:v>
      </x:c>
      <x:c r="Q62" s="79" t="n">
        <x:v>0</x:v>
      </x:c>
      <x:c r="R62" s="59" t="str">
        <x:v>DEFERRED</x:v>
      </x:c>
      <x:c r="S62" s="79" t="n">
        <x:v>0</x:v>
      </x:c>
      <x:c r="T62" s="59" t="str">
        <x:v>SCENARIO/RECONSTRUCTED_NOT_MEASURED; need/leakage POSTERIOR</x:v>
      </x:c>
    </x:row>
    <x:row r="63">
      <x:c r="A63" s="59" t="n">
        <x:v>59</x:v>
      </x:c>
      <x:c r="B63" s="59" t="str">
        <x:v>E04-collections</x:v>
      </x:c>
      <x:c r="C63" s="59" t="str">
        <x:v>E04</x:v>
      </x:c>
      <x:c r="D63" s="59" t="str">
        <x:v>AngloGold Ashanti</x:v>
      </x:c>
      <x:c r="E63" s="59" t="str">
        <x:v>mining</x:v>
      </x:c>
      <x:c r="F63" s="59" t="str">
        <x:v>Collections</x:v>
      </x:c>
      <x:c r="G63" s="59" t="str">
        <x:v>E1</x:v>
      </x:c>
      <x:c r="H63" s="61" t="n">
        <x:v>0.24028078</x:v>
      </x:c>
      <x:c r="I63" s="61" t="n">
        <x:v>0.1344572</x:v>
      </x:c>
      <x:c r="J63" s="61" t="n">
        <x:v>0.04196274</x:v>
      </x:c>
      <x:c r="K63" s="79" t="n">
        <x:v>11307086655</x:v>
      </x:c>
      <x:c r="L63" s="61" t="n">
        <x:v>0.04921665</x:v>
      </x:c>
      <x:c r="M63" s="61" t="n">
        <x:v>0.0833025</x:v>
      </x:c>
      <x:c r="N63" s="61" t="n">
        <x:v>0.11804677</x:v>
      </x:c>
      <x:c r="O63" s="80" t="n">
        <x:v>21.05346919</x:v>
      </x:c>
      <x:c r="P63" s="59" t="str">
        <x:v>NOT SELECTED</x:v>
      </x:c>
      <x:c r="Q63" s="79" t="n">
        <x:v>0</x:v>
      </x:c>
      <x:c r="R63" s="59" t="str">
        <x:v>DEFERRED</x:v>
      </x:c>
      <x:c r="S63" s="79" t="n">
        <x:v>0</x:v>
      </x:c>
      <x:c r="T63" s="59" t="str">
        <x:v>SCENARIO/RECONSTRUCTED_NOT_MEASURED; need/leakage POSTERIOR</x:v>
      </x:c>
    </x:row>
    <x:row r="64">
      <x:c r="A64" s="59" t="n">
        <x:v>60</x:v>
      </x:c>
      <x:c r="B64" s="59" t="str">
        <x:v>E18-collections</x:v>
      </x:c>
      <x:c r="C64" s="59" t="str">
        <x:v>E18</x:v>
      </x:c>
      <x:c r="D64" s="59" t="str">
        <x:v>The Bidvest Group</x:v>
      </x:c>
      <x:c r="E64" s="59" t="str">
        <x:v>industrials_pharma</x:v>
      </x:c>
      <x:c r="F64" s="59" t="str">
        <x:v>Collections</x:v>
      </x:c>
      <x:c r="G64" s="59" t="str">
        <x:v>E1</x:v>
      </x:c>
      <x:c r="H64" s="61" t="n">
        <x:v>0.25080587</x:v>
      </x:c>
      <x:c r="I64" s="61" t="n">
        <x:v>0.1086333</x:v>
      </x:c>
      <x:c r="J64" s="61" t="n">
        <x:v>0.03329307</x:v>
      </x:c>
      <x:c r="K64" s="79" t="n">
        <x:v>11041286274</x:v>
      </x:c>
      <x:c r="L64" s="61" t="n">
        <x:v>0.05869932</x:v>
      </x:c>
      <x:c r="M64" s="61" t="n">
        <x:v>0.10104278</x:v>
      </x:c>
      <x:c r="N64" s="61" t="n">
        <x:v>0.14045009</x:v>
      </x:c>
      <x:c r="O64" s="80" t="n">
        <x:v>20.22281494</x:v>
      </x:c>
      <x:c r="P64" s="59" t="str">
        <x:v>NOT SELECTED</x:v>
      </x:c>
      <x:c r="Q64" s="79" t="n">
        <x:v>0</x:v>
      </x:c>
      <x:c r="R64" s="59" t="str">
        <x:v>DEFERRED</x:v>
      </x:c>
      <x:c r="S64" s="79" t="n">
        <x:v>0</x:v>
      </x:c>
      <x:c r="T64" s="59" t="str">
        <x:v>SCENARIO/RECONSTRUCTED_NOT_MEASURED; need/leakage POSTERIOR</x:v>
      </x:c>
    </x:row>
    <x:row r="65">
      <x:c r="A65" s="59" t="n">
        <x:v>61</x:v>
      </x:c>
      <x:c r="B65" s="59" t="str">
        <x:v>E05-liquidity</x:v>
      </x:c>
      <x:c r="C65" s="59" t="str">
        <x:v>E05</x:v>
      </x:c>
      <x:c r="D65" s="59" t="str">
        <x:v>Gold Fields</x:v>
      </x:c>
      <x:c r="E65" s="59" t="str">
        <x:v>mining</x:v>
      </x:c>
      <x:c r="F65" s="59" t="str">
        <x:v>Liquidity</x:v>
      </x:c>
      <x:c r="G65" s="59" t="str">
        <x:v>E1</x:v>
      </x:c>
      <x:c r="H65" s="61" t="n">
        <x:v>0.16775106</x:v>
      </x:c>
      <x:c r="I65" s="61" t="n">
        <x:v>0.02323649</x:v>
      </x:c>
      <x:c r="J65" s="61" t="n">
        <x:v>0.04801472</x:v>
      </x:c>
      <x:c r="K65" s="79" t="n">
        <x:v>6752722612</x:v>
      </x:c>
      <x:c r="L65" s="61" t="n">
        <x:v>0.05058445</x:v>
      </x:c>
      <x:c r="M65" s="61" t="n">
        <x:v>0.11080498</x:v>
      </x:c>
      <x:c r="N65" s="61" t="n">
        <x:v>0.17886579</x:v>
      </x:c>
      <x:c r="O65" s="80" t="n">
        <x:v>19.8162072</x:v>
      </x:c>
      <x:c r="P65" s="59" t="str">
        <x:v>NOT SELECTED</x:v>
      </x:c>
      <x:c r="Q65" s="79" t="n">
        <x:v>0</x:v>
      </x:c>
      <x:c r="R65" s="59" t="str">
        <x:v>DEFERRED</x:v>
      </x:c>
      <x:c r="S65" s="79" t="n">
        <x:v>0</x:v>
      </x:c>
      <x:c r="T65" s="59" t="str">
        <x:v>SCENARIO/RECONSTRUCTED_NOT_MEASURED; need/leakage POSTERIOR</x:v>
      </x:c>
    </x:row>
    <x:row r="66">
      <x:c r="A66" s="59" t="n">
        <x:v>62</x:v>
      </x:c>
      <x:c r="B66" s="59" t="str">
        <x:v>E14-payments</x:v>
      </x:c>
      <x:c r="C66" s="59" t="str">
        <x:v>E14</x:v>
      </x:c>
      <x:c r="D66" s="59" t="str">
        <x:v>Prosus</x:v>
      </x:c>
      <x:c r="E66" s="59" t="str">
        <x:v>tech</x:v>
      </x:c>
      <x:c r="F66" s="59" t="str">
        <x:v>Payments</x:v>
      </x:c>
      <x:c r="G66" s="59" t="str">
        <x:v>E1</x:v>
      </x:c>
      <x:c r="H66" s="61" t="n">
        <x:v>0.28567068</x:v>
      </x:c>
      <x:c r="I66" s="61" t="n">
        <x:v>0.04628182</x:v>
      </x:c>
      <x:c r="J66" s="61" t="n">
        <x:v>0.05051104</x:v>
      </x:c>
      <x:c r="K66" s="79" t="n">
        <x:v>11835091164</x:v>
      </x:c>
      <x:c r="L66" s="61" t="n">
        <x:v>0.05805671</x:v>
      </x:c>
      <x:c r="M66" s="61" t="n">
        <x:v>0.10454022</x:v>
      </x:c>
      <x:c r="N66" s="61" t="n">
        <x:v>0.1510966</x:v>
      </x:c>
      <x:c r="O66" s="80" t="n">
        <x:v>18.84649905</x:v>
      </x:c>
      <x:c r="P66" s="59" t="str">
        <x:v>NOT SELECTED</x:v>
      </x:c>
      <x:c r="Q66" s="79" t="n">
        <x:v>0</x:v>
      </x:c>
      <x:c r="R66" s="59" t="str">
        <x:v>DEFERRED</x:v>
      </x:c>
      <x:c r="S66" s="79" t="n">
        <x:v>0</x:v>
      </x:c>
      <x:c r="T66" s="59" t="str">
        <x:v>SCENARIO/RECONSTRUCTED_NOT_MEASURED; need/leakage POSTERIOR</x:v>
      </x:c>
    </x:row>
    <x:row r="67">
      <x:c r="A67" s="59" t="n">
        <x:v>63</x:v>
      </x:c>
      <x:c r="B67" s="59" t="str">
        <x:v>E07-cross-border-fx</x:v>
      </x:c>
      <x:c r="C67" s="59" t="str">
        <x:v>E07</x:v>
      </x:c>
      <x:c r="D67" s="59" t="str">
        <x:v>OUTsurance Group</x:v>
      </x:c>
      <x:c r="E67" s="59" t="str">
        <x:v>insurance</x:v>
      </x:c>
      <x:c r="F67" s="59" t="str">
        <x:v>Cross-border FX</x:v>
      </x:c>
      <x:c r="G67" s="59" t="str">
        <x:v>E1</x:v>
      </x:c>
      <x:c r="H67" s="61" t="n">
        <x:v>0.23882608</x:v>
      </x:c>
      <x:c r="I67" s="61" t="n">
        <x:v>0.01488161</x:v>
      </x:c>
      <x:c r="J67" s="61" t="n">
        <x:v>0.03097315</x:v>
      </x:c>
      <x:c r="K67" s="79" t="n">
        <x:v>3541736232</x:v>
      </x:c>
      <x:c r="L67" s="61" t="n">
        <x:v>0.11898173</x:v>
      </x:c>
      <x:c r="M67" s="61" t="n">
        <x:v>0.24282908</x:v>
      </x:c>
      <x:c r="N67" s="61" t="n">
        <x:v>0.39800546</x:v>
      </x:c>
      <x:c r="O67" s="80" t="n">
        <x:v>18.8139725</x:v>
      </x:c>
      <x:c r="P67" s="59" t="str">
        <x:v>NOT SELECTED</x:v>
      </x:c>
      <x:c r="Q67" s="79" t="n">
        <x:v>0</x:v>
      </x:c>
      <x:c r="R67" s="59" t="str">
        <x:v>DEFERRED</x:v>
      </x:c>
      <x:c r="S67" s="79" t="n">
        <x:v>0</x:v>
      </x:c>
      <x:c r="T67" s="59" t="str">
        <x:v>SCENARIO/RECONSTRUCTED_NOT_MEASURED; need/leakage POSTERIOR</x:v>
      </x:c>
    </x:row>
    <x:row r="68">
      <x:c r="A68" s="59" t="n">
        <x:v>64</x:v>
      </x:c>
      <x:c r="B68" s="59" t="str">
        <x:v>E08-trade-finance</x:v>
      </x:c>
      <x:c r="C68" s="59" t="str">
        <x:v>E08</x:v>
      </x:c>
      <x:c r="D68" s="59" t="str">
        <x:v>Sanlam</x:v>
      </x:c>
      <x:c r="E68" s="59" t="str">
        <x:v>insurance</x:v>
      </x:c>
      <x:c r="F68" s="59" t="str">
        <x:v>Trade finance</x:v>
      </x:c>
      <x:c r="G68" s="59" t="str">
        <x:v>E1</x:v>
      </x:c>
      <x:c r="H68" s="61" t="n">
        <x:v>0.22784071</x:v>
      </x:c>
      <x:c r="I68" s="61" t="n">
        <x:v>0.12819159</x:v>
      </x:c>
      <x:c r="J68" s="61" t="n">
        <x:v>0.07623887</x:v>
      </x:c>
      <x:c r="K68" s="79" t="n">
        <x:v>443450947</x:v>
      </x:c>
      <x:c r="L68" s="61" t="n">
        <x:v>0.09696125</x:v>
      </x:c>
      <x:c r="M68" s="61" t="n">
        <x:v>0.2537495</x:v>
      </x:c>
      <x:c r="N68" s="61" t="n">
        <x:v>0.45498832</x:v>
      </x:c>
      <x:c r="O68" s="80" t="n">
        <x:v>18.78306468</x:v>
      </x:c>
      <x:c r="P68" s="59" t="str">
        <x:v>NOT SELECTED</x:v>
      </x:c>
      <x:c r="Q68" s="79" t="n">
        <x:v>0</x:v>
      </x:c>
      <x:c r="R68" s="59" t="str">
        <x:v>DEFERRED</x:v>
      </x:c>
      <x:c r="S68" s="79" t="n">
        <x:v>0</x:v>
      </x:c>
      <x:c r="T68" s="59" t="str">
        <x:v>SCENARIO/RECONSTRUCTED_NOT_MEASURED; need/leakage POSTERIOR</x:v>
      </x:c>
    </x:row>
    <x:row r="69">
      <x:c r="A69" s="59" t="n">
        <x:v>65</x:v>
      </x:c>
      <x:c r="B69" s="59" t="str">
        <x:v>E15-payments</x:v>
      </x:c>
      <x:c r="C69" s="59" t="str">
        <x:v>E15</x:v>
      </x:c>
      <x:c r="D69" s="59" t="str">
        <x:v>Naspers</x:v>
      </x:c>
      <x:c r="E69" s="59" t="str">
        <x:v>tech</x:v>
      </x:c>
      <x:c r="F69" s="59" t="str">
        <x:v>Payments</x:v>
      </x:c>
      <x:c r="G69" s="59" t="str">
        <x:v>E1</x:v>
      </x:c>
      <x:c r="H69" s="61" t="n">
        <x:v>0.29527741</x:v>
      </x:c>
      <x:c r="I69" s="61" t="n">
        <x:v>0.04437163</x:v>
      </x:c>
      <x:c r="J69" s="61" t="n">
        <x:v>0.08067044</x:v>
      </x:c>
      <x:c r="K69" s="79" t="n">
        <x:v>10475931292</x:v>
      </x:c>
      <x:c r="L69" s="61" t="n">
        <x:v>0.05116672</x:v>
      </x:c>
      <x:c r="M69" s="61" t="n">
        <x:v>0.09246925</x:v>
      </x:c>
      <x:c r="N69" s="61" t="n">
        <x:v>0.13229482</x:v>
      </x:c>
      <x:c r="O69" s="80" t="n">
        <x:v>18.77897297</x:v>
      </x:c>
      <x:c r="P69" s="59" t="str">
        <x:v>NOT SELECTED</x:v>
      </x:c>
      <x:c r="Q69" s="79" t="n">
        <x:v>0</x:v>
      </x:c>
      <x:c r="R69" s="59" t="str">
        <x:v>DEFERRED</x:v>
      </x:c>
      <x:c r="S69" s="79" t="n">
        <x:v>0</x:v>
      </x:c>
      <x:c r="T69" s="59" t="str">
        <x:v>SCENARIO/RECONSTRUCTED_NOT_MEASURED; need/leakage POSTERIOR</x:v>
      </x:c>
    </x:row>
    <x:row r="70">
      <x:c r="A70" s="59" t="n">
        <x:v>66</x:v>
      </x:c>
      <x:c r="B70" s="59" t="str">
        <x:v>E06-trade-finance</x:v>
      </x:c>
      <x:c r="C70" s="59" t="str">
        <x:v>E06</x:v>
      </x:c>
      <x:c r="D70" s="59" t="str">
        <x:v>Valterra Platinum</x:v>
      </x:c>
      <x:c r="E70" s="59" t="str">
        <x:v>mining</x:v>
      </x:c>
      <x:c r="F70" s="59" t="str">
        <x:v>Trade finance</x:v>
      </x:c>
      <x:c r="G70" s="59" t="str">
        <x:v>E1</x:v>
      </x:c>
      <x:c r="H70" s="61" t="n">
        <x:v>0.14076613</x:v>
      </x:c>
      <x:c r="I70" s="61" t="n">
        <x:v>0.02011288</x:v>
      </x:c>
      <x:c r="J70" s="61" t="n">
        <x:v>0.05746538</x:v>
      </x:c>
      <x:c r="K70" s="79" t="n">
        <x:v>881626578</x:v>
      </x:c>
      <x:c r="L70" s="61" t="n">
        <x:v>0.04501351</x:v>
      </x:c>
      <x:c r="M70" s="61" t="n">
        <x:v>0.11572493</x:v>
      </x:c>
      <x:c r="N70" s="61" t="n">
        <x:v>0.20550787</x:v>
      </x:c>
      <x:c r="O70" s="80" t="n">
        <x:v>18.45669975</x:v>
      </x:c>
      <x:c r="P70" s="59" t="str">
        <x:v>NOT SELECTED</x:v>
      </x:c>
      <x:c r="Q70" s="79" t="n">
        <x:v>0</x:v>
      </x:c>
      <x:c r="R70" s="59" t="str">
        <x:v>DEFERRED</x:v>
      </x:c>
      <x:c r="S70" s="79" t="n">
        <x:v>0</x:v>
      </x:c>
      <x:c r="T70" s="59" t="str">
        <x:v>SCENARIO/RECONSTRUCTED_NOT_MEASURED; need/leakage POSTERIOR</x:v>
      </x:c>
    </x:row>
    <x:row r="71">
      <x:c r="A71" s="59" t="n">
        <x:v>67</x:v>
      </x:c>
      <x:c r="B71" s="59" t="str">
        <x:v>E05-collections</x:v>
      </x:c>
      <x:c r="C71" s="59" t="str">
        <x:v>E05</x:v>
      </x:c>
      <x:c r="D71" s="59" t="str">
        <x:v>Gold Fields</x:v>
      </x:c>
      <x:c r="E71" s="59" t="str">
        <x:v>mining</x:v>
      </x:c>
      <x:c r="F71" s="59" t="str">
        <x:v>Collections</x:v>
      </x:c>
      <x:c r="G71" s="59" t="str">
        <x:v>E1</x:v>
      </x:c>
      <x:c r="H71" s="61" t="n">
        <x:v>0.23730821</x:v>
      </x:c>
      <x:c r="I71" s="61" t="n">
        <x:v>0.05832517</x:v>
      </x:c>
      <x:c r="J71" s="61" t="n">
        <x:v>0.04858042</x:v>
      </x:c>
      <x:c r="K71" s="79" t="n">
        <x:v>10001525758</x:v>
      </x:c>
      <x:c r="L71" s="61" t="n">
        <x:v>0.04742746</x:v>
      </x:c>
      <x:c r="M71" s="61" t="n">
        <x:v>0.08301187</x:v>
      </x:c>
      <x:c r="N71" s="61" t="n">
        <x:v>0.11810906</x:v>
      </x:c>
      <x:c r="O71" s="80" t="n">
        <x:v>18.02116475</x:v>
      </x:c>
      <x:c r="P71" s="59" t="str">
        <x:v>NOT SELECTED</x:v>
      </x:c>
      <x:c r="Q71" s="79" t="n">
        <x:v>0</x:v>
      </x:c>
      <x:c r="R71" s="59" t="str">
        <x:v>DEFERRED</x:v>
      </x:c>
      <x:c r="S71" s="79" t="n">
        <x:v>0</x:v>
      </x:c>
      <x:c r="T71" s="59" t="str">
        <x:v>SCENARIO/RECONSTRUCTED_NOT_MEASURED; need/leakage POSTERIOR</x:v>
      </x:c>
    </x:row>
    <x:row r="72">
      <x:c r="A72" s="59" t="n">
        <x:v>68</x:v>
      </x:c>
      <x:c r="B72" s="59" t="str">
        <x:v>E17-trade-finance</x:v>
      </x:c>
      <x:c r="C72" s="59" t="str">
        <x:v>E17</x:v>
      </x:c>
      <x:c r="D72" s="59" t="str">
        <x:v>Vodacom Group</x:v>
      </x:c>
      <x:c r="E72" s="59" t="str">
        <x:v>telecoms</x:v>
      </x:c>
      <x:c r="F72" s="59" t="str">
        <x:v>Trade finance</x:v>
      </x:c>
      <x:c r="G72" s="59" t="str">
        <x:v>E1</x:v>
      </x:c>
      <x:c r="H72" s="61" t="n">
        <x:v>0.08431654</x:v>
      </x:c>
      <x:c r="I72" s="61" t="n">
        <x:v>0.02918156</x:v>
      </x:c>
      <x:c r="J72" s="61" t="n">
        <x:v>0.04007873</x:v>
      </x:c>
      <x:c r="K72" s="79" t="n">
        <x:v>882801724</x:v>
      </x:c>
      <x:c r="L72" s="61" t="n">
        <x:v>0.06909577</x:v>
      </x:c>
      <x:c r="M72" s="61" t="n">
        <x:v>0.16994074</x:v>
      </x:c>
      <x:c r="N72" s="61" t="n">
        <x:v>0.30189962</x:v>
      </x:c>
      <x:c r="O72" s="80" t="n">
        <x:v>16.02139243</x:v>
      </x:c>
      <x:c r="P72" s="59" t="str">
        <x:v>NOT SELECTED</x:v>
      </x:c>
      <x:c r="Q72" s="79" t="n">
        <x:v>0</x:v>
      </x:c>
      <x:c r="R72" s="59" t="str">
        <x:v>DEFERRED</x:v>
      </x:c>
      <x:c r="S72" s="79" t="n">
        <x:v>0</x:v>
      </x:c>
      <x:c r="T72" s="59" t="str">
        <x:v>SCENARIO/RECONSTRUCTED_NOT_MEASURED; need/leakage POSTERIOR</x:v>
      </x:c>
    </x:row>
    <x:row r="73">
      <x:c r="A73" s="59" t="n">
        <x:v>69</x:v>
      </x:c>
      <x:c r="B73" s="59" t="str">
        <x:v>E06-cross-border-fx</x:v>
      </x:c>
      <x:c r="C73" s="59" t="str">
        <x:v>E06</x:v>
      </x:c>
      <x:c r="D73" s="59" t="str">
        <x:v>Valterra Platinum</x:v>
      </x:c>
      <x:c r="E73" s="59" t="str">
        <x:v>mining</x:v>
      </x:c>
      <x:c r="F73" s="59" t="str">
        <x:v>Cross-border FX</x:v>
      </x:c>
      <x:c r="G73" s="59" t="str">
        <x:v>E1</x:v>
      </x:c>
      <x:c r="H73" s="61" t="n">
        <x:v>0.01164584</x:v>
      </x:c>
      <x:c r="I73" s="61" t="n">
        <x:v>0.1269087</x:v>
      </x:c>
      <x:c r="J73" s="61" t="n">
        <x:v>0.05140949</x:v>
      </x:c>
      <x:c r="K73" s="79" t="n">
        <x:v>3537770756</x:v>
      </x:c>
      <x:c r="L73" s="61" t="n">
        <x:v>0.02698961</x:v>
      </x:c>
      <x:c r="M73" s="61" t="n">
        <x:v>0.05414338</x:v>
      </x:c>
      <x:c r="N73" s="61" t="n">
        <x:v>0.08534089</x:v>
      </x:c>
      <x:c r="O73" s="80" t="n">
        <x:v>15.75976318</x:v>
      </x:c>
      <x:c r="P73" s="59" t="str">
        <x:v>NOT SELECTED</x:v>
      </x:c>
      <x:c r="Q73" s="79" t="n">
        <x:v>0</x:v>
      </x:c>
      <x:c r="R73" s="59" t="str">
        <x:v>DEFERRED</x:v>
      </x:c>
      <x:c r="S73" s="79" t="n">
        <x:v>0</x:v>
      </x:c>
      <x:c r="T73" s="59" t="str">
        <x:v>SCENARIO/RECONSTRUCTED_NOT_MEASURED; need/leakage POSTERIOR</x:v>
      </x:c>
    </x:row>
    <x:row r="74">
      <x:c r="A74" s="59" t="n">
        <x:v>70</x:v>
      </x:c>
      <x:c r="B74" s="59" t="str">
        <x:v>E15-trade-finance</x:v>
      </x:c>
      <x:c r="C74" s="59" t="str">
        <x:v>E15</x:v>
      </x:c>
      <x:c r="D74" s="59" t="str">
        <x:v>Naspers</x:v>
      </x:c>
      <x:c r="E74" s="59" t="str">
        <x:v>tech</x:v>
      </x:c>
      <x:c r="F74" s="59" t="str">
        <x:v>Trade finance</x:v>
      </x:c>
      <x:c r="G74" s="59" t="str">
        <x:v>E1</x:v>
      </x:c>
      <x:c r="H74" s="61" t="n">
        <x:v>0.02321125</x:v>
      </x:c>
      <x:c r="I74" s="61" t="n">
        <x:v>0.24114069</x:v>
      </x:c>
      <x:c r="J74" s="61" t="n">
        <x:v>0.0430628</x:v>
      </x:c>
      <x:c r="K74" s="79" t="n">
        <x:v>381176484</x:v>
      </x:c>
      <x:c r="L74" s="61" t="n">
        <x:v>0.04318536</x:v>
      </x:c>
      <x:c r="M74" s="61" t="n">
        <x:v>0.10640432</x:v>
      </x:c>
      <x:c r="N74" s="61" t="n">
        <x:v>0.19402912</x:v>
      </x:c>
      <x:c r="O74" s="80" t="n">
        <x:v>15.44181564</x:v>
      </x:c>
      <x:c r="P74" s="59" t="str">
        <x:v>NOT SELECTED</x:v>
      </x:c>
      <x:c r="Q74" s="79" t="n">
        <x:v>0</x:v>
      </x:c>
      <x:c r="R74" s="59" t="str">
        <x:v>DEFERRED</x:v>
      </x:c>
      <x:c r="S74" s="79" t="n">
        <x:v>0</x:v>
      </x:c>
      <x:c r="T74" s="59" t="str">
        <x:v>SCENARIO/RECONSTRUCTED_NOT_MEASURED; need/leakage POSTERIOR</x:v>
      </x:c>
    </x:row>
    <x:row r="75">
      <x:c r="A75" s="59" t="n">
        <x:v>71</x:v>
      </x:c>
      <x:c r="B75" s="59" t="str">
        <x:v>E19-collections</x:v>
      </x:c>
      <x:c r="C75" s="59" t="str">
        <x:v>E19</x:v>
      </x:c>
      <x:c r="D75" s="59" t="str">
        <x:v>Aspen Pharmacare</x:v>
      </x:c>
      <x:c r="E75" s="59" t="str">
        <x:v>industrials_pharma</x:v>
      </x:c>
      <x:c r="F75" s="59" t="str">
        <x:v>Collections</x:v>
      </x:c>
      <x:c r="G75" s="59" t="str">
        <x:v>E1</x:v>
      </x:c>
      <x:c r="H75" s="61" t="n">
        <x:v>0.17790781</x:v>
      </x:c>
      <x:c r="I75" s="61" t="n">
        <x:v>0.02868067</x:v>
      </x:c>
      <x:c r="J75" s="61" t="n">
        <x:v>0.04229278</x:v>
      </x:c>
      <x:c r="K75" s="79" t="n">
        <x:v>5881145084</x:v>
      </x:c>
      <x:c r="L75" s="61" t="n">
        <x:v>0.07504054</x:v>
      </x:c>
      <x:c r="M75" s="61" t="n">
        <x:v>0.12841709</x:v>
      </x:c>
      <x:c r="N75" s="61" t="n">
        <x:v>0.18283457</x:v>
      </x:c>
      <x:c r="O75" s="80" t="n">
        <x:v>12.6818142</x:v>
      </x:c>
      <x:c r="P75" s="59" t="str">
        <x:v>NOT SELECTED</x:v>
      </x:c>
      <x:c r="Q75" s="79" t="n">
        <x:v>0</x:v>
      </x:c>
      <x:c r="R75" s="59" t="str">
        <x:v>DEFERRED</x:v>
      </x:c>
      <x:c r="S75" s="79" t="n">
        <x:v>0</x:v>
      </x:c>
      <x:c r="T75" s="59" t="str">
        <x:v>SCENARIO/RECONSTRUCTED_NOT_MEASURED; need/leakage POSTERIOR</x:v>
      </x:c>
    </x:row>
    <x:row r="76">
      <x:c r="A76" s="59" t="n">
        <x:v>72</x:v>
      </x:c>
      <x:c r="B76" s="59" t="str">
        <x:v>E04-payments</x:v>
      </x:c>
      <x:c r="C76" s="59" t="str">
        <x:v>E04</x:v>
      </x:c>
      <x:c r="D76" s="59" t="str">
        <x:v>AngloGold Ashanti</x:v>
      </x:c>
      <x:c r="E76" s="59" t="str">
        <x:v>mining</x:v>
      </x:c>
      <x:c r="F76" s="59" t="str">
        <x:v>Payments</x:v>
      </x:c>
      <x:c r="G76" s="59" t="str">
        <x:v>E1</x:v>
      </x:c>
      <x:c r="H76" s="61" t="n">
        <x:v>0.14352787</x:v>
      </x:c>
      <x:c r="I76" s="61" t="n">
        <x:v>0.04000761</x:v>
      </x:c>
      <x:c r="J76" s="61" t="n">
        <x:v>0.03611196</x:v>
      </x:c>
      <x:c r="K76" s="79" t="n">
        <x:v>9254693653</x:v>
      </x:c>
      <x:c r="L76" s="61" t="n">
        <x:v>0.05144345</x:v>
      </x:c>
      <x:c r="M76" s="61" t="n">
        <x:v>0.08924971</x:v>
      </x:c>
      <x:c r="N76" s="61" t="n">
        <x:v>0.12948116</x:v>
      </x:c>
      <x:c r="O76" s="80" t="n">
        <x:v>11.99383021</x:v>
      </x:c>
      <x:c r="P76" s="59" t="str">
        <x:v>NOT SELECTED</x:v>
      </x:c>
      <x:c r="Q76" s="79" t="n">
        <x:v>0</x:v>
      </x:c>
      <x:c r="R76" s="59" t="str">
        <x:v>DEFERRED</x:v>
      </x:c>
      <x:c r="S76" s="79" t="n">
        <x:v>0</x:v>
      </x:c>
      <x:c r="T76" s="59" t="str">
        <x:v>SCENARIO/RECONSTRUCTED_NOT_MEASURED; need/leakage POSTERIOR</x:v>
      </x:c>
    </x:row>
    <x:row r="77">
      <x:c r="A77" s="59" t="n">
        <x:v>73</x:v>
      </x:c>
      <x:c r="B77" s="59" t="str">
        <x:v>E05-payments</x:v>
      </x:c>
      <x:c r="C77" s="59" t="str">
        <x:v>E05</x:v>
      </x:c>
      <x:c r="D77" s="59" t="str">
        <x:v>Gold Fields</x:v>
      </x:c>
      <x:c r="E77" s="59" t="str">
        <x:v>mining</x:v>
      </x:c>
      <x:c r="F77" s="59" t="str">
        <x:v>Payments</x:v>
      </x:c>
      <x:c r="G77" s="59" t="str">
        <x:v>E1</x:v>
      </x:c>
      <x:c r="H77" s="61" t="n">
        <x:v>0.11329221</x:v>
      </x:c>
      <x:c r="I77" s="61" t="n">
        <x:v>0.09685148</x:v>
      </x:c>
      <x:c r="J77" s="61" t="n">
        <x:v>0.0499551</x:v>
      </x:c>
      <x:c r="K77" s="79" t="n">
        <x:v>7964458165</x:v>
      </x:c>
      <x:c r="L77" s="61" t="n">
        <x:v>0.05113522</x:v>
      </x:c>
      <x:c r="M77" s="61" t="n">
        <x:v>0.08894358</x:v>
      </x:c>
      <x:c r="N77" s="61" t="n">
        <x:v>0.12841972</x:v>
      </x:c>
      <x:c r="O77" s="80" t="n">
        <x:v>11.59943989</x:v>
      </x:c>
      <x:c r="P77" s="59" t="str">
        <x:v>NOT SELECTED</x:v>
      </x:c>
      <x:c r="Q77" s="79" t="n">
        <x:v>0</x:v>
      </x:c>
      <x:c r="R77" s="59" t="str">
        <x:v>DEFERRED</x:v>
      </x:c>
      <x:c r="S77" s="79" t="n">
        <x:v>0</x:v>
      </x:c>
      <x:c r="T77" s="59" t="str">
        <x:v>SCENARIO/RECONSTRUCTED_NOT_MEASURED; need/leakage POSTERIOR</x:v>
      </x:c>
    </x:row>
    <x:row r="78">
      <x:c r="A78" s="59" t="n">
        <x:v>74</x:v>
      </x:c>
      <x:c r="B78" s="59" t="str">
        <x:v>E14-trade-finance</x:v>
      </x:c>
      <x:c r="C78" s="59" t="str">
        <x:v>E14</x:v>
      </x:c>
      <x:c r="D78" s="59" t="str">
        <x:v>Prosus</x:v>
      </x:c>
      <x:c r="E78" s="59" t="str">
        <x:v>tech</x:v>
      </x:c>
      <x:c r="F78" s="59" t="str">
        <x:v>Trade finance</x:v>
      </x:c>
      <x:c r="G78" s="59" t="str">
        <x:v>E1</x:v>
      </x:c>
      <x:c r="H78" s="61" t="n">
        <x:v>0.0004951</x:v>
      </x:c>
      <x:c r="I78" s="61" t="n">
        <x:v>0.12492463</x:v>
      </x:c>
      <x:c r="J78" s="61" t="n">
        <x:v>0.04083992</x:v>
      </x:c>
      <x:c r="K78" s="79" t="n">
        <x:v>294345507</x:v>
      </x:c>
      <x:c r="L78" s="61" t="n">
        <x:v>0.03821112</x:v>
      </x:c>
      <x:c r="M78" s="61" t="n">
        <x:v>0.09909456</x:v>
      </x:c>
      <x:c r="N78" s="61" t="n">
        <x:v>0.17826914</x:v>
      </x:c>
      <x:c r="O78" s="80" t="n">
        <x:v>10.81968736</x:v>
      </x:c>
      <x:c r="P78" s="59" t="str">
        <x:v>NOT SELECTED</x:v>
      </x:c>
      <x:c r="Q78" s="79" t="n">
        <x:v>0</x:v>
      </x:c>
      <x:c r="R78" s="59" t="str">
        <x:v>DEFERRED</x:v>
      </x:c>
      <x:c r="S78" s="79" t="n">
        <x:v>0</x:v>
      </x:c>
      <x:c r="T78" s="59" t="str">
        <x:v>SCENARIO/RECONSTRUCTED_NOT_MEASURED; need/leakage POSTERIOR</x:v>
      </x:c>
    </x:row>
    <x:row r="79">
      <x:c r="A79" s="59" t="n">
        <x:v>75</x:v>
      </x:c>
      <x:c r="B79" s="59" t="str">
        <x:v>E14-collections</x:v>
      </x:c>
      <x:c r="C79" s="59" t="str">
        <x:v>E14</x:v>
      </x:c>
      <x:c r="D79" s="59" t="str">
        <x:v>Prosus</x:v>
      </x:c>
      <x:c r="E79" s="59" t="str">
        <x:v>tech</x:v>
      </x:c>
      <x:c r="F79" s="59" t="str">
        <x:v>Collections</x:v>
      </x:c>
      <x:c r="G79" s="59" t="str">
        <x:v>E1</x:v>
      </x:c>
      <x:c r="H79" s="61" t="n">
        <x:v>0.07145343</x:v>
      </x:c>
      <x:c r="I79" s="61" t="n">
        <x:v>0.06184004</x:v>
      </x:c>
      <x:c r="J79" s="61" t="n">
        <x:v>0.05196314</x:v>
      </x:c>
      <x:c r="K79" s="79" t="n">
        <x:v>7099137750</x:v>
      </x:c>
      <x:c r="L79" s="61" t="n">
        <x:v>0.03943486</x:v>
      </x:c>
      <x:c r="M79" s="61" t="n">
        <x:v>0.06624857</x:v>
      </x:c>
      <x:c r="N79" s="61" t="n">
        <x:v>0.09236373</x:v>
      </x:c>
      <x:c r="O79" s="80" t="n">
        <x:v>10.46474402</x:v>
      </x:c>
      <x:c r="P79" s="59" t="str">
        <x:v>NOT SELECTED</x:v>
      </x:c>
      <x:c r="Q79" s="79" t="n">
        <x:v>0</x:v>
      </x:c>
      <x:c r="R79" s="59" t="str">
        <x:v>DEFERRED</x:v>
      </x:c>
      <x:c r="S79" s="79" t="n">
        <x:v>0</x:v>
      </x:c>
      <x:c r="T79" s="59" t="str">
        <x:v>SCENARIO/RECONSTRUCTED_NOT_MEASURED; need/leakage POSTERIOR</x:v>
      </x:c>
    </x:row>
    <x:row r="80">
      <x:c r="A80" s="59" t="n">
        <x:v>76</x:v>
      </x:c>
      <x:c r="B80" s="59" t="str">
        <x:v>E12-trade-finance</x:v>
      </x:c>
      <x:c r="C80" s="59" t="str">
        <x:v>E12</x:v>
      </x:c>
      <x:c r="D80" s="59" t="str">
        <x:v>Clicks Group</x:v>
      </x:c>
      <x:c r="E80" s="59" t="str">
        <x:v>consumer</x:v>
      </x:c>
      <x:c r="F80" s="59" t="str">
        <x:v>Trade finance</x:v>
      </x:c>
      <x:c r="G80" s="59" t="str">
        <x:v>E1</x:v>
      </x:c>
      <x:c r="H80" s="61" t="n">
        <x:v>0.01488435</x:v>
      </x:c>
      <x:c r="I80" s="61" t="n">
        <x:v>0.0439474</x:v>
      </x:c>
      <x:c r="J80" s="61" t="n">
        <x:v>0.04227747</x:v>
      </x:c>
      <x:c r="K80" s="79" t="n">
        <x:v>357562355</x:v>
      </x:c>
      <x:c r="L80" s="61" t="n">
        <x:v>0.0592243</x:v>
      </x:c>
      <x:c r="M80" s="61" t="n">
        <x:v>0.15154962</x:v>
      </x:c>
      <x:c r="N80" s="61" t="n">
        <x:v>0.26260003</x:v>
      </x:c>
      <x:c r="O80" s="80" t="n">
        <x:v>9.97688757</x:v>
      </x:c>
      <x:c r="P80" s="59" t="str">
        <x:v>NOT SELECTED</x:v>
      </x:c>
      <x:c r="Q80" s="79" t="n">
        <x:v>0</x:v>
      </x:c>
      <x:c r="R80" s="59" t="str">
        <x:v>DEFERRED</x:v>
      </x:c>
      <x:c r="S80" s="79" t="n">
        <x:v>0</x:v>
      </x:c>
      <x:c r="T80" s="59" t="str">
        <x:v>SCENARIO/RECONSTRUCTED_NOT_MEASURED; need/leakage POSTERIOR</x:v>
      </x:c>
    </x:row>
    <x:row r="81">
      <x:c r="A81" s="59" t="n">
        <x:v>77</x:v>
      </x:c>
      <x:c r="B81" s="59" t="str">
        <x:v>E20-cross-border-fx</x:v>
      </x:c>
      <x:c r="C81" s="59" t="str">
        <x:v>E20</x:v>
      </x:c>
      <x:c r="D81" s="59" t="str">
        <x:v>Shaftesbury Capital plc</x:v>
      </x:c>
      <x:c r="E81" s="59" t="str">
        <x:v>real_estate</x:v>
      </x:c>
      <x:c r="F81" s="59" t="str">
        <x:v>Cross-border FX</x:v>
      </x:c>
      <x:c r="G81" s="59" t="str">
        <x:v>E1</x:v>
      </x:c>
      <x:c r="H81" s="61" t="n">
        <x:v>0.01080612</x:v>
      </x:c>
      <x:c r="I81" s="61" t="n">
        <x:v>0.24061118</x:v>
      </x:c>
      <x:c r="J81" s="61" t="n">
        <x:v>0.05269321</x:v>
      </x:c>
      <x:c r="K81" s="79" t="n">
        <x:v>453284882</x:v>
      </x:c>
      <x:c r="L81" s="61" t="n">
        <x:v>0.09563572</x:v>
      </x:c>
      <x:c r="M81" s="61" t="n">
        <x:v>0.19724853</x:v>
      </x:c>
      <x:c r="N81" s="61" t="n">
        <x:v>0.32300008</x:v>
      </x:c>
      <x:c r="O81" s="80" t="n">
        <x:v>9.67984753</x:v>
      </x:c>
      <x:c r="P81" s="59" t="str">
        <x:v>NOT SELECTED</x:v>
      </x:c>
      <x:c r="Q81" s="79" t="n">
        <x:v>0</x:v>
      </x:c>
      <x:c r="R81" s="59" t="str">
        <x:v>DEFERRED</x:v>
      </x:c>
      <x:c r="S81" s="79" t="n">
        <x:v>0</x:v>
      </x:c>
      <x:c r="T81" s="59" t="str">
        <x:v>SCENARIO/RECONSTRUCTED_NOT_MEASURED; need/leakage POSTERIOR</x:v>
      </x:c>
    </x:row>
    <x:row r="82">
      <x:c r="A82" s="59" t="n">
        <x:v>78</x:v>
      </x:c>
      <x:c r="B82" s="59" t="str">
        <x:v>E17-liquidity</x:v>
      </x:c>
      <x:c r="C82" s="59" t="str">
        <x:v>E17</x:v>
      </x:c>
      <x:c r="D82" s="59" t="str">
        <x:v>Vodacom Group</x:v>
      </x:c>
      <x:c r="E82" s="59" t="str">
        <x:v>telecoms</x:v>
      </x:c>
      <x:c r="F82" s="59" t="str">
        <x:v>Liquidity</x:v>
      </x:c>
      <x:c r="G82" s="59" t="str">
        <x:v>E1</x:v>
      </x:c>
      <x:c r="H82" s="61" t="n">
        <x:v>0.00677542</x:v>
      </x:c>
      <x:c r="I82" s="61" t="n">
        <x:v>0.05825609</x:v>
      </x:c>
      <x:c r="J82" s="61" t="n">
        <x:v>0.04629771</x:v>
      </x:c>
      <x:c r="K82" s="79" t="n">
        <x:v>2115215392</x:v>
      </x:c>
      <x:c r="L82" s="61" t="n">
        <x:v>0.02362716</x:v>
      </x:c>
      <x:c r="M82" s="61" t="n">
        <x:v>0.05297977</x:v>
      </x:c>
      <x:c r="N82" s="61" t="n">
        <x:v>0.08608404</x:v>
      </x:c>
      <x:c r="O82" s="80" t="n">
        <x:v>9.60620668</x:v>
      </x:c>
      <x:c r="P82" s="59" t="str">
        <x:v>NOT SELECTED</x:v>
      </x:c>
      <x:c r="Q82" s="79" t="n">
        <x:v>0</x:v>
      </x:c>
      <x:c r="R82" s="59" t="str">
        <x:v>DEFERRED</x:v>
      </x:c>
      <x:c r="S82" s="79" t="n">
        <x:v>0</x:v>
      </x:c>
      <x:c r="T82" s="59" t="str">
        <x:v>SCENARIO/RECONSTRUCTED_NOT_MEASURED; need/leakage POSTERIOR</x:v>
      </x:c>
    </x:row>
    <x:row r="83">
      <x:c r="A83" s="59" t="n">
        <x:v>79</x:v>
      </x:c>
      <x:c r="B83" s="59" t="str">
        <x:v>E15-collections</x:v>
      </x:c>
      <x:c r="C83" s="59" t="str">
        <x:v>E15</x:v>
      </x:c>
      <x:c r="D83" s="59" t="str">
        <x:v>Naspers</x:v>
      </x:c>
      <x:c r="E83" s="59" t="str">
        <x:v>tech</x:v>
      </x:c>
      <x:c r="F83" s="59" t="str">
        <x:v>Collections</x:v>
      </x:c>
      <x:c r="G83" s="59" t="str">
        <x:v>E1</x:v>
      </x:c>
      <x:c r="H83" s="61" t="n">
        <x:v>0.06380595</x:v>
      </x:c>
      <x:c r="I83" s="61" t="n">
        <x:v>0.02314701</x:v>
      </x:c>
      <x:c r="J83" s="61" t="n">
        <x:v>0.04096147</x:v>
      </x:c>
      <x:c r="K83" s="79" t="n">
        <x:v>6057317482</x:v>
      </x:c>
      <x:c r="L83" s="61" t="n">
        <x:v>0.03206938</x:v>
      </x:c>
      <x:c r="M83" s="61" t="n">
        <x:v>0.05602772</x:v>
      </x:c>
      <x:c r="N83" s="61" t="n">
        <x:v>0.07873249</x:v>
      </x:c>
      <x:c r="O83" s="80" t="n">
        <x:v>8.58545867</x:v>
      </x:c>
      <x:c r="P83" s="59" t="str">
        <x:v>NOT SELECTED</x:v>
      </x:c>
      <x:c r="Q83" s="79" t="n">
        <x:v>0</x:v>
      </x:c>
      <x:c r="R83" s="59" t="str">
        <x:v>DEFERRED</x:v>
      </x:c>
      <x:c r="S83" s="79" t="n">
        <x:v>0</x:v>
      </x:c>
      <x:c r="T83" s="59" t="str">
        <x:v>SCENARIO/RECONSTRUCTED_NOT_MEASURED; need/leakage POSTERIOR</x:v>
      </x:c>
    </x:row>
    <x:row r="84">
      <x:c r="A84" s="59" t="n">
        <x:v>80</x:v>
      </x:c>
      <x:c r="B84" s="59" t="str">
        <x:v>E07-liquidity</x:v>
      </x:c>
      <x:c r="C84" s="59" t="str">
        <x:v>E07</x:v>
      </x:c>
      <x:c r="D84" s="59" t="str">
        <x:v>OUTsurance Group</x:v>
      </x:c>
      <x:c r="E84" s="59" t="str">
        <x:v>insurance</x:v>
      </x:c>
      <x:c r="F84" s="59" t="str">
        <x:v>Liquidity</x:v>
      </x:c>
      <x:c r="G84" s="59" t="str">
        <x:v>E1</x:v>
      </x:c>
      <x:c r="H84" s="61" t="n">
        <x:v>0.01505574</x:v>
      </x:c>
      <x:c r="I84" s="61" t="n">
        <x:v>0.01601735</x:v>
      </x:c>
      <x:c r="J84" s="61" t="n">
        <x:v>0.03619972</x:v>
      </x:c>
      <x:c r="K84" s="79" t="n">
        <x:v>1895425233</x:v>
      </x:c>
      <x:c r="L84" s="61" t="n">
        <x:v>0.0351876</x:v>
      </x:c>
      <x:c r="M84" s="61" t="n">
        <x:v>0.07991213</x:v>
      </x:c>
      <x:c r="N84" s="61" t="n">
        <x:v>0.12709156</x:v>
      </x:c>
      <x:c r="O84" s="80" t="n">
        <x:v>7.66932995</x:v>
      </x:c>
      <x:c r="P84" s="59" t="str">
        <x:v>NOT SELECTED</x:v>
      </x:c>
      <x:c r="Q84" s="79" t="n">
        <x:v>0</x:v>
      </x:c>
      <x:c r="R84" s="59" t="str">
        <x:v>DEFERRED</x:v>
      </x:c>
      <x:c r="S84" s="79" t="n">
        <x:v>0</x:v>
      </x:c>
      <x:c r="T84" s="59" t="str">
        <x:v>SCENARIO/RECONSTRUCTED_NOT_MEASURED; need/leakage POSTERIOR</x:v>
      </x:c>
    </x:row>
    <x:row r="85">
      <x:c r="A85" s="59" t="n">
        <x:v>81</x:v>
      </x:c>
      <x:c r="B85" s="59" t="str">
        <x:v>E13-cross-border-fx</x:v>
      </x:c>
      <x:c r="C85" s="59" t="str">
        <x:v>E13</x:v>
      </x:c>
      <x:c r="D85" s="59" t="str">
        <x:v>NEPI Rockcastle</x:v>
      </x:c>
      <x:c r="E85" s="59" t="str">
        <x:v>real_estate</x:v>
      </x:c>
      <x:c r="F85" s="59" t="str">
        <x:v>Cross-border FX</x:v>
      </x:c>
      <x:c r="G85" s="59" t="str">
        <x:v>E1</x:v>
      </x:c>
      <x:c r="H85" s="61" t="n">
        <x:v>0.04302637</x:v>
      </x:c>
      <x:c r="I85" s="61" t="n">
        <x:v>0.01590766</x:v>
      </x:c>
      <x:c r="J85" s="61" t="n">
        <x:v>0.02925373</x:v>
      </x:c>
      <x:c r="K85" s="79" t="n">
        <x:v>1107998556</x:v>
      </x:c>
      <x:c r="L85" s="61" t="n">
        <x:v>0.10261488</x:v>
      </x:c>
      <x:c r="M85" s="61" t="n">
        <x:v>0.21489818</x:v>
      </x:c>
      <x:c r="N85" s="61" t="n">
        <x:v>0.34919435</x:v>
      </x:c>
      <x:c r="O85" s="80" t="n">
        <x:v>7.16925155</x:v>
      </x:c>
      <x:c r="P85" s="59" t="str">
        <x:v>NOT SELECTED</x:v>
      </x:c>
      <x:c r="Q85" s="79" t="n">
        <x:v>0</x:v>
      </x:c>
      <x:c r="R85" s="59" t="str">
        <x:v>DEFERRED</x:v>
      </x:c>
      <x:c r="S85" s="79" t="n">
        <x:v>0</x:v>
      </x:c>
      <x:c r="T85" s="59" t="str">
        <x:v>SCENARIO/RECONSTRUCTED_NOT_MEASURED; need/leakage POSTERIOR</x:v>
      </x:c>
    </x:row>
    <x:row r="86">
      <x:c r="A86" s="59" t="n">
        <x:v>82</x:v>
      </x:c>
      <x:c r="B86" s="59" t="str">
        <x:v>E17-collections</x:v>
      </x:c>
      <x:c r="C86" s="59" t="str">
        <x:v>E17</x:v>
      </x:c>
      <x:c r="D86" s="59" t="str">
        <x:v>Vodacom Group</x:v>
      </x:c>
      <x:c r="E86" s="59" t="str">
        <x:v>telecoms</x:v>
      </x:c>
      <x:c r="F86" s="59" t="str">
        <x:v>Collections</x:v>
      </x:c>
      <x:c r="G86" s="59" t="str">
        <x:v>E1</x:v>
      </x:c>
      <x:c r="H86" s="61" t="n">
        <x:v>0.00657996</x:v>
      </x:c>
      <x:c r="I86" s="61" t="n">
        <x:v>0.13283076</x:v>
      </x:c>
      <x:c r="J86" s="61" t="n">
        <x:v>0.04846304</x:v>
      </x:c>
      <x:c r="K86" s="79" t="n">
        <x:v>2297050907</x:v>
      </x:c>
      <x:c r="L86" s="61" t="n">
        <x:v>0.02069056</x:v>
      </x:c>
      <x:c r="M86" s="61" t="n">
        <x:v>0.03569971</x:v>
      </x:c>
      <x:c r="N86" s="61" t="n">
        <x:v>0.0499117</x:v>
      </x:c>
      <x:c r="O86" s="80" t="n">
        <x:v>7.01831068</x:v>
      </x:c>
      <x:c r="P86" s="59" t="str">
        <x:v>NOT SELECTED</x:v>
      </x:c>
      <x:c r="Q86" s="79" t="n">
        <x:v>0</x:v>
      </x:c>
      <x:c r="R86" s="59" t="str">
        <x:v>DEFERRED</x:v>
      </x:c>
      <x:c r="S86" s="79" t="n">
        <x:v>0</x:v>
      </x:c>
      <x:c r="T86" s="59" t="str">
        <x:v>SCENARIO/RECONSTRUCTED_NOT_MEASURED; need/leakage POSTERIOR</x:v>
      </x:c>
    </x:row>
    <x:row r="87">
      <x:c r="A87" s="59" t="n">
        <x:v>83</x:v>
      </x:c>
      <x:c r="B87" s="59" t="str">
        <x:v>E12-liquidity</x:v>
      </x:c>
      <x:c r="C87" s="59" t="str">
        <x:v>E12</x:v>
      </x:c>
      <x:c r="D87" s="59" t="str">
        <x:v>Clicks Group</x:v>
      </x:c>
      <x:c r="E87" s="59" t="str">
        <x:v>consumer</x:v>
      </x:c>
      <x:c r="F87" s="59" t="str">
        <x:v>Liquidity</x:v>
      </x:c>
      <x:c r="G87" s="59" t="str">
        <x:v>E1</x:v>
      </x:c>
      <x:c r="H87" s="61" t="n">
        <x:v>0.00429004</x:v>
      </x:c>
      <x:c r="I87" s="61" t="n">
        <x:v>0.05590398</x:v>
      </x:c>
      <x:c r="J87" s="61" t="n">
        <x:v>0.04329951</x:v>
      </x:c>
      <x:c r="K87" s="79" t="n">
        <x:v>715837003</x:v>
      </x:c>
      <x:c r="L87" s="61" t="n">
        <x:v>0.05336047</x:v>
      </x:c>
      <x:c r="M87" s="61" t="n">
        <x:v>0.11882709</x:v>
      </x:c>
      <x:c r="N87" s="61" t="n">
        <x:v>0.19102981</x:v>
      </x:c>
      <x:c r="O87" s="80" t="n">
        <x:v>5.40758495</x:v>
      </x:c>
      <x:c r="P87" s="59" t="str">
        <x:v>NOT SELECTED</x:v>
      </x:c>
      <x:c r="Q87" s="79" t="n">
        <x:v>0</x:v>
      </x:c>
      <x:c r="R87" s="59" t="str">
        <x:v>DEFERRED</x:v>
      </x:c>
      <x:c r="S87" s="79" t="n">
        <x:v>0</x:v>
      </x:c>
      <x:c r="T87" s="59" t="str">
        <x:v>SCENARIO/RECONSTRUCTED_NOT_MEASURED; need/leakage POSTERIOR</x:v>
      </x:c>
    </x:row>
    <x:row r="88">
      <x:c r="A88" s="59" t="n">
        <x:v>84</x:v>
      </x:c>
      <x:c r="B88" s="59" t="str">
        <x:v>E12-collections</x:v>
      </x:c>
      <x:c r="C88" s="59" t="str">
        <x:v>E12</x:v>
      </x:c>
      <x:c r="D88" s="59" t="str">
        <x:v>Clicks Group</x:v>
      </x:c>
      <x:c r="E88" s="59" t="str">
        <x:v>consumer</x:v>
      </x:c>
      <x:c r="F88" s="59" t="str">
        <x:v>Collections</x:v>
      </x:c>
      <x:c r="G88" s="59" t="str">
        <x:v>E1</x:v>
      </x:c>
      <x:c r="H88" s="61" t="n">
        <x:v>0.00249792</x:v>
      </x:c>
      <x:c r="I88" s="61" t="n">
        <x:v>0.10256558</x:v>
      </x:c>
      <x:c r="J88" s="61" t="n">
        <x:v>0.04384827</x:v>
      </x:c>
      <x:c r="K88" s="79" t="n">
        <x:v>1297014716</x:v>
      </x:c>
      <x:c r="L88" s="61" t="n">
        <x:v>0.02944771</x:v>
      </x:c>
      <x:c r="M88" s="61" t="n">
        <x:v>0.05028468</x:v>
      </x:c>
      <x:c r="N88" s="61" t="n">
        <x:v>0.06963833</x:v>
      </x:c>
      <x:c r="O88" s="80" t="n">
        <x:v>5.29031885</x:v>
      </x:c>
      <x:c r="P88" s="59" t="str">
        <x:v>NOT SELECTED</x:v>
      </x:c>
      <x:c r="Q88" s="79" t="n">
        <x:v>0</x:v>
      </x:c>
      <x:c r="R88" s="59" t="str">
        <x:v>DEFERRED</x:v>
      </x:c>
      <x:c r="S88" s="79" t="n">
        <x:v>0</x:v>
      </x:c>
      <x:c r="T88" s="59" t="str">
        <x:v>SCENARIO/RECONSTRUCTED_NOT_MEASURED; need/leakage POSTERIOR</x:v>
      </x:c>
    </x:row>
    <x:row r="89">
      <x:c r="A89" s="59" t="n">
        <x:v>85</x:v>
      </x:c>
      <x:c r="B89" s="59" t="str">
        <x:v>E07-trade-finance</x:v>
      </x:c>
      <x:c r="C89" s="59" t="str">
        <x:v>E07</x:v>
      </x:c>
      <x:c r="D89" s="59" t="str">
        <x:v>OUTsurance Group</x:v>
      </x:c>
      <x:c r="E89" s="59" t="str">
        <x:v>insurance</x:v>
      </x:c>
      <x:c r="F89" s="59" t="str">
        <x:v>Trade finance</x:v>
      </x:c>
      <x:c r="G89" s="59" t="str">
        <x:v>E1</x:v>
      </x:c>
      <x:c r="H89" s="61" t="n">
        <x:v>0.00558233</x:v>
      </x:c>
      <x:c r="I89" s="61" t="n">
        <x:v>0.01558481</x:v>
      </x:c>
      <x:c r="J89" s="61" t="n">
        <x:v>0.041716</x:v>
      </x:c>
      <x:c r="K89" s="79" t="n">
        <x:v>205889555</x:v>
      </x:c>
      <x:c r="L89" s="61" t="n">
        <x:v>0.10542559</x:v>
      </x:c>
      <x:c r="M89" s="61" t="n">
        <x:v>0.2763033</x:v>
      </x:c>
      <x:c r="N89" s="61" t="n">
        <x:v>0.48741572</x:v>
      </x:c>
      <x:c r="O89" s="80" t="n">
        <x:v>4.85533757</x:v>
      </x:c>
      <x:c r="P89" s="59" t="str">
        <x:v>NOT SELECTED</x:v>
      </x:c>
      <x:c r="Q89" s="79" t="n">
        <x:v>0</x:v>
      </x:c>
      <x:c r="R89" s="59" t="str">
        <x:v>DEFERRED</x:v>
      </x:c>
      <x:c r="S89" s="79" t="n">
        <x:v>0</x:v>
      </x:c>
      <x:c r="T89" s="59" t="str">
        <x:v>SCENARIO/RECONSTRUCTED_NOT_MEASURED; need/leakage POSTERIOR</x:v>
      </x:c>
    </x:row>
    <x:row r="90">
      <x:c r="A90" s="59" t="n">
        <x:v>86</x:v>
      </x:c>
      <x:c r="B90" s="59" t="str">
        <x:v>E06-liquidity</x:v>
      </x:c>
      <x:c r="C90" s="59" t="str">
        <x:v>E06</x:v>
      </x:c>
      <x:c r="D90" s="59" t="str">
        <x:v>Valterra Platinum</x:v>
      </x:c>
      <x:c r="E90" s="59" t="str">
        <x:v>mining</x:v>
      </x:c>
      <x:c r="F90" s="59" t="str">
        <x:v>Liquidity</x:v>
      </x:c>
      <x:c r="G90" s="59" t="str">
        <x:v>E1</x:v>
      </x:c>
      <x:c r="H90" s="61" t="n">
        <x:v>0.00017319</x:v>
      </x:c>
      <x:c r="I90" s="61" t="n">
        <x:v>0.0321072</x:v>
      </x:c>
      <x:c r="J90" s="61" t="n">
        <x:v>0.04384574</x:v>
      </x:c>
      <x:c r="K90" s="79" t="n">
        <x:v>626845759</x:v>
      </x:c>
      <x:c r="L90" s="61" t="n">
        <x:v>0.01787845</x:v>
      </x:c>
      <x:c r="M90" s="61" t="n">
        <x:v>0.03828384</x:v>
      </x:c>
      <x:c r="N90" s="61" t="n">
        <x:v>0.06295828</x:v>
      </x:c>
      <x:c r="O90" s="80" t="n">
        <x:v>4.85001158</x:v>
      </x:c>
      <x:c r="P90" s="59" t="str">
        <x:v>NOT SELECTED</x:v>
      </x:c>
      <x:c r="Q90" s="79" t="n">
        <x:v>0</x:v>
      </x:c>
      <x:c r="R90" s="59" t="str">
        <x:v>DEFERRED</x:v>
      </x:c>
      <x:c r="S90" s="79" t="n">
        <x:v>0</x:v>
      </x:c>
      <x:c r="T90" s="59" t="str">
        <x:v>SCENARIO/RECONSTRUCTED_NOT_MEASURED; need/leakage POSTERIOR</x:v>
      </x:c>
    </x:row>
    <x:row r="91">
      <x:c r="A91" s="59" t="n">
        <x:v>87</x:v>
      </x:c>
      <x:c r="B91" s="59" t="str">
        <x:v>E17-payments</x:v>
      </x:c>
      <x:c r="C91" s="59" t="str">
        <x:v>E17</x:v>
      </x:c>
      <x:c r="D91" s="59" t="str">
        <x:v>Vodacom Group</x:v>
      </x:c>
      <x:c r="E91" s="59" t="str">
        <x:v>telecoms</x:v>
      </x:c>
      <x:c r="F91" s="59" t="str">
        <x:v>Payments</x:v>
      </x:c>
      <x:c r="G91" s="59" t="str">
        <x:v>E1</x:v>
      </x:c>
      <x:c r="H91" s="61" t="n">
        <x:v>0.00808251</x:v>
      </x:c>
      <x:c r="I91" s="61" t="n">
        <x:v>0.03644195</x:v>
      </x:c>
      <x:c r="J91" s="61" t="n">
        <x:v>0.04678171</x:v>
      </x:c>
      <x:c r="K91" s="79" t="n">
        <x:v>2949096382</x:v>
      </x:c>
      <x:c r="L91" s="61" t="n">
        <x:v>0.02762522</x:v>
      </x:c>
      <x:c r="M91" s="61" t="n">
        <x:v>0.04890015</x:v>
      </x:c>
      <x:c r="N91" s="61" t="n">
        <x:v>0.06967688</x:v>
      </x:c>
      <x:c r="O91" s="80" t="n">
        <x:v>4.26465227</x:v>
      </x:c>
      <x:c r="P91" s="59" t="str">
        <x:v>NOT SELECTED</x:v>
      </x:c>
      <x:c r="Q91" s="79" t="n">
        <x:v>0</x:v>
      </x:c>
      <x:c r="R91" s="59" t="str">
        <x:v>DEFERRED</x:v>
      </x:c>
      <x:c r="S91" s="79" t="n">
        <x:v>0</x:v>
      </x:c>
      <x:c r="T91" s="59" t="str">
        <x:v>SCENARIO/RECONSTRUCTED_NOT_MEASURED; need/leakage POSTERIOR</x:v>
      </x:c>
    </x:row>
    <x:row r="92">
      <x:c r="A92" s="59" t="n">
        <x:v>88</x:v>
      </x:c>
      <x:c r="B92" s="59" t="str">
        <x:v>E07-payments</x:v>
      </x:c>
      <x:c r="C92" s="59" t="str">
        <x:v>E07</x:v>
      </x:c>
      <x:c r="D92" s="59" t="str">
        <x:v>OUTsurance Group</x:v>
      </x:c>
      <x:c r="E92" s="59" t="str">
        <x:v>insurance</x:v>
      </x:c>
      <x:c r="F92" s="59" t="str">
        <x:v>Payments</x:v>
      </x:c>
      <x:c r="G92" s="59" t="str">
        <x:v>E1</x:v>
      </x:c>
      <x:c r="H92" s="61" t="n">
        <x:v>0.0298434</x:v>
      </x:c>
      <x:c r="I92" s="61" t="n">
        <x:v>0.0206804</x:v>
      </x:c>
      <x:c r="J92" s="61" t="n">
        <x:v>0.0419187</x:v>
      </x:c>
      <x:c r="K92" s="79" t="n">
        <x:v>2095612014</x:v>
      </x:c>
      <x:c r="L92" s="61" t="n">
        <x:v>0.05452359</x:v>
      </x:c>
      <x:c r="M92" s="61" t="n">
        <x:v>0.09493797</x:v>
      </x:c>
      <x:c r="N92" s="61" t="n">
        <x:v>0.13812728</x:v>
      </x:c>
      <x:c r="O92" s="80" t="n">
        <x:v>4.13498847</x:v>
      </x:c>
      <x:c r="P92" s="59" t="str">
        <x:v>NOT SELECTED</x:v>
      </x:c>
      <x:c r="Q92" s="79" t="n">
        <x:v>0</x:v>
      </x:c>
      <x:c r="R92" s="59" t="str">
        <x:v>DEFERRED</x:v>
      </x:c>
      <x:c r="S92" s="79" t="n">
        <x:v>0</x:v>
      </x:c>
      <x:c r="T92" s="59" t="str">
        <x:v>SCENARIO/RECONSTRUCTED_NOT_MEASURED; need/leakage POSTERIOR</x:v>
      </x:c>
    </x:row>
    <x:row r="93">
      <x:c r="A93" s="59" t="n">
        <x:v>89</x:v>
      </x:c>
      <x:c r="B93" s="59" t="str">
        <x:v>E20-liquidity</x:v>
      </x:c>
      <x:c r="C93" s="59" t="str">
        <x:v>E20</x:v>
      </x:c>
      <x:c r="D93" s="59" t="str">
        <x:v>Shaftesbury Capital plc</x:v>
      </x:c>
      <x:c r="E93" s="59" t="str">
        <x:v>real_estate</x:v>
      </x:c>
      <x:c r="F93" s="59" t="str">
        <x:v>Liquidity</x:v>
      </x:c>
      <x:c r="G93" s="59" t="str">
        <x:v>E1</x:v>
      </x:c>
      <x:c r="H93" s="61" t="n">
        <x:v>0.00004154</x:v>
      </x:c>
      <x:c r="I93" s="61" t="n">
        <x:v>0.07096494</x:v>
      </x:c>
      <x:c r="J93" s="61" t="n">
        <x:v>0.08453871</x:v>
      </x:c>
      <x:c r="K93" s="79" t="n">
        <x:v>239951581</x:v>
      </x:c>
      <x:c r="L93" s="61" t="n">
        <x:v>0.01104438</x:v>
      </x:c>
      <x:c r="M93" s="61" t="n">
        <x:v>0.02418968</x:v>
      </x:c>
      <x:c r="N93" s="61" t="n">
        <x:v>0.03847112</x:v>
      </x:c>
      <x:c r="O93" s="80" t="n">
        <x:v>3.99800747</x:v>
      </x:c>
      <x:c r="P93" s="59" t="str">
        <x:v>NOT SELECTED</x:v>
      </x:c>
      <x:c r="Q93" s="79" t="n">
        <x:v>0</x:v>
      </x:c>
      <x:c r="R93" s="59" t="str">
        <x:v>DEFERRED</x:v>
      </x:c>
      <x:c r="S93" s="79" t="n">
        <x:v>0</x:v>
      </x:c>
      <x:c r="T93" s="59" t="str">
        <x:v>SCENARIO/RECONSTRUCTED_NOT_MEASURED; need/leakage POSTERIOR</x:v>
      </x:c>
    </x:row>
    <x:row r="94">
      <x:c r="A94" s="59" t="n">
        <x:v>90</x:v>
      </x:c>
      <x:c r="B94" s="59" t="str">
        <x:v>E13-liquidity</x:v>
      </x:c>
      <x:c r="C94" s="59" t="str">
        <x:v>E13</x:v>
      </x:c>
      <x:c r="D94" s="59" t="str">
        <x:v>NEPI Rockcastle</x:v>
      </x:c>
      <x:c r="E94" s="59" t="str">
        <x:v>real_estate</x:v>
      </x:c>
      <x:c r="F94" s="59" t="str">
        <x:v>Liquidity</x:v>
      </x:c>
      <x:c r="G94" s="59" t="str">
        <x:v>E1</x:v>
      </x:c>
      <x:c r="H94" s="61" t="n">
        <x:v>0.00046455</x:v>
      </x:c>
      <x:c r="I94" s="61" t="n">
        <x:v>0.01224421</x:v>
      </x:c>
      <x:c r="J94" s="61" t="n">
        <x:v>0.03116361</x:v>
      </x:c>
      <x:c r="K94" s="79" t="n">
        <x:v>494437513</x:v>
      </x:c>
      <x:c r="L94" s="61" t="n">
        <x:v>0.02088619</x:v>
      </x:c>
      <x:c r="M94" s="61" t="n">
        <x:v>0.04579474</x:v>
      </x:c>
      <x:c r="N94" s="61" t="n">
        <x:v>0.07390054</x:v>
      </x:c>
      <x:c r="O94" s="80" t="n">
        <x:v>3.96105073</x:v>
      </x:c>
      <x:c r="P94" s="59" t="str">
        <x:v>NOT SELECTED</x:v>
      </x:c>
      <x:c r="Q94" s="79" t="n">
        <x:v>0</x:v>
      </x:c>
      <x:c r="R94" s="59" t="str">
        <x:v>DEFERRED</x:v>
      </x:c>
      <x:c r="S94" s="79" t="n">
        <x:v>0</x:v>
      </x:c>
      <x:c r="T94" s="59" t="str">
        <x:v>SCENARIO/RECONSTRUCTED_NOT_MEASURED; need/leakage POSTERIOR</x:v>
      </x:c>
    </x:row>
    <x:row r="95">
      <x:c r="A95" s="59" t="n">
        <x:v>91</x:v>
      </x:c>
      <x:c r="B95" s="59" t="str">
        <x:v>E07-collections</x:v>
      </x:c>
      <x:c r="C95" s="59" t="str">
        <x:v>E07</x:v>
      </x:c>
      <x:c r="D95" s="59" t="str">
        <x:v>OUTsurance Group</x:v>
      </x:c>
      <x:c r="E95" s="59" t="str">
        <x:v>insurance</x:v>
      </x:c>
      <x:c r="F95" s="59" t="str">
        <x:v>Collections</x:v>
      </x:c>
      <x:c r="G95" s="59" t="str">
        <x:v>E1</x:v>
      </x:c>
      <x:c r="H95" s="61" t="n">
        <x:v>0.00522588</x:v>
      </x:c>
      <x:c r="I95" s="61" t="n">
        <x:v>0.02940634</x:v>
      </x:c>
      <x:c r="J95" s="61" t="n">
        <x:v>0.03662785</x:v>
      </x:c>
      <x:c r="K95" s="79" t="n">
        <x:v>1564896498</x:v>
      </x:c>
      <x:c r="L95" s="61" t="n">
        <x:v>0.0384541</x:v>
      </x:c>
      <x:c r="M95" s="61" t="n">
        <x:v>0.0653537</x:v>
      </x:c>
      <x:c r="N95" s="61" t="n">
        <x:v>0.09253994</x:v>
      </x:c>
      <x:c r="O95" s="80" t="n">
        <x:v>3.77247659</x:v>
      </x:c>
      <x:c r="P95" s="59" t="str">
        <x:v>NOT SELECTED</x:v>
      </x:c>
      <x:c r="Q95" s="79" t="n">
        <x:v>0</x:v>
      </x:c>
      <x:c r="R95" s="59" t="str">
        <x:v>DEFERRED</x:v>
      </x:c>
      <x:c r="S95" s="79" t="n">
        <x:v>0</x:v>
      </x:c>
      <x:c r="T95" s="59" t="str">
        <x:v>SCENARIO/RECONSTRUCTED_NOT_MEASURED; need/leakage POSTERIOR</x:v>
      </x:c>
    </x:row>
    <x:row r="96">
      <x:c r="A96" s="59" t="n">
        <x:v>92</x:v>
      </x:c>
      <x:c r="B96" s="59" t="str">
        <x:v>E06-collections</x:v>
      </x:c>
      <x:c r="C96" s="59" t="str">
        <x:v>E06</x:v>
      </x:c>
      <x:c r="D96" s="59" t="str">
        <x:v>Valterra Platinum</x:v>
      </x:c>
      <x:c r="E96" s="59" t="str">
        <x:v>mining</x:v>
      </x:c>
      <x:c r="F96" s="59" t="str">
        <x:v>Collections</x:v>
      </x:c>
      <x:c r="G96" s="59" t="str">
        <x:v>E1</x:v>
      </x:c>
      <x:c r="H96" s="61" t="n">
        <x:v>0.00019974</x:v>
      </x:c>
      <x:c r="I96" s="61" t="n">
        <x:v>0.03255091</x:v>
      </x:c>
      <x:c r="J96" s="61" t="n">
        <x:v>0.04414558</x:v>
      </x:c>
      <x:c r="K96" s="79" t="n">
        <x:v>1089559679</x:v>
      </x:c>
      <x:c r="L96" s="61" t="n">
        <x:v>0.01657391</x:v>
      </x:c>
      <x:c r="M96" s="61" t="n">
        <x:v>0.02907475</x:v>
      </x:c>
      <x:c r="N96" s="61" t="n">
        <x:v>0.04057686</x:v>
      </x:c>
      <x:c r="O96" s="80" t="n">
        <x:v>2.84196444</x:v>
      </x:c>
      <x:c r="P96" s="59" t="str">
        <x:v>NOT SELECTED</x:v>
      </x:c>
      <x:c r="Q96" s="79" t="n">
        <x:v>0</x:v>
      </x:c>
      <x:c r="R96" s="59" t="str">
        <x:v>DEFERRED</x:v>
      </x:c>
      <x:c r="S96" s="79" t="n">
        <x:v>0</x:v>
      </x:c>
      <x:c r="T96" s="59" t="str">
        <x:v>SCENARIO/RECONSTRUCTED_NOT_MEASURED; need/leakage POSTERIOR</x:v>
      </x:c>
    </x:row>
    <x:row r="97">
      <x:c r="A97" s="59" t="n">
        <x:v>93</x:v>
      </x:c>
      <x:c r="B97" s="59" t="str">
        <x:v>E12-payments</x:v>
      </x:c>
      <x:c r="C97" s="59" t="str">
        <x:v>E12</x:v>
      </x:c>
      <x:c r="D97" s="59" t="str">
        <x:v>Clicks Group</x:v>
      </x:c>
      <x:c r="E97" s="59" t="str">
        <x:v>consumer</x:v>
      </x:c>
      <x:c r="F97" s="59" t="str">
        <x:v>Payments</x:v>
      </x:c>
      <x:c r="G97" s="59" t="str">
        <x:v>E1</x:v>
      </x:c>
      <x:c r="H97" s="61" t="n">
        <x:v>0.00644992</x:v>
      </x:c>
      <x:c r="I97" s="61" t="n">
        <x:v>0.03083445</x:v>
      </x:c>
      <x:c r="J97" s="61" t="n">
        <x:v>0.04228733</x:v>
      </x:c>
      <x:c r="K97" s="79" t="n">
        <x:v>1103249257</x:v>
      </x:c>
      <x:c r="L97" s="61" t="n">
        <x:v>0.05761727</x:v>
      </x:c>
      <x:c r="M97" s="61" t="n">
        <x:v>0.10132423</x:v>
      </x:c>
      <x:c r="N97" s="61" t="n">
        <x:v>0.14570027</x:v>
      </x:c>
      <x:c r="O97" s="80" t="n">
        <x:v>2.64501969</x:v>
      </x:c>
      <x:c r="P97" s="59" t="str">
        <x:v>NOT SELECTED</x:v>
      </x:c>
      <x:c r="Q97" s="79" t="n">
        <x:v>0</x:v>
      </x:c>
      <x:c r="R97" s="59" t="str">
        <x:v>DEFERRED</x:v>
      </x:c>
      <x:c r="S97" s="79" t="n">
        <x:v>0</x:v>
      </x:c>
      <x:c r="T97" s="59" t="str">
        <x:v>SCENARIO/RECONSTRUCTED_NOT_MEASURED; need/leakage POSTERIOR</x:v>
      </x:c>
    </x:row>
    <x:row r="98">
      <x:c r="A98" s="59" t="n">
        <x:v>94</x:v>
      </x:c>
      <x:c r="B98" s="59" t="str">
        <x:v>E13-trade-finance</x:v>
      </x:c>
      <x:c r="C98" s="59" t="str">
        <x:v>E13</x:v>
      </x:c>
      <x:c r="D98" s="59" t="str">
        <x:v>NEPI Rockcastle</x:v>
      </x:c>
      <x:c r="E98" s="59" t="str">
        <x:v>real_estate</x:v>
      </x:c>
      <x:c r="F98" s="59" t="str">
        <x:v>Trade finance</x:v>
      </x:c>
      <x:c r="G98" s="59" t="str">
        <x:v>E1</x:v>
      </x:c>
      <x:c r="H98" s="61" t="n">
        <x:v>0.00033634</x:v>
      </x:c>
      <x:c r="I98" s="61" t="n">
        <x:v>0.02348591</x:v>
      </x:c>
      <x:c r="J98" s="61" t="n">
        <x:v>0.0583387</x:v>
      </x:c>
      <x:c r="K98" s="79" t="n">
        <x:v>24992072</x:v>
      </x:c>
      <x:c r="L98" s="61" t="n">
        <x:v>0.05414943</x:v>
      </x:c>
      <x:c r="M98" s="61" t="n">
        <x:v>0.13511555</x:v>
      </x:c>
      <x:c r="N98" s="61" t="n">
        <x:v>0.24372774</x:v>
      </x:c>
      <x:c r="O98" s="80" t="n">
        <x:v>2.41878323</x:v>
      </x:c>
      <x:c r="P98" s="59" t="str">
        <x:v>NOT SELECTED</x:v>
      </x:c>
      <x:c r="Q98" s="79" t="n">
        <x:v>0</x:v>
      </x:c>
      <x:c r="R98" s="59" t="str">
        <x:v>DEFERRED</x:v>
      </x:c>
      <x:c r="S98" s="79" t="n">
        <x:v>0</x:v>
      </x:c>
      <x:c r="T98" s="59" t="str">
        <x:v>SCENARIO/RECONSTRUCTED_NOT_MEASURED; need/leakage POSTERIOR</x:v>
      </x:c>
    </x:row>
    <x:row r="99">
      <x:c r="A99" s="59" t="n">
        <x:v>95</x:v>
      </x:c>
      <x:c r="B99" s="59" t="str">
        <x:v>E20-trade-finance</x:v>
      </x:c>
      <x:c r="C99" s="59" t="str">
        <x:v>E20</x:v>
      </x:c>
      <x:c r="D99" s="59" t="str">
        <x:v>Shaftesbury Capital plc</x:v>
      </x:c>
      <x:c r="E99" s="59" t="str">
        <x:v>real_estate</x:v>
      </x:c>
      <x:c r="F99" s="59" t="str">
        <x:v>Trade finance</x:v>
      </x:c>
      <x:c r="G99" s="59" t="str">
        <x:v>E1</x:v>
      </x:c>
      <x:c r="H99" s="61" t="n">
        <x:v>0.00098876</x:v>
      </x:c>
      <x:c r="I99" s="61" t="n">
        <x:v>0.02864903</x:v>
      </x:c>
      <x:c r="J99" s="61" t="n">
        <x:v>0.05283757</x:v>
      </x:c>
      <x:c r="K99" s="79" t="n">
        <x:v>27637127</x:v>
      </x:c>
      <x:c r="L99" s="61" t="n">
        <x:v>0.09041868</x:v>
      </x:c>
      <x:c r="M99" s="61" t="n">
        <x:v>0.23183021</x:v>
      </x:c>
      <x:c r="N99" s="61" t="n">
        <x:v>0.42081255</x:v>
      </x:c>
      <x:c r="O99" s="80" t="n">
        <x:v>2.16991777</x:v>
      </x:c>
      <x:c r="P99" s="59" t="str">
        <x:v>NOT SELECTED</x:v>
      </x:c>
      <x:c r="Q99" s="79" t="n">
        <x:v>0</x:v>
      </x:c>
      <x:c r="R99" s="59" t="str">
        <x:v>DEFERRED</x:v>
      </x:c>
      <x:c r="S99" s="79" t="n">
        <x:v>0</x:v>
      </x:c>
      <x:c r="T99" s="59" t="str">
        <x:v>SCENARIO/RECONSTRUCTED_NOT_MEASURED; need/leakage POSTERIOR</x:v>
      </x:c>
    </x:row>
    <x:row r="100">
      <x:c r="A100" s="59" t="n">
        <x:v>96</x:v>
      </x:c>
      <x:c r="B100" s="59" t="str">
        <x:v>E06-payments</x:v>
      </x:c>
      <x:c r="C100" s="59" t="str">
        <x:v>E06</x:v>
      </x:c>
      <x:c r="D100" s="59" t="str">
        <x:v>Valterra Platinum</x:v>
      </x:c>
      <x:c r="E100" s="59" t="str">
        <x:v>mining</x:v>
      </x:c>
      <x:c r="F100" s="59" t="str">
        <x:v>Payments</x:v>
      </x:c>
      <x:c r="G100" s="59" t="str">
        <x:v>E1</x:v>
      </x:c>
      <x:c r="H100" s="61" t="n">
        <x:v>0.00020054</x:v>
      </x:c>
      <x:c r="I100" s="61" t="n">
        <x:v>0.02338785</x:v>
      </x:c>
      <x:c r="J100" s="61" t="n">
        <x:v>0.06682242</x:v>
      </x:c>
      <x:c r="K100" s="79" t="n">
        <x:v>650386097</x:v>
      </x:c>
      <x:c r="L100" s="61" t="n">
        <x:v>0.01474389</x:v>
      </x:c>
      <x:c r="M100" s="61" t="n">
        <x:v>0.02588039</x:v>
      </x:c>
      <x:c r="N100" s="61" t="n">
        <x:v>0.03748109</x:v>
      </x:c>
      <x:c r="O100" s="80" t="n">
        <x:v>1.80483879</x:v>
      </x:c>
      <x:c r="P100" s="59" t="str">
        <x:v>NOT SELECTED</x:v>
      </x:c>
      <x:c r="Q100" s="79" t="n">
        <x:v>0</x:v>
      </x:c>
      <x:c r="R100" s="59" t="str">
        <x:v>DEFERRED</x:v>
      </x:c>
      <x:c r="S100" s="79" t="n">
        <x:v>0</x:v>
      </x:c>
      <x:c r="T100" s="59" t="str">
        <x:v>SCENARIO/RECONSTRUCTED_NOT_MEASURED; need/leakage POSTERIOR</x:v>
      </x:c>
    </x:row>
    <x:row r="101">
      <x:c r="A101" s="59" t="n">
        <x:v>97</x:v>
      </x:c>
      <x:c r="B101" s="59" t="str">
        <x:v>E20-payments</x:v>
      </x:c>
      <x:c r="C101" s="59" t="str">
        <x:v>E20</x:v>
      </x:c>
      <x:c r="D101" s="59" t="str">
        <x:v>Shaftesbury Capital plc</x:v>
      </x:c>
      <x:c r="E101" s="59" t="str">
        <x:v>real_estate</x:v>
      </x:c>
      <x:c r="F101" s="59" t="str">
        <x:v>Payments</x:v>
      </x:c>
      <x:c r="G101" s="59" t="str">
        <x:v>E1</x:v>
      </x:c>
      <x:c r="H101" s="61" t="n">
        <x:v>0.00004187</x:v>
      </x:c>
      <x:c r="I101" s="61" t="n">
        <x:v>0.0432606</x:v>
      </x:c>
      <x:c r="J101" s="61" t="n">
        <x:v>0.12360171</x:v>
      </x:c>
      <x:c r="K101" s="79" t="n">
        <x:v>113856791</x:v>
      </x:c>
      <x:c r="L101" s="61" t="n">
        <x:v>0.03008441</x:v>
      </x:c>
      <x:c r="M101" s="61" t="n">
        <x:v>0.051539</x:v>
      </x:c>
      <x:c r="N101" s="61" t="n">
        <x:v>0.07370899</x:v>
      </x:c>
      <x:c r="O101" s="80" t="n">
        <x:v>1.48723034</x:v>
      </x:c>
      <x:c r="P101" s="59" t="str">
        <x:v>NOT SELECTED</x:v>
      </x:c>
      <x:c r="Q101" s="79" t="n">
        <x:v>0</x:v>
      </x:c>
      <x:c r="R101" s="59" t="str">
        <x:v>DEFERRED</x:v>
      </x:c>
      <x:c r="S101" s="79" t="n">
        <x:v>0</x:v>
      </x:c>
      <x:c r="T101" s="59" t="str">
        <x:v>SCENARIO/RECONSTRUCTED_NOT_MEASURED; need/leakage POSTERIOR</x:v>
      </x:c>
    </x:row>
    <x:row r="102">
      <x:c r="A102" s="59" t="n">
        <x:v>98</x:v>
      </x:c>
      <x:c r="B102" s="59" t="str">
        <x:v>E20-collections</x:v>
      </x:c>
      <x:c r="C102" s="59" t="str">
        <x:v>E20</x:v>
      </x:c>
      <x:c r="D102" s="59" t="str">
        <x:v>Shaftesbury Capital plc</x:v>
      </x:c>
      <x:c r="E102" s="59" t="str">
        <x:v>real_estate</x:v>
      </x:c>
      <x:c r="F102" s="59" t="str">
        <x:v>Collections</x:v>
      </x:c>
      <x:c r="G102" s="59" t="str">
        <x:v>E1</x:v>
      </x:c>
      <x:c r="H102" s="61" t="n">
        <x:v>0.00004188</x:v>
      </x:c>
      <x:c r="I102" s="61" t="n">
        <x:v>0.03355315</x:v>
      </x:c>
      <x:c r="J102" s="61" t="n">
        <x:v>0.04241465</x:v>
      </x:c>
      <x:c r="K102" s="79" t="n">
        <x:v>121310113</x:v>
      </x:c>
      <x:c r="L102" s="61" t="n">
        <x:v>0.02631309</x:v>
      </x:c>
      <x:c r="M102" s="61" t="n">
        <x:v>0.04495008</x:v>
      </x:c>
      <x:c r="N102" s="61" t="n">
        <x:v>0.06323386</x:v>
      </x:c>
      <x:c r="O102" s="80" t="n">
        <x:v>1.44656449</x:v>
      </x:c>
      <x:c r="P102" s="59" t="str">
        <x:v>NOT SELECTED</x:v>
      </x:c>
      <x:c r="Q102" s="79" t="n">
        <x:v>0</x:v>
      </x:c>
      <x:c r="R102" s="59" t="str">
        <x:v>DEFERRED</x:v>
      </x:c>
      <x:c r="S102" s="79" t="n">
        <x:v>0</x:v>
      </x:c>
      <x:c r="T102" s="59" t="str">
        <x:v>SCENARIO/RECONSTRUCTED_NOT_MEASURED; need/leakage POSTERIOR</x:v>
      </x:c>
    </x:row>
    <x:row r="103">
      <x:c r="A103" s="59" t="n">
        <x:v>99</x:v>
      </x:c>
      <x:c r="B103" s="59" t="str">
        <x:v>E13-collections</x:v>
      </x:c>
      <x:c r="C103" s="59" t="str">
        <x:v>E13</x:v>
      </x:c>
      <x:c r="D103" s="59" t="str">
        <x:v>NEPI Rockcastle</x:v>
      </x:c>
      <x:c r="E103" s="59" t="str">
        <x:v>real_estate</x:v>
      </x:c>
      <x:c r="F103" s="59" t="str">
        <x:v>Collections</x:v>
      </x:c>
      <x:c r="G103" s="59" t="str">
        <x:v>E1</x:v>
      </x:c>
      <x:c r="H103" s="61" t="n">
        <x:v>0.00016175</x:v>
      </x:c>
      <x:c r="I103" s="61" t="n">
        <x:v>0.01666674</x:v>
      </x:c>
      <x:c r="J103" s="61" t="n">
        <x:v>0.04761926</x:v>
      </x:c>
      <x:c r="K103" s="79" t="n">
        <x:v>314518995</x:v>
      </x:c>
      <x:c r="L103" s="61" t="n">
        <x:v>0.02848234</x:v>
      </x:c>
      <x:c r="M103" s="61" t="n">
        <x:v>0.04842154</x:v>
      </x:c>
      <x:c r="N103" s="61" t="n">
        <x:v>0.06803953</x:v>
      </x:c>
      <x:c r="O103" s="80" t="n">
        <x:v>1.4332395</x:v>
      </x:c>
      <x:c r="P103" s="59" t="str">
        <x:v>NOT SELECTED</x:v>
      </x:c>
      <x:c r="Q103" s="79" t="n">
        <x:v>0</x:v>
      </x:c>
      <x:c r="R103" s="59" t="str">
        <x:v>DEFERRED</x:v>
      </x:c>
      <x:c r="S103" s="79" t="n">
        <x:v>0</x:v>
      </x:c>
      <x:c r="T103" s="59" t="str">
        <x:v>SCENARIO/RECONSTRUCTED_NOT_MEASURED; need/leakage POSTERIOR</x:v>
      </x:c>
    </x:row>
    <x:row r="104">
      <x:c r="A104" s="59" t="n">
        <x:v>100</x:v>
      </x:c>
      <x:c r="B104" s="59" t="str">
        <x:v>E13-payments</x:v>
      </x:c>
      <x:c r="C104" s="59" t="str">
        <x:v>E13</x:v>
      </x:c>
      <x:c r="D104" s="59" t="str">
        <x:v>NEPI Rockcastle</x:v>
      </x:c>
      <x:c r="E104" s="59" t="str">
        <x:v>real_estate</x:v>
      </x:c>
      <x:c r="F104" s="59" t="str">
        <x:v>Payments</x:v>
      </x:c>
      <x:c r="G104" s="59" t="str">
        <x:v>E1</x:v>
      </x:c>
      <x:c r="H104" s="61" t="n">
        <x:v>0.0009757</x:v>
      </x:c>
      <x:c r="I104" s="61" t="n">
        <x:v>0.01833333</x:v>
      </x:c>
      <x:c r="J104" s="61" t="n">
        <x:v>0.03253681</x:v>
      </x:c>
      <x:c r="K104" s="79" t="n">
        <x:v>426661006</x:v>
      </x:c>
      <x:c r="L104" s="61" t="n">
        <x:v>0.03908647</x:v>
      </x:c>
      <x:c r="M104" s="61" t="n">
        <x:v>0.06865997</x:v>
      </x:c>
      <x:c r="N104" s="61" t="n">
        <x:v>0.09918722</x:v>
      </x:c>
      <x:c r="O104" s="80" t="n">
        <x:v>1.30544201</x:v>
      </x:c>
      <x:c r="P104" s="59" t="str">
        <x:v>NOT SELECTED</x:v>
      </x:c>
      <x:c r="Q104" s="79" t="n">
        <x:v>0</x:v>
      </x:c>
      <x:c r="R104" s="59" t="str">
        <x:v>DEFERRED</x:v>
      </x:c>
      <x:c r="S104" s="79" t="n">
        <x:v>0</x:v>
      </x:c>
      <x:c r="T104" s="59" t="str">
        <x:v>SCENARIO/RECONSTRUCTED_NOT_MEASURED; need/leakage POSTERIOR</x:v>
      </x:c>
    </x:row>
  </x:sheetData>
  <x:mergeCells>
    <x:mergeCell ref="A1:T1"/>
    <x:mergeCell ref="A2:T2"/>
  </x:mergeCells>
  <x:conditionalFormatting sqref="A5:T104">
    <x:cfRule type="expression" dxfId="4" priority="1">
      <x:formula>$P5="SELECTED"</x:formula>
    </x:cfRule>
  </x:conditionalFormatting>
  <x:conditionalFormatting sqref="R5:R104">
    <x:cfRule type="containsText" dxfId="5" priority="2" operator="containsText" text="SELECTED"/>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48" hidden="0" customWidth="1"/>
    <x:col min="4" max="4" width="16" hidden="0" customWidth="1"/>
    <x:col min="5" max="5" width="28" hidden="0" customWidth="1"/>
    <x:col min="6" max="6" width="16" hidden="0" customWidth="1"/>
    <x:col min="7" max="7" width="32" hidden="0" customWidth="1"/>
    <x:col min="8" max="8" width="16" hidden="0" customWidth="1"/>
    <x:col min="9" max="9" width="16" hidden="0" customWidth="1"/>
    <x:col min="10" max="10" width="16" hidden="0" customWidth="1"/>
    <x:col min="11" max="11" width="16" hidden="0" customWidth="1"/>
    <x:col min="12" max="12" width="16" hidden="0" customWidth="1"/>
    <x:col min="13" max="13" width="36" hidden="0" customWidth="1"/>
    <x:col min="14" max="14" width="36" hidden="0" customWidth="1"/>
  </x:cols>
  <x:sheetData>
    <x:row r="1" ht="35" customHeight="1">
      <x:c r="A1" s="3" t="str">
        <x:v>Evidence Acquisition Queue</x:v>
      </x:c>
      <x:c r="B1" s="3"/>
      <x:c r="C1" s="3"/>
      <x:c r="D1" s="3"/>
      <x:c r="E1" s="3"/>
      <x:c r="F1" s="3"/>
      <x:c r="G1" s="3"/>
      <x:c r="H1" s="3"/>
      <x:c r="I1" s="3"/>
      <x:c r="J1" s="3"/>
      <x:c r="K1" s="3"/>
      <x:c r="L1" s="3"/>
      <x:c r="M1" s="3"/>
      <x:c r="N1" s="3"/>
    </x:row>
    <x:row r="2" ht="26" customHeight="1">
      <x:c r="A2" s="7" t="str">
        <x:v>V3 value-of-information policy ranks evidence work; retrieval remains human-approved and non-autonomous.</x:v>
      </x:c>
      <x:c r="B2" s="7"/>
      <x:c r="C2" s="7"/>
      <x:c r="D2" s="7"/>
      <x:c r="E2" s="7"/>
      <x:c r="F2" s="7"/>
      <x:c r="G2" s="7"/>
      <x:c r="H2" s="7"/>
      <x:c r="I2" s="7"/>
      <x:c r="J2" s="7"/>
      <x:c r="K2" s="7"/>
      <x:c r="L2" s="7"/>
      <x:c r="M2" s="7"/>
      <x:c r="N2" s="7"/>
    </x:row>
    <x:row r="4" ht="30" customHeight="1">
      <x:c r="A4" s="78" t="str">
        <x:v>Plan rank</x:v>
      </x:c>
      <x:c r="B4" s="78" t="str">
        <x:v>Plan status</x:v>
      </x:c>
      <x:c r="C4" s="78" t="str">
        <x:v>Candidate ID</x:v>
      </x:c>
      <x:c r="D4" s="78" t="str">
        <x:v>Entity ID</x:v>
      </x:c>
      <x:c r="E4" s="78" t="str">
        <x:v>Opportunity ID</x:v>
      </x:c>
      <x:c r="F4" s="78" t="str">
        <x:v>Product</x:v>
      </x:c>
      <x:c r="G4" s="78" t="str">
        <x:v>Evidence type</x:v>
      </x:c>
      <x:c r="H4" s="78" t="str">
        <x:v>Expected rank-flip probability</x:v>
      </x:c>
      <x:c r="I4" s="78" t="str">
        <x:v>Interval-width reduction</x:v>
      </x:c>
      <x:c r="J4" s="78" t="str">
        <x:v>Decision value ZAR</x:v>
      </x:c>
      <x:c r="K4" s="78" t="str">
        <x:v>Acquisition + latency cost ZAR</x:v>
      </x:c>
      <x:c r="L4" s="78" t="str">
        <x:v>Net VOI ZAR</x:v>
      </x:c>
      <x:c r="M4" s="78" t="str">
        <x:v>Required approval</x:v>
      </x:c>
      <x:c r="N4" s="78" t="str">
        <x:v>Autonomy boundary</x:v>
      </x:c>
    </x:row>
    <x:row r="5">
      <x:c r="A5" s="59" t="n">
        <x:v>1</x:v>
      </x:c>
      <x:c r="B5" s="59" t="str">
        <x:v>SELECTED</x:v>
      </x:c>
      <x:c r="C5" s="59" t="str">
        <x:v>voi:E02-trade-finance:e3-multibank-share-observation</x:v>
      </x:c>
      <x:c r="D5" s="59" t="str">
        <x:v>E02</x:v>
      </x:c>
      <x:c r="E5" s="59" t="str">
        <x:v>E02-trade-finance</x:v>
      </x:c>
      <x:c r="F5" s="59" t="str">
        <x:v>Trade finance</x:v>
      </x:c>
      <x:c r="G5" s="59" t="str">
        <x:v>E3 multibank share observation</x:v>
      </x:c>
      <x:c r="H5" s="61" t="n">
        <x:v>0.47</x:v>
      </x:c>
      <x:c r="I5" s="61" t="n">
        <x:v>0.52</x:v>
      </x:c>
      <x:c r="J5" s="79" t="n">
        <x:v>13401805</x:v>
      </x:c>
      <x:c r="K5" s="79" t="n">
        <x:v>1451453</x:v>
      </x:c>
      <x:c r="L5" s="79" t="n">
        <x:v>11950352</x:v>
      </x:c>
      <x:c r="M5" s="59" t="str">
        <x:v>data-owner + client consent</x:v>
      </x:c>
      <x:c r="N5" s="59" t="str">
        <x:v>No autonomous retrieval or approval</x:v>
      </x:c>
    </x:row>
    <x:row r="6">
      <x:c r="A6" s="59" t="n">
        <x:v>2</x:v>
      </x:c>
      <x:c r="B6" s="59" t="str">
        <x:v>SELECTED</x:v>
      </x:c>
      <x:c r="C6" s="59" t="str">
        <x:v>voi:E02-trade-finance:finance-approved-product-rate-card</x:v>
      </x:c>
      <x:c r="D6" s="59" t="str">
        <x:v>E02</x:v>
      </x:c>
      <x:c r="E6" s="59" t="str">
        <x:v>E02-trade-finance</x:v>
      </x:c>
      <x:c r="F6" s="59" t="str">
        <x:v>Trade finance</x:v>
      </x:c>
      <x:c r="G6" s="59" t="str">
        <x:v>finance-approved product rate card</x:v>
      </x:c>
      <x:c r="H6" s="61" t="n">
        <x:v>0.33</x:v>
      </x:c>
      <x:c r="I6" s="61" t="n">
        <x:v>0.31</x:v>
      </x:c>
      <x:c r="J6" s="79" t="n">
        <x:v>8934537</x:v>
      </x:c>
      <x:c r="K6" s="79" t="n">
        <x:v>715727</x:v>
      </x:c>
      <x:c r="L6" s="79" t="n">
        <x:v>8218810</x:v>
      </x:c>
      <x:c r="M6" s="59" t="str">
        <x:v>product finance + Treasury</x:v>
      </x:c>
      <x:c r="N6" s="59" t="str">
        <x:v>No autonomous retrieval or approval</x:v>
      </x:c>
    </x:row>
    <x:row r="7">
      <x:c r="A7" s="59" t="n">
        <x:v>3</x:v>
      </x:c>
      <x:c r="B7" s="59" t="str">
        <x:v>SELECTED</x:v>
      </x:c>
      <x:c r="C7" s="59" t="str">
        <x:v>voi:E02-trade-finance:e2-client/rm-attestation</x:v>
      </x:c>
      <x:c r="D7" s="59" t="str">
        <x:v>E02</x:v>
      </x:c>
      <x:c r="E7" s="59" t="str">
        <x:v>E02-trade-finance</x:v>
      </x:c>
      <x:c r="F7" s="59" t="str">
        <x:v>Trade finance</x:v>
      </x:c>
      <x:c r="G7" s="59" t="str">
        <x:v>E2 client/RM attestation</x:v>
      </x:c>
      <x:c r="H7" s="61" t="n">
        <x:v>0.23</x:v>
      </x:c>
      <x:c r="I7" s="61" t="n">
        <x:v>0.22</x:v>
      </x:c>
      <x:c r="J7" s="79" t="n">
        <x:v>5743631</x:v>
      </x:c>
      <x:c r="K7" s="79" t="n">
        <x:v>348363</x:v>
      </x:c>
      <x:c r="L7" s="79" t="n">
        <x:v>5395267</x:v>
      </x:c>
      <x:c r="M7" s="59" t="str">
        <x:v>RM + client attestation workflow</x:v>
      </x:c>
      <x:c r="N7" s="59" t="str">
        <x:v>No autonomous retrieval or approval</x:v>
      </x:c>
    </x:row>
    <x:row r="8">
      <x:c r="A8" s="59" t="n">
        <x:v>4</x:v>
      </x:c>
      <x:c r="B8" s="59" t="str">
        <x:v>SELECTED</x:v>
      </x:c>
      <x:c r="C8" s="59" t="str">
        <x:v>voi:E01-trade-finance:e3-multibank-share-observation</x:v>
      </x:c>
      <x:c r="D8" s="59" t="str">
        <x:v>E01</x:v>
      </x:c>
      <x:c r="E8" s="59" t="str">
        <x:v>E01-trade-finance</x:v>
      </x:c>
      <x:c r="F8" s="59" t="str">
        <x:v>Trade finance</x:v>
      </x:c>
      <x:c r="G8" s="59" t="str">
        <x:v>E3 multibank share observation</x:v>
      </x:c>
      <x:c r="H8" s="61" t="n">
        <x:v>0.47</x:v>
      </x:c>
      <x:c r="I8" s="61" t="n">
        <x:v>0.52</x:v>
      </x:c>
      <x:c r="J8" s="79" t="n">
        <x:v>5801846</x:v>
      </x:c>
      <x:c r="K8" s="79" t="n">
        <x:v>679394</x:v>
      </x:c>
      <x:c r="L8" s="79" t="n">
        <x:v>5122452</x:v>
      </x:c>
      <x:c r="M8" s="59" t="str">
        <x:v>data-owner + client consent</x:v>
      </x:c>
      <x:c r="N8" s="59" t="str">
        <x:v>No autonomous retrieval or approval</x:v>
      </x:c>
    </x:row>
    <x:row r="9">
      <x:c r="A9" s="59" t="n">
        <x:v>5</x:v>
      </x:c>
      <x:c r="B9" s="59" t="str">
        <x:v>SELECTED</x:v>
      </x:c>
      <x:c r="C9" s="59" t="str">
        <x:v>voi:E16-cross-border-fx:e3-multibank-share-observation</x:v>
      </x:c>
      <x:c r="D9" s="59" t="str">
        <x:v>E16</x:v>
      </x:c>
      <x:c r="E9" s="59" t="str">
        <x:v>E16-cross-border-fx</x:v>
      </x:c>
      <x:c r="F9" s="59" t="str">
        <x:v>Cross-border FX</x:v>
      </x:c>
      <x:c r="G9" s="59" t="str">
        <x:v>E3 multibank share observation</x:v>
      </x:c>
      <x:c r="H9" s="61" t="n">
        <x:v>0.47</x:v>
      </x:c>
      <x:c r="I9" s="61" t="n">
        <x:v>0.52</x:v>
      </x:c>
      <x:c r="J9" s="79" t="n">
        <x:v>4085708</x:v>
      </x:c>
      <x:c r="K9" s="79" t="n">
        <x:v>525683</x:v>
      </x:c>
      <x:c r="L9" s="79" t="n">
        <x:v>3560025</x:v>
      </x:c>
      <x:c r="M9" s="59" t="str">
        <x:v>data-owner + client consent</x:v>
      </x:c>
      <x:c r="N9" s="59" t="str">
        <x:v>No autonomous retrieval or approval</x:v>
      </x:c>
    </x:row>
    <x:row r="10">
      <x:c r="A10" s="59" t="n">
        <x:v>6</x:v>
      </x:c>
      <x:c r="B10" s="59" t="str">
        <x:v>SELECTED</x:v>
      </x:c>
      <x:c r="C10" s="59" t="str">
        <x:v>voi:E01-trade-finance:finance-approved-product-rate-card</x:v>
      </x:c>
      <x:c r="D10" s="59" t="str">
        <x:v>E01</x:v>
      </x:c>
      <x:c r="E10" s="59" t="str">
        <x:v>E01-trade-finance</x:v>
      </x:c>
      <x:c r="F10" s="59" t="str">
        <x:v>Trade finance</x:v>
      </x:c>
      <x:c r="G10" s="59" t="str">
        <x:v>finance-approved product rate card</x:v>
      </x:c>
      <x:c r="H10" s="61" t="n">
        <x:v>0.33</x:v>
      </x:c>
      <x:c r="I10" s="61" t="n">
        <x:v>0.31</x:v>
      </x:c>
      <x:c r="J10" s="79" t="n">
        <x:v>3867897</x:v>
      </x:c>
      <x:c r="K10" s="79" t="n">
        <x:v>329697</x:v>
      </x:c>
      <x:c r="L10" s="79" t="n">
        <x:v>3538200</x:v>
      </x:c>
      <x:c r="M10" s="59" t="str">
        <x:v>product finance + Treasury</x:v>
      </x:c>
      <x:c r="N10" s="59" t="str">
        <x:v>No autonomous retrieval or approval</x:v>
      </x:c>
    </x:row>
    <x:row r="11">
      <x:c r="A11" s="59" t="n">
        <x:v>7</x:v>
      </x:c>
      <x:c r="B11" s="59" t="str">
        <x:v>SELECTED</x:v>
      </x:c>
      <x:c r="C11" s="59" t="str">
        <x:v>voi:E03-liquidity:e3-multibank-share-observation</x:v>
      </x:c>
      <x:c r="D11" s="59" t="str">
        <x:v>E03</x:v>
      </x:c>
      <x:c r="E11" s="59" t="str">
        <x:v>E03-liquidity</x:v>
      </x:c>
      <x:c r="F11" s="59" t="str">
        <x:v>Liquidity</x:v>
      </x:c>
      <x:c r="G11" s="59" t="str">
        <x:v>E3 multibank share observation</x:v>
      </x:c>
      <x:c r="H11" s="61" t="n">
        <x:v>0.47</x:v>
      </x:c>
      <x:c r="I11" s="61" t="n">
        <x:v>0.52</x:v>
      </x:c>
      <x:c r="J11" s="79" t="n">
        <x:v>3357568</x:v>
      </x:c>
      <x:c r="K11" s="79" t="n">
        <x:v>431086</x:v>
      </x:c>
      <x:c r="L11" s="79" t="n">
        <x:v>2926482</x:v>
      </x:c>
      <x:c r="M11" s="59" t="str">
        <x:v>data-owner + client consent</x:v>
      </x:c>
      <x:c r="N11" s="59" t="str">
        <x:v>No autonomous retrieval or approval</x:v>
      </x:c>
    </x:row>
    <x:row r="12">
      <x:c r="A12" s="59" t="n">
        <x:v>8</x:v>
      </x:c>
      <x:c r="B12" s="59" t="str">
        <x:v>SELECTED</x:v>
      </x:c>
      <x:c r="C12" s="59" t="str">
        <x:v>voi:E10-cross-border-fx:e3-multibank-share-observation</x:v>
      </x:c>
      <x:c r="D12" s="59" t="str">
        <x:v>E10</x:v>
      </x:c>
      <x:c r="E12" s="59" t="str">
        <x:v>E10-cross-border-fx</x:v>
      </x:c>
      <x:c r="F12" s="59" t="str">
        <x:v>Cross-border FX</x:v>
      </x:c>
      <x:c r="G12" s="59" t="str">
        <x:v>E3 multibank share observation</x:v>
      </x:c>
      <x:c r="H12" s="61" t="n">
        <x:v>0.47</x:v>
      </x:c>
      <x:c r="I12" s="61" t="n">
        <x:v>0.52</x:v>
      </x:c>
      <x:c r="J12" s="79" t="n">
        <x:v>3025459</x:v>
      </x:c>
      <x:c r="K12" s="79" t="n">
        <x:v>408825</x:v>
      </x:c>
      <x:c r="L12" s="79" t="n">
        <x:v>2616634</x:v>
      </x:c>
      <x:c r="M12" s="59" t="str">
        <x:v>data-owner + client consent</x:v>
      </x:c>
      <x:c r="N12" s="59" t="str">
        <x:v>No autonomous retrieval or approval</x:v>
      </x:c>
    </x:row>
    <x:row r="13">
      <x:c r="A13" s="59" t="n">
        <x:v>9</x:v>
      </x:c>
      <x:c r="B13" s="59" t="str">
        <x:v>DEFERRED</x:v>
      </x:c>
      <x:c r="C13" s="59" t="str">
        <x:v>voi:E15-cross-border-fx:e3-multibank-share-observation</x:v>
      </x:c>
      <x:c r="D13" s="59" t="str">
        <x:v>E15</x:v>
      </x:c>
      <x:c r="E13" s="59" t="str">
        <x:v>E15-cross-border-fx</x:v>
      </x:c>
      <x:c r="F13" s="59" t="str">
        <x:v>Cross-border FX</x:v>
      </x:c>
      <x:c r="G13" s="59" t="str">
        <x:v>E3 multibank share observation</x:v>
      </x:c>
      <x:c r="H13" s="61" t="n">
        <x:v>0.47</x:v>
      </x:c>
      <x:c r="I13" s="61" t="n">
        <x:v>0.52</x:v>
      </x:c>
      <x:c r="J13" s="79" t="n">
        <x:v>2961584</x:v>
      </x:c>
      <x:c r="K13" s="79" t="n">
        <x:v>406230</x:v>
      </x:c>
      <x:c r="L13" s="79" t="n">
        <x:v>2555354</x:v>
      </x:c>
      <x:c r="M13" s="59" t="str">
        <x:v>data-owner + client consent</x:v>
      </x:c>
      <x:c r="N13" s="59" t="str">
        <x:v>No autonomous retrieval or approval</x:v>
      </x:c>
    </x:row>
    <x:row r="14">
      <x:c r="A14" s="59" t="n">
        <x:v>10</x:v>
      </x:c>
      <x:c r="B14" s="59" t="str">
        <x:v>DEFERRED</x:v>
      </x:c>
      <x:c r="C14" s="59" t="str">
        <x:v>voi:E16-cross-border-fx:finance-approved-product-rate-card</x:v>
      </x:c>
      <x:c r="D14" s="59" t="str">
        <x:v>E16</x:v>
      </x:c>
      <x:c r="E14" s="59" t="str">
        <x:v>E16-cross-border-fx</x:v>
      </x:c>
      <x:c r="F14" s="59" t="str">
        <x:v>Cross-border FX</x:v>
      </x:c>
      <x:c r="G14" s="59" t="str">
        <x:v>finance-approved product rate card</x:v>
      </x:c>
      <x:c r="H14" s="61" t="n">
        <x:v>0.33</x:v>
      </x:c>
      <x:c r="I14" s="61" t="n">
        <x:v>0.31</x:v>
      </x:c>
      <x:c r="J14" s="79" t="n">
        <x:v>2723805</x:v>
      </x:c>
      <x:c r="K14" s="79" t="n">
        <x:v>252842</x:v>
      </x:c>
      <x:c r="L14" s="79" t="n">
        <x:v>2470964</x:v>
      </x:c>
      <x:c r="M14" s="59" t="str">
        <x:v>product finance + Treasury</x:v>
      </x:c>
      <x:c r="N14" s="59" t="str">
        <x:v>No autonomous retrieval or approval</x:v>
      </x:c>
    </x:row>
    <x:row r="15">
      <x:c r="A15" s="59" t="n">
        <x:v>11</x:v>
      </x:c>
      <x:c r="B15" s="59" t="str">
        <x:v>DEFERRED</x:v>
      </x:c>
      <x:c r="C15" s="59" t="str">
        <x:v>voi:E08-liquidity:e3-multibank-share-observation</x:v>
      </x:c>
      <x:c r="D15" s="59" t="str">
        <x:v>E08</x:v>
      </x:c>
      <x:c r="E15" s="59" t="str">
        <x:v>E08-liquidity</x:v>
      </x:c>
      <x:c r="F15" s="59" t="str">
        <x:v>Liquidity</x:v>
      </x:c>
      <x:c r="G15" s="59" t="str">
        <x:v>E3 multibank share observation</x:v>
      </x:c>
      <x:c r="H15" s="61" t="n">
        <x:v>0.47</x:v>
      </x:c>
      <x:c r="I15" s="61" t="n">
        <x:v>0.52</x:v>
      </x:c>
      <x:c r="J15" s="79" t="n">
        <x:v>2801494</x:v>
      </x:c>
      <x:c r="K15" s="79" t="n">
        <x:v>374596</x:v>
      </x:c>
      <x:c r="L15" s="79" t="n">
        <x:v>2426898</x:v>
      </x:c>
      <x:c r="M15" s="59" t="str">
        <x:v>data-owner + client consent</x:v>
      </x:c>
      <x:c r="N15" s="59" t="str">
        <x:v>No autonomous retrieval or approval</x:v>
      </x:c>
    </x:row>
    <x:row r="16">
      <x:c r="A16" s="59" t="n">
        <x:v>12</x:v>
      </x:c>
      <x:c r="B16" s="59" t="str">
        <x:v>DEFERRED</x:v>
      </x:c>
      <x:c r="C16" s="59" t="str">
        <x:v>voi:E01-trade-finance:e2-client/rm-attestation</x:v>
      </x:c>
      <x:c r="D16" s="59" t="str">
        <x:v>E01</x:v>
      </x:c>
      <x:c r="E16" s="59" t="str">
        <x:v>E01-trade-finance</x:v>
      </x:c>
      <x:c r="F16" s="59" t="str">
        <x:v>Trade finance</x:v>
      </x:c>
      <x:c r="G16" s="59" t="str">
        <x:v>E2 client/RM attestation</x:v>
      </x:c>
      <x:c r="H16" s="61" t="n">
        <x:v>0.23</x:v>
      </x:c>
      <x:c r="I16" s="61" t="n">
        <x:v>0.22</x:v>
      </x:c>
      <x:c r="J16" s="79" t="n">
        <x:v>2486505</x:v>
      </x:c>
      <x:c r="K16" s="79" t="n">
        <x:v>155348</x:v>
      </x:c>
      <x:c r="L16" s="79" t="n">
        <x:v>2331157</x:v>
      </x:c>
      <x:c r="M16" s="59" t="str">
        <x:v>RM + client attestation workflow</x:v>
      </x:c>
      <x:c r="N16" s="59" t="str">
        <x:v>No autonomous retrieval or approval</x:v>
      </x:c>
    </x:row>
    <x:row r="17">
      <x:c r="A17" s="59" t="n">
        <x:v>13</x:v>
      </x:c>
      <x:c r="B17" s="59" t="str">
        <x:v>DEFERRED</x:v>
      </x:c>
      <x:c r="C17" s="59" t="str">
        <x:v>voi:E17-cross-border-fx:e3-multibank-share-observation</x:v>
      </x:c>
      <x:c r="D17" s="59" t="str">
        <x:v>E17</x:v>
      </x:c>
      <x:c r="E17" s="59" t="str">
        <x:v>E17-cross-border-fx</x:v>
      </x:c>
      <x:c r="F17" s="59" t="str">
        <x:v>Cross-border FX</x:v>
      </x:c>
      <x:c r="G17" s="59" t="str">
        <x:v>E3 multibank share observation</x:v>
      </x:c>
      <x:c r="H17" s="61" t="n">
        <x:v>0.47</x:v>
      </x:c>
      <x:c r="I17" s="61" t="n">
        <x:v>0.52</x:v>
      </x:c>
      <x:c r="J17" s="79" t="n">
        <x:v>2564950</x:v>
      </x:c>
      <x:c r="K17" s="79" t="n">
        <x:v>357892</x:v>
      </x:c>
      <x:c r="L17" s="79" t="n">
        <x:v>2207058</x:v>
      </x:c>
      <x:c r="M17" s="59" t="str">
        <x:v>data-owner + client consent</x:v>
      </x:c>
      <x:c r="N17" s="59" t="str">
        <x:v>No autonomous retrieval or approval</x:v>
      </x:c>
    </x:row>
    <x:row r="18">
      <x:c r="A18" s="59" t="n">
        <x:v>14</x:v>
      </x:c>
      <x:c r="B18" s="59" t="str">
        <x:v>DEFERRED</x:v>
      </x:c>
      <x:c r="C18" s="59" t="str">
        <x:v>voi:E03-liquidity:finance-approved-product-rate-card</x:v>
      </x:c>
      <x:c r="D18" s="59" t="str">
        <x:v>E03</x:v>
      </x:c>
      <x:c r="E18" s="59" t="str">
        <x:v>E03-liquidity</x:v>
      </x:c>
      <x:c r="F18" s="59" t="str">
        <x:v>Liquidity</x:v>
      </x:c>
      <x:c r="G18" s="59" t="str">
        <x:v>finance-approved product rate card</x:v>
      </x:c>
      <x:c r="H18" s="61" t="n">
        <x:v>0.33</x:v>
      </x:c>
      <x:c r="I18" s="61" t="n">
        <x:v>0.31</x:v>
      </x:c>
      <x:c r="J18" s="79" t="n">
        <x:v>2238379</x:v>
      </x:c>
      <x:c r="K18" s="79" t="n">
        <x:v>205543</x:v>
      </x:c>
      <x:c r="L18" s="79" t="n">
        <x:v>2032836</x:v>
      </x:c>
      <x:c r="M18" s="59" t="str">
        <x:v>product finance + Treasury</x:v>
      </x:c>
      <x:c r="N18" s="59" t="str">
        <x:v>No autonomous retrieval or approval</x:v>
      </x:c>
    </x:row>
    <x:row r="19">
      <x:c r="A19" s="59" t="n">
        <x:v>15</x:v>
      </x:c>
      <x:c r="B19" s="59" t="str">
        <x:v>DEFERRED</x:v>
      </x:c>
      <x:c r="C19" s="59" t="str">
        <x:v>voi:E10-cross-border-fx:finance-approved-product-rate-card</x:v>
      </x:c>
      <x:c r="D19" s="59" t="str">
        <x:v>E10</x:v>
      </x:c>
      <x:c r="E19" s="59" t="str">
        <x:v>E10-cross-border-fx</x:v>
      </x:c>
      <x:c r="F19" s="59" t="str">
        <x:v>Cross-border FX</x:v>
      </x:c>
      <x:c r="G19" s="59" t="str">
        <x:v>finance-approved product rate card</x:v>
      </x:c>
      <x:c r="H19" s="61" t="n">
        <x:v>0.33</x:v>
      </x:c>
      <x:c r="I19" s="61" t="n">
        <x:v>0.31</x:v>
      </x:c>
      <x:c r="J19" s="79" t="n">
        <x:v>2016973</x:v>
      </x:c>
      <x:c r="K19" s="79" t="n">
        <x:v>194413</x:v>
      </x:c>
      <x:c r="L19" s="79" t="n">
        <x:v>1822560</x:v>
      </x:c>
      <x:c r="M19" s="59" t="str">
        <x:v>product finance + Treasury</x:v>
      </x:c>
      <x:c r="N19" s="59" t="str">
        <x:v>No autonomous retrieval or approval</x:v>
      </x:c>
    </x:row>
    <x:row r="20">
      <x:c r="A20" s="59" t="n">
        <x:v>16</x:v>
      </x:c>
      <x:c r="B20" s="59" t="str">
        <x:v>DEFERRED</x:v>
      </x:c>
      <x:c r="C20" s="59" t="str">
        <x:v>voi:E15-cross-border-fx:finance-approved-product-rate-card</x:v>
      </x:c>
      <x:c r="D20" s="59" t="str">
        <x:v>E15</x:v>
      </x:c>
      <x:c r="E20" s="59" t="str">
        <x:v>E15-cross-border-fx</x:v>
      </x:c>
      <x:c r="F20" s="59" t="str">
        <x:v>Cross-border FX</x:v>
      </x:c>
      <x:c r="G20" s="59" t="str">
        <x:v>finance-approved product rate card</x:v>
      </x:c>
      <x:c r="H20" s="61" t="n">
        <x:v>0.33</x:v>
      </x:c>
      <x:c r="I20" s="61" t="n">
        <x:v>0.31</x:v>
      </x:c>
      <x:c r="J20" s="79" t="n">
        <x:v>1974389</x:v>
      </x:c>
      <x:c r="K20" s="79" t="n">
        <x:v>193115</x:v>
      </x:c>
      <x:c r="L20" s="79" t="n">
        <x:v>1781274</x:v>
      </x:c>
      <x:c r="M20" s="59" t="str">
        <x:v>product finance + Treasury</x:v>
      </x:c>
      <x:c r="N20" s="59" t="str">
        <x:v>No autonomous retrieval or approval</x:v>
      </x:c>
    </x:row>
    <x:row r="21">
      <x:c r="A21" s="59" t="n">
        <x:v>17</x:v>
      </x:c>
      <x:c r="B21" s="59" t="str">
        <x:v>DEFERRED</x:v>
      </x:c>
      <x:c r="C21" s="59" t="str">
        <x:v>voi:E08-liquidity:finance-approved-product-rate-card</x:v>
      </x:c>
      <x:c r="D21" s="59" t="str">
        <x:v>E08</x:v>
      </x:c>
      <x:c r="E21" s="59" t="str">
        <x:v>E08-liquidity</x:v>
      </x:c>
      <x:c r="F21" s="59" t="str">
        <x:v>Liquidity</x:v>
      </x:c>
      <x:c r="G21" s="59" t="str">
        <x:v>finance-approved product rate card</x:v>
      </x:c>
      <x:c r="H21" s="61" t="n">
        <x:v>0.33</x:v>
      </x:c>
      <x:c r="I21" s="61" t="n">
        <x:v>0.31</x:v>
      </x:c>
      <x:c r="J21" s="79" t="n">
        <x:v>1867663</x:v>
      </x:c>
      <x:c r="K21" s="79" t="n">
        <x:v>177298</x:v>
      </x:c>
      <x:c r="L21" s="79" t="n">
        <x:v>1690365</x:v>
      </x:c>
      <x:c r="M21" s="59" t="str">
        <x:v>product finance + Treasury</x:v>
      </x:c>
      <x:c r="N21" s="59" t="str">
        <x:v>No autonomous retrieval or approval</x:v>
      </x:c>
    </x:row>
    <x:row r="22">
      <x:c r="A22" s="59" t="n">
        <x:v>18</x:v>
      </x:c>
      <x:c r="B22" s="59" t="str">
        <x:v>DEFERRED</x:v>
      </x:c>
      <x:c r="C22" s="59" t="str">
        <x:v>voi:E16-cross-border-fx:e2-client/rm-attestation</x:v>
      </x:c>
      <x:c r="D22" s="59" t="str">
        <x:v>E16</x:v>
      </x:c>
      <x:c r="E22" s="59" t="str">
        <x:v>E16-cross-border-fx</x:v>
      </x:c>
      <x:c r="F22" s="59" t="str">
        <x:v>Cross-border FX</x:v>
      </x:c>
      <x:c r="G22" s="59" t="str">
        <x:v>E2 client/RM attestation</x:v>
      </x:c>
      <x:c r="H22" s="61" t="n">
        <x:v>0.23</x:v>
      </x:c>
      <x:c r="I22" s="61" t="n">
        <x:v>0.22</x:v>
      </x:c>
      <x:c r="J22" s="79" t="n">
        <x:v>1751018</x:v>
      </x:c>
      <x:c r="K22" s="79" t="n">
        <x:v>116921</x:v>
      </x:c>
      <x:c r="L22" s="79" t="n">
        <x:v>1634097</x:v>
      </x:c>
      <x:c r="M22" s="59" t="str">
        <x:v>RM + client attestation workflow</x:v>
      </x:c>
      <x:c r="N22" s="59" t="str">
        <x:v>No autonomous retrieval or approval</x:v>
      </x:c>
    </x:row>
    <x:row r="23">
      <x:c r="A23" s="59" t="n">
        <x:v>19</x:v>
      </x:c>
      <x:c r="B23" s="59" t="str">
        <x:v>DEFERRED</x:v>
      </x:c>
      <x:c r="C23" s="59" t="str">
        <x:v>voi:E17-cross-border-fx:finance-approved-product-rate-card</x:v>
      </x:c>
      <x:c r="D23" s="59" t="str">
        <x:v>E17</x:v>
      </x:c>
      <x:c r="E23" s="59" t="str">
        <x:v>E17-cross-border-fx</x:v>
      </x:c>
      <x:c r="F23" s="59" t="str">
        <x:v>Cross-border FX</x:v>
      </x:c>
      <x:c r="G23" s="59" t="str">
        <x:v>finance-approved product rate card</x:v>
      </x:c>
      <x:c r="H23" s="61" t="n">
        <x:v>0.33</x:v>
      </x:c>
      <x:c r="I23" s="61" t="n">
        <x:v>0.31</x:v>
      </x:c>
      <x:c r="J23" s="79" t="n">
        <x:v>1709967</x:v>
      </x:c>
      <x:c r="K23" s="79" t="n">
        <x:v>168946</x:v>
      </x:c>
      <x:c r="L23" s="79" t="n">
        <x:v>1541021</x:v>
      </x:c>
      <x:c r="M23" s="59" t="str">
        <x:v>product finance + Treasury</x:v>
      </x:c>
      <x:c r="N23" s="59" t="str">
        <x:v>No autonomous retrieval or approval</x:v>
      </x:c>
    </x:row>
    <x:row r="24">
      <x:c r="A24" s="59" t="n">
        <x:v>20</x:v>
      </x:c>
      <x:c r="B24" s="59" t="str">
        <x:v>DEFERRED</x:v>
      </x:c>
      <x:c r="C24" s="59" t="str">
        <x:v>voi:E09-trade-finance:e3-multibank-share-observation</x:v>
      </x:c>
      <x:c r="D24" s="59" t="str">
        <x:v>E09</x:v>
      </x:c>
      <x:c r="E24" s="59" t="str">
        <x:v>E09-trade-finance</x:v>
      </x:c>
      <x:c r="F24" s="59" t="str">
        <x:v>Trade finance</x:v>
      </x:c>
      <x:c r="G24" s="59" t="str">
        <x:v>E3 multibank share observation</x:v>
      </x:c>
      <x:c r="H24" s="61" t="n">
        <x:v>0.47</x:v>
      </x:c>
      <x:c r="I24" s="61" t="n">
        <x:v>0.52</x:v>
      </x:c>
      <x:c r="J24" s="79" t="n">
        <x:v>1658785</x:v>
      </x:c>
      <x:c r="K24" s="79" t="n">
        <x:v>258511</x:v>
      </x:c>
      <x:c r="L24" s="79" t="n">
        <x:v>1400273</x:v>
      </x:c>
      <x:c r="M24" s="59" t="str">
        <x:v>data-owner + client consent</x:v>
      </x:c>
      <x:c r="N24" s="59" t="str">
        <x:v>No autonomous retrieval or approval</x:v>
      </x:c>
    </x:row>
    <x:row r="25">
      <x:c r="A25" s="59" t="n">
        <x:v>21</x:v>
      </x:c>
      <x:c r="B25" s="59" t="str">
        <x:v>DEFERRED</x:v>
      </x:c>
      <x:c r="C25" s="59" t="str">
        <x:v>voi:E14-liquidity:e3-multibank-share-observation</x:v>
      </x:c>
      <x:c r="D25" s="59" t="str">
        <x:v>E14</x:v>
      </x:c>
      <x:c r="E25" s="59" t="str">
        <x:v>E14-liquidity</x:v>
      </x:c>
      <x:c r="F25" s="59" t="str">
        <x:v>Liquidity</x:v>
      </x:c>
      <x:c r="G25" s="59" t="str">
        <x:v>E3 multibank share observation</x:v>
      </x:c>
      <x:c r="H25" s="61" t="n">
        <x:v>0.47</x:v>
      </x:c>
      <x:c r="I25" s="61" t="n">
        <x:v>0.52</x:v>
      </x:c>
      <x:c r="J25" s="79" t="n">
        <x:v>1648592</x:v>
      </x:c>
      <x:c r="K25" s="79" t="n">
        <x:v>257476</x:v>
      </x:c>
      <x:c r="L25" s="79" t="n">
        <x:v>1391116</x:v>
      </x:c>
      <x:c r="M25" s="59" t="str">
        <x:v>data-owner + client consent</x:v>
      </x:c>
      <x:c r="N25" s="59" t="str">
        <x:v>No autonomous retrieval or approval</x:v>
      </x:c>
    </x:row>
    <x:row r="26">
      <x:c r="A26" s="59" t="n">
        <x:v>22</x:v>
      </x:c>
      <x:c r="B26" s="59" t="str">
        <x:v>DEFERRED</x:v>
      </x:c>
      <x:c r="C26" s="59" t="str">
        <x:v>voi:E18-trade-finance:e3-multibank-share-observation</x:v>
      </x:c>
      <x:c r="D26" s="59" t="str">
        <x:v>E18</x:v>
      </x:c>
      <x:c r="E26" s="59" t="str">
        <x:v>E18-trade-finance</x:v>
      </x:c>
      <x:c r="F26" s="59" t="str">
        <x:v>Trade finance</x:v>
      </x:c>
      <x:c r="G26" s="59" t="str">
        <x:v>E3 multibank share observation</x:v>
      </x:c>
      <x:c r="H26" s="61" t="n">
        <x:v>0.47</x:v>
      </x:c>
      <x:c r="I26" s="61" t="n">
        <x:v>0.52</x:v>
      </x:c>
      <x:c r="J26" s="79" t="n">
        <x:v>1604794</x:v>
      </x:c>
      <x:c r="K26" s="79" t="n">
        <x:v>253027</x:v>
      </x:c>
      <x:c r="L26" s="79" t="n">
        <x:v>1351767</x:v>
      </x:c>
      <x:c r="M26" s="59" t="str">
        <x:v>data-owner + client consent</x:v>
      </x:c>
      <x:c r="N26" s="59" t="str">
        <x:v>No autonomous retrieval or approval</x:v>
      </x:c>
    </x:row>
    <x:row r="27">
      <x:c r="A27" s="59" t="n">
        <x:v>23</x:v>
      </x:c>
      <x:c r="B27" s="59" t="str">
        <x:v>DEFERRED</x:v>
      </x:c>
      <x:c r="C27" s="59" t="str">
        <x:v>voi:E03-liquidity:e2-client/rm-attestation</x:v>
      </x:c>
      <x:c r="D27" s="59" t="str">
        <x:v>E03</x:v>
      </x:c>
      <x:c r="E27" s="59" t="str">
        <x:v>E03-liquidity</x:v>
      </x:c>
      <x:c r="F27" s="59" t="str">
        <x:v>Liquidity</x:v>
      </x:c>
      <x:c r="G27" s="59" t="str">
        <x:v>E2 client/RM attestation</x:v>
      </x:c>
      <x:c r="H27" s="61" t="n">
        <x:v>0.23</x:v>
      </x:c>
      <x:c r="I27" s="61" t="n">
        <x:v>0.22</x:v>
      </x:c>
      <x:c r="J27" s="79" t="n">
        <x:v>1438958</x:v>
      </x:c>
      <x:c r="K27" s="79" t="n">
        <x:v>93272</x:v>
      </x:c>
      <x:c r="L27" s="79" t="n">
        <x:v>1345686</x:v>
      </x:c>
      <x:c r="M27" s="59" t="str">
        <x:v>RM + client attestation workflow</x:v>
      </x:c>
      <x:c r="N27" s="59" t="str">
        <x:v>No autonomous retrieval or approval</x:v>
      </x:c>
    </x:row>
    <x:row r="28">
      <x:c r="A28" s="59" t="n">
        <x:v>24</x:v>
      </x:c>
      <x:c r="B28" s="59" t="str">
        <x:v>DEFERRED</x:v>
      </x:c>
      <x:c r="C28" s="59" t="str">
        <x:v>voi:E10-cross-border-fx:e2-client/rm-attestation</x:v>
      </x:c>
      <x:c r="D28" s="59" t="str">
        <x:v>E10</x:v>
      </x:c>
      <x:c r="E28" s="59" t="str">
        <x:v>E10-cross-border-fx</x:v>
      </x:c>
      <x:c r="F28" s="59" t="str">
        <x:v>Cross-border FX</x:v>
      </x:c>
      <x:c r="G28" s="59" t="str">
        <x:v>E2 client/RM attestation</x:v>
      </x:c>
      <x:c r="H28" s="61" t="n">
        <x:v>0.23</x:v>
      </x:c>
      <x:c r="I28" s="61" t="n">
        <x:v>0.22</x:v>
      </x:c>
      <x:c r="J28" s="79" t="n">
        <x:v>1296625</x:v>
      </x:c>
      <x:c r="K28" s="79" t="n">
        <x:v>87706</x:v>
      </x:c>
      <x:c r="L28" s="79" t="n">
        <x:v>1208919</x:v>
      </x:c>
      <x:c r="M28" s="59" t="str">
        <x:v>RM + client attestation workflow</x:v>
      </x:c>
      <x:c r="N28" s="59" t="str">
        <x:v>No autonomous retrieval or approval</x:v>
      </x:c>
    </x:row>
    <x:row r="29">
      <x:c r="A29" s="59" t="n">
        <x:v>25</x:v>
      </x:c>
      <x:c r="B29" s="59" t="str">
        <x:v>DEFERRED</x:v>
      </x:c>
      <x:c r="C29" s="59" t="str">
        <x:v>voi:E15-cross-border-fx:e2-client/rm-attestation</x:v>
      </x:c>
      <x:c r="D29" s="59" t="str">
        <x:v>E15</x:v>
      </x:c>
      <x:c r="E29" s="59" t="str">
        <x:v>E15-cross-border-fx</x:v>
      </x:c>
      <x:c r="F29" s="59" t="str">
        <x:v>Cross-border FX</x:v>
      </x:c>
      <x:c r="G29" s="59" t="str">
        <x:v>E2 client/RM attestation</x:v>
      </x:c>
      <x:c r="H29" s="61" t="n">
        <x:v>0.23</x:v>
      </x:c>
      <x:c r="I29" s="61" t="n">
        <x:v>0.22</x:v>
      </x:c>
      <x:c r="J29" s="79" t="n">
        <x:v>1269250</x:v>
      </x:c>
      <x:c r="K29" s="79" t="n">
        <x:v>87057</x:v>
      </x:c>
      <x:c r="L29" s="79" t="n">
        <x:v>1182193</x:v>
      </x:c>
      <x:c r="M29" s="59" t="str">
        <x:v>RM + client attestation workflow</x:v>
      </x:c>
      <x:c r="N29" s="59" t="str">
        <x:v>No autonomous retrieval or approval</x:v>
      </x:c>
    </x:row>
    <x:row r="30">
      <x:c r="A30" s="59" t="n">
        <x:v>26</x:v>
      </x:c>
      <x:c r="B30" s="59" t="str">
        <x:v>DEFERRED</x:v>
      </x:c>
      <x:c r="C30" s="59" t="str">
        <x:v>voi:E08-liquidity:e2-client/rm-attestation</x:v>
      </x:c>
      <x:c r="D30" s="59" t="str">
        <x:v>E08</x:v>
      </x:c>
      <x:c r="E30" s="59" t="str">
        <x:v>E08-liquidity</x:v>
      </x:c>
      <x:c r="F30" s="59" t="str">
        <x:v>Liquidity</x:v>
      </x:c>
      <x:c r="G30" s="59" t="str">
        <x:v>E2 client/RM attestation</x:v>
      </x:c>
      <x:c r="H30" s="61" t="n">
        <x:v>0.23</x:v>
      </x:c>
      <x:c r="I30" s="61" t="n">
        <x:v>0.22</x:v>
      </x:c>
      <x:c r="J30" s="79" t="n">
        <x:v>1200640</x:v>
      </x:c>
      <x:c r="K30" s="79" t="n">
        <x:v>79149</x:v>
      </x:c>
      <x:c r="L30" s="79" t="n">
        <x:v>1121491</x:v>
      </x:c>
      <x:c r="M30" s="59" t="str">
        <x:v>RM + client attestation workflow</x:v>
      </x:c>
      <x:c r="N30" s="59" t="str">
        <x:v>No autonomous retrieval or approval</x:v>
      </x:c>
    </x:row>
    <x:row r="31">
      <x:c r="A31" s="59" t="n">
        <x:v>27</x:v>
      </x:c>
      <x:c r="B31" s="59" t="str">
        <x:v>DEFERRED</x:v>
      </x:c>
      <x:c r="C31" s="59" t="str">
        <x:v>voi:E17-cross-border-fx:e2-client/rm-attestation</x:v>
      </x:c>
      <x:c r="D31" s="59" t="str">
        <x:v>E17</x:v>
      </x:c>
      <x:c r="E31" s="59" t="str">
        <x:v>E17-cross-border-fx</x:v>
      </x:c>
      <x:c r="F31" s="59" t="str">
        <x:v>Cross-border FX</x:v>
      </x:c>
      <x:c r="G31" s="59" t="str">
        <x:v>E2 client/RM attestation</x:v>
      </x:c>
      <x:c r="H31" s="61" t="n">
        <x:v>0.23</x:v>
      </x:c>
      <x:c r="I31" s="61" t="n">
        <x:v>0.22</x:v>
      </x:c>
      <x:c r="J31" s="79" t="n">
        <x:v>1099264</x:v>
      </x:c>
      <x:c r="K31" s="79" t="n">
        <x:v>74973</x:v>
      </x:c>
      <x:c r="L31" s="79" t="n">
        <x:v>1024291</x:v>
      </x:c>
      <x:c r="M31" s="59" t="str">
        <x:v>RM + client attestation workflow</x:v>
      </x:c>
      <x:c r="N31" s="59" t="str">
        <x:v>No autonomous retrieval or approval</x:v>
      </x:c>
    </x:row>
    <x:row r="32">
      <x:c r="A32" s="59" t="n">
        <x:v>28</x:v>
      </x:c>
      <x:c r="B32" s="59" t="str">
        <x:v>DEFERRED</x:v>
      </x:c>
      <x:c r="C32" s="59" t="str">
        <x:v>voi:E09-trade-finance:finance-approved-product-rate-card</x:v>
      </x:c>
      <x:c r="D32" s="59" t="str">
        <x:v>E09</x:v>
      </x:c>
      <x:c r="E32" s="59" t="str">
        <x:v>E09-trade-finance</x:v>
      </x:c>
      <x:c r="F32" s="59" t="str">
        <x:v>Trade finance</x:v>
      </x:c>
      <x:c r="G32" s="59" t="str">
        <x:v>finance-approved product rate card</x:v>
      </x:c>
      <x:c r="H32" s="61" t="n">
        <x:v>0.33</x:v>
      </x:c>
      <x:c r="I32" s="61" t="n">
        <x:v>0.31</x:v>
      </x:c>
      <x:c r="J32" s="79" t="n">
        <x:v>1105856</x:v>
      </x:c>
      <x:c r="K32" s="79" t="n">
        <x:v>119256</x:v>
      </x:c>
      <x:c r="L32" s="79" t="n">
        <x:v>986601</x:v>
      </x:c>
      <x:c r="M32" s="59" t="str">
        <x:v>product finance + Treasury</x:v>
      </x:c>
      <x:c r="N32" s="59" t="str">
        <x:v>No autonomous retrieval or approval</x:v>
      </x:c>
    </x:row>
    <x:row r="33">
      <x:c r="A33" s="59" t="n">
        <x:v>29</x:v>
      </x:c>
      <x:c r="B33" s="59" t="str">
        <x:v>DEFERRED</x:v>
      </x:c>
      <x:c r="C33" s="59" t="str">
        <x:v>voi:E14-liquidity:finance-approved-product-rate-card</x:v>
      </x:c>
      <x:c r="D33" s="59" t="str">
        <x:v>E14</x:v>
      </x:c>
      <x:c r="E33" s="59" t="str">
        <x:v>E14-liquidity</x:v>
      </x:c>
      <x:c r="F33" s="59" t="str">
        <x:v>Liquidity</x:v>
      </x:c>
      <x:c r="G33" s="59" t="str">
        <x:v>finance-approved product rate card</x:v>
      </x:c>
      <x:c r="H33" s="61" t="n">
        <x:v>0.33</x:v>
      </x:c>
      <x:c r="I33" s="61" t="n">
        <x:v>0.31</x:v>
      </x:c>
      <x:c r="J33" s="79" t="n">
        <x:v>1099061</x:v>
      </x:c>
      <x:c r="K33" s="79" t="n">
        <x:v>118738</x:v>
      </x:c>
      <x:c r="L33" s="79" t="n">
        <x:v>980323</x:v>
      </x:c>
      <x:c r="M33" s="59" t="str">
        <x:v>product finance + Treasury</x:v>
      </x:c>
      <x:c r="N33" s="59" t="str">
        <x:v>No autonomous retrieval or approval</x:v>
      </x:c>
    </x:row>
    <x:row r="34">
      <x:c r="A34" s="59" t="n">
        <x:v>30</x:v>
      </x:c>
      <x:c r="B34" s="59" t="str">
        <x:v>DEFERRED</x:v>
      </x:c>
      <x:c r="C34" s="59" t="str">
        <x:v>voi:E18-trade-finance:finance-approved-product-rate-card</x:v>
      </x:c>
      <x:c r="D34" s="59" t="str">
        <x:v>E18</x:v>
      </x:c>
      <x:c r="E34" s="59" t="str">
        <x:v>E18-trade-finance</x:v>
      </x:c>
      <x:c r="F34" s="59" t="str">
        <x:v>Trade finance</x:v>
      </x:c>
      <x:c r="G34" s="59" t="str">
        <x:v>finance-approved product rate card</x:v>
      </x:c>
      <x:c r="H34" s="61" t="n">
        <x:v>0.33</x:v>
      </x:c>
      <x:c r="I34" s="61" t="n">
        <x:v>0.31</x:v>
      </x:c>
      <x:c r="J34" s="79" t="n">
        <x:v>1069863</x:v>
      </x:c>
      <x:c r="K34" s="79" t="n">
        <x:v>116513</x:v>
      </x:c>
      <x:c r="L34" s="79" t="n">
        <x:v>953349</x:v>
      </x:c>
      <x:c r="M34" s="59" t="str">
        <x:v>product finance + Treasury</x:v>
      </x:c>
      <x:c r="N34" s="59" t="str">
        <x:v>No autonomous retrieval or approval</x:v>
      </x:c>
    </x:row>
    <x:row r="35">
      <x:c r="A35" s="59" t="n">
        <x:v>31</x:v>
      </x:c>
      <x:c r="B35" s="59" t="str">
        <x:v>DEFERRED</x:v>
      </x:c>
      <x:c r="C35" s="59" t="str">
        <x:v>voi:E04-liquidity:e3-multibank-share-observation</x:v>
      </x:c>
      <x:c r="D35" s="59" t="str">
        <x:v>E04</x:v>
      </x:c>
      <x:c r="E35" s="59" t="str">
        <x:v>E04-liquidity</x:v>
      </x:c>
      <x:c r="F35" s="59" t="str">
        <x:v>Liquidity</x:v>
      </x:c>
      <x:c r="G35" s="59" t="str">
        <x:v>E3 multibank share observation</x:v>
      </x:c>
      <x:c r="H35" s="61" t="n">
        <x:v>0.47</x:v>
      </x:c>
      <x:c r="I35" s="61" t="n">
        <x:v>0.52</x:v>
      </x:c>
      <x:c r="J35" s="79" t="n">
        <x:v>1062985</x:v>
      </x:c>
      <x:c r="K35" s="79" t="n">
        <x:v>197986</x:v>
      </x:c>
      <x:c r="L35" s="79" t="n">
        <x:v>864999</x:v>
      </x:c>
      <x:c r="M35" s="59" t="str">
        <x:v>data-owner + client consent</x:v>
      </x:c>
      <x:c r="N35" s="59" t="str">
        <x:v>No autonomous retrieval or approval</x:v>
      </x:c>
    </x:row>
    <x:row r="36">
      <x:c r="A36" s="59" t="n">
        <x:v>32</x:v>
      </x:c>
      <x:c r="B36" s="59" t="str">
        <x:v>DEFERRED</x:v>
      </x:c>
      <x:c r="C36" s="59" t="str">
        <x:v>voi:E09-trade-finance:e2-client/rm-attestation</x:v>
      </x:c>
      <x:c r="D36" s="59" t="str">
        <x:v>E09</x:v>
      </x:c>
      <x:c r="E36" s="59" t="str">
        <x:v>E09-trade-finance</x:v>
      </x:c>
      <x:c r="F36" s="59" t="str">
        <x:v>Trade finance</x:v>
      </x:c>
      <x:c r="G36" s="59" t="str">
        <x:v>E2 client/RM attestation</x:v>
      </x:c>
      <x:c r="H36" s="61" t="n">
        <x:v>0.23</x:v>
      </x:c>
      <x:c r="I36" s="61" t="n">
        <x:v>0.22</x:v>
      </x:c>
      <x:c r="J36" s="79" t="n">
        <x:v>710908</x:v>
      </x:c>
      <x:c r="K36" s="79" t="n">
        <x:v>50128</x:v>
      </x:c>
      <x:c r="L36" s="79" t="n">
        <x:v>660780</x:v>
      </x:c>
      <x:c r="M36" s="59" t="str">
        <x:v>RM + client attestation workflow</x:v>
      </x:c>
      <x:c r="N36" s="59" t="str">
        <x:v>No autonomous retrieval or approval</x:v>
      </x:c>
    </x:row>
    <x:row r="37">
      <x:c r="A37" s="59" t="n">
        <x:v>33</x:v>
      </x:c>
      <x:c r="B37" s="59" t="str">
        <x:v>DEFERRED</x:v>
      </x:c>
      <x:c r="C37" s="59" t="str">
        <x:v>voi:E14-liquidity:e2-client/rm-attestation</x:v>
      </x:c>
      <x:c r="D37" s="59" t="str">
        <x:v>E14</x:v>
      </x:c>
      <x:c r="E37" s="59" t="str">
        <x:v>E14-liquidity</x:v>
      </x:c>
      <x:c r="F37" s="59" t="str">
        <x:v>Liquidity</x:v>
      </x:c>
      <x:c r="G37" s="59" t="str">
        <x:v>E2 client/RM attestation</x:v>
      </x:c>
      <x:c r="H37" s="61" t="n">
        <x:v>0.23</x:v>
      </x:c>
      <x:c r="I37" s="61" t="n">
        <x:v>0.22</x:v>
      </x:c>
      <x:c r="J37" s="79" t="n">
        <x:v>706539</x:v>
      </x:c>
      <x:c r="K37" s="79" t="n">
        <x:v>49869</x:v>
      </x:c>
      <x:c r="L37" s="79" t="n">
        <x:v>656670</x:v>
      </x:c>
      <x:c r="M37" s="59" t="str">
        <x:v>RM + client attestation workflow</x:v>
      </x:c>
      <x:c r="N37" s="59" t="str">
        <x:v>No autonomous retrieval or approval</x:v>
      </x:c>
    </x:row>
    <x:row r="38">
      <x:c r="A38" s="59" t="n">
        <x:v>34</x:v>
      </x:c>
      <x:c r="B38" s="59" t="str">
        <x:v>DEFERRED</x:v>
      </x:c>
      <x:c r="C38" s="59" t="str">
        <x:v>voi:E18-trade-finance:e2-client/rm-attestation</x:v>
      </x:c>
      <x:c r="D38" s="59" t="str">
        <x:v>E18</x:v>
      </x:c>
      <x:c r="E38" s="59" t="str">
        <x:v>E18-trade-finance</x:v>
      </x:c>
      <x:c r="F38" s="59" t="str">
        <x:v>Trade finance</x:v>
      </x:c>
      <x:c r="G38" s="59" t="str">
        <x:v>E2 client/RM attestation</x:v>
      </x:c>
      <x:c r="H38" s="61" t="n">
        <x:v>0.23</x:v>
      </x:c>
      <x:c r="I38" s="61" t="n">
        <x:v>0.22</x:v>
      </x:c>
      <x:c r="J38" s="79" t="n">
        <x:v>687769</x:v>
      </x:c>
      <x:c r="K38" s="79" t="n">
        <x:v>48757</x:v>
      </x:c>
      <x:c r="L38" s="79" t="n">
        <x:v>639012</x:v>
      </x:c>
      <x:c r="M38" s="59" t="str">
        <x:v>RM + client attestation workflow</x:v>
      </x:c>
      <x:c r="N38" s="59" t="str">
        <x:v>No autonomous retrieval or approval</x:v>
      </x:c>
    </x:row>
    <x:row r="39">
      <x:c r="A39" s="59" t="n">
        <x:v>35</x:v>
      </x:c>
      <x:c r="B39" s="59" t="str">
        <x:v>DEFERRED</x:v>
      </x:c>
      <x:c r="C39" s="59" t="str">
        <x:v>voi:E04-liquidity:finance-approved-product-rate-card</x:v>
      </x:c>
      <x:c r="D39" s="59" t="str">
        <x:v>E04</x:v>
      </x:c>
      <x:c r="E39" s="59" t="str">
        <x:v>E04-liquidity</x:v>
      </x:c>
      <x:c r="F39" s="59" t="str">
        <x:v>Liquidity</x:v>
      </x:c>
      <x:c r="G39" s="59" t="str">
        <x:v>finance-approved product rate card</x:v>
      </x:c>
      <x:c r="H39" s="61" t="n">
        <x:v>0.33</x:v>
      </x:c>
      <x:c r="I39" s="61" t="n">
        <x:v>0.31</x:v>
      </x:c>
      <x:c r="J39" s="79" t="n">
        <x:v>708657</x:v>
      </x:c>
      <x:c r="K39" s="79" t="n">
        <x:v>88993</x:v>
      </x:c>
      <x:c r="L39" s="79" t="n">
        <x:v>619664</x:v>
      </x:c>
      <x:c r="M39" s="59" t="str">
        <x:v>product finance + Treasury</x:v>
      </x:c>
      <x:c r="N39" s="59" t="str">
        <x:v>No autonomous retrieval or approval</x:v>
      </x:c>
    </x:row>
    <x:row r="40">
      <x:c r="A40" s="59" t="n">
        <x:v>36</x:v>
      </x:c>
      <x:c r="B40" s="59" t="str">
        <x:v>DEFERRED</x:v>
      </x:c>
      <x:c r="C40" s="59" t="str">
        <x:v>voi:E04-liquidity:e2-client/rm-attestation</x:v>
      </x:c>
      <x:c r="D40" s="59" t="str">
        <x:v>E04</x:v>
      </x:c>
      <x:c r="E40" s="59" t="str">
        <x:v>E04-liquidity</x:v>
      </x:c>
      <x:c r="F40" s="59" t="str">
        <x:v>Liquidity</x:v>
      </x:c>
      <x:c r="G40" s="59" t="str">
        <x:v>E2 client/RM attestation</x:v>
      </x:c>
      <x:c r="H40" s="61" t="n">
        <x:v>0.23</x:v>
      </x:c>
      <x:c r="I40" s="61" t="n">
        <x:v>0.22</x:v>
      </x:c>
      <x:c r="J40" s="79" t="n">
        <x:v>455565</x:v>
      </x:c>
      <x:c r="K40" s="79" t="n">
        <x:v>34996</x:v>
      </x:c>
      <x:c r="L40" s="79" t="n">
        <x:v>420569</x:v>
      </x:c>
      <x:c r="M40" s="59" t="str">
        <x:v>RM + client attestation workflow</x:v>
      </x:c>
      <x:c r="N40" s="59" t="str">
        <x:v>No autonomous retrieval or approval</x:v>
      </x:c>
    </x:row>
  </x:sheetData>
  <x:mergeCells>
    <x:mergeCell ref="A1:N1"/>
    <x:mergeCell ref="A2:N2"/>
  </x:mergeCells>
  <x:conditionalFormatting sqref="A5:N40">
    <x:cfRule type="expression" dxfId="6" priority="1">
      <x:formula>$B5="SELECTED"</x:formula>
    </x:cfRule>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38" hidden="0" customWidth="1"/>
  </x:cols>
  <x:sheetData>
    <x:row r="1" ht="35" customHeight="1">
      <x:c r="A1" s="3" t="str">
        <x:v>Global Sensitivity</x:v>
      </x:c>
      <x:c r="B1" s="3"/>
      <x:c r="C1" s="3"/>
      <x:c r="D1" s="3"/>
      <x:c r="E1" s="3"/>
      <x:c r="F1" s="3"/>
      <x:c r="G1" s="3"/>
      <x:c r="H1" s="3"/>
      <x:c r="I1" s="3"/>
      <x:c r="J1" s="3"/>
    </x:row>
    <x:row r="2" ht="26" customHeight="1">
      <x:c r="A2" s="7" t="str">
        <x:v>10,000 reproducible Latin-hypercube draws; product dominance is an output, never a release condition.</x:v>
      </x:c>
      <x:c r="B2" s="7"/>
      <x:c r="C2" s="7"/>
      <x:c r="D2" s="7"/>
      <x:c r="E2" s="7"/>
      <x:c r="F2" s="7"/>
      <x:c r="G2" s="7"/>
      <x:c r="H2" s="7"/>
      <x:c r="I2" s="7"/>
      <x:c r="J2" s="7"/>
    </x:row>
    <x:row r="4" ht="30" customHeight="1">
      <x:c r="A4" s="78" t="str">
        <x:v>Product</x:v>
      </x:c>
      <x:c r="B4" s="78" t="str">
        <x:v>First-ranked frequency</x:v>
      </x:c>
      <x:c r="C4" s="78" t="str">
        <x:v>Mean top-10 share</x:v>
      </x:c>
      <x:c r="D4" s="78" t="str">
        <x:v>Majority-dominance frequency</x:v>
      </x:c>
      <x:c r="E4" s="78" t="str">
        <x:v>Economics P05</x:v>
      </x:c>
      <x:c r="F4" s="78" t="str">
        <x:v>Economics P50</x:v>
      </x:c>
      <x:c r="G4" s="78" t="str">
        <x:v>Economics P95</x:v>
      </x:c>
      <x:c r="H4" s="78" t="str">
        <x:v>Trade Finance first?</x:v>
      </x:c>
      <x:c r="I4" s="78" t="str">
        <x:v>Trade Finance majority?</x:v>
      </x:c>
      <x:c r="J4" s="78" t="str">
        <x:v>Interpretation</x:v>
      </x:c>
    </x:row>
    <x:row r="5">
      <x:c r="A5" s="59" t="str">
        <x:v>Collections</x:v>
      </x:c>
      <x:c r="B5" s="61" t="n">
        <x:v>0</x:v>
      </x:c>
      <x:c r="C5" s="61" t="n">
        <x:v>0.00018</x:v>
      </x:c>
      <x:c r="D5" s="61" t="n">
        <x:v>0</x:v>
      </x:c>
      <x:c r="E5" s="79" t="n">
        <x:v>6987316</x:v>
      </x:c>
      <x:c r="F5" s="79" t="n">
        <x:v>12810290</x:v>
      </x:c>
      <x:c r="G5" s="79" t="n">
        <x:v>22267755</x:v>
      </x:c>
      <x:c r="H5" s="59" t="str">
        <x:v>NO</x:v>
      </x:c>
      <x:c r="I5" s="59" t="str">
        <x:v>NO</x:v>
      </x:c>
      <x:c r="J5" s="59" t="str">
        <x:v>Not dominant</x:v>
      </x:c>
    </x:row>
    <x:row r="6">
      <x:c r="A6" s="59" t="str">
        <x:v>Cross-border FX</x:v>
      </x:c>
      <x:c r="B6" s="61" t="n">
        <x:v>0</x:v>
      </x:c>
      <x:c r="C6" s="61" t="n">
        <x:v>0.51284</x:v>
      </x:c>
      <x:c r="D6" s="61" t="n">
        <x:v>0.7969</x:v>
      </x:c>
      <x:c r="E6" s="79" t="n">
        <x:v>29111734</x:v>
      </x:c>
      <x:c r="F6" s="79" t="n">
        <x:v>57794850</x:v>
      </x:c>
      <x:c r="G6" s="79" t="n">
        <x:v>105116029</x:v>
      </x:c>
      <x:c r="H6" s="59" t="str">
        <x:v>NO</x:v>
      </x:c>
      <x:c r="I6" s="59" t="str">
        <x:v>NO</x:v>
      </x:c>
      <x:c r="J6" s="59" t="str">
        <x:v>Frequently occupies the majority of top 10</x:v>
      </x:c>
    </x:row>
    <x:row r="7">
      <x:c r="A7" s="59" t="str">
        <x:v>Liquidity</x:v>
      </x:c>
      <x:c r="B7" s="61" t="n">
        <x:v>0</x:v>
      </x:c>
      <x:c r="C7" s="61" t="n">
        <x:v>0.23511</x:v>
      </x:c>
      <x:c r="D7" s="61" t="n">
        <x:v>0</x:v>
      </x:c>
      <x:c r="E7" s="79" t="n">
        <x:v>16708888</x:v>
      </x:c>
      <x:c r="F7" s="79" t="n">
        <x:v>34793901</x:v>
      </x:c>
      <x:c r="G7" s="79" t="n">
        <x:v>65629008</x:v>
      </x:c>
      <x:c r="H7" s="59" t="str">
        <x:v>NO</x:v>
      </x:c>
      <x:c r="I7" s="59" t="str">
        <x:v>NO</x:v>
      </x:c>
      <x:c r="J7" s="59" t="str">
        <x:v>Not dominant</x:v>
      </x:c>
    </x:row>
    <x:row r="8">
      <x:c r="A8" s="59" t="str">
        <x:v>Payments</x:v>
      </x:c>
      <x:c r="B8" s="61" t="n">
        <x:v>0</x:v>
      </x:c>
      <x:c r="C8" s="61" t="n">
        <x:v>0</x:v>
      </x:c>
      <x:c r="D8" s="61" t="n">
        <x:v>0</x:v>
      </x:c>
      <x:c r="E8" s="79" t="n">
        <x:v>4108268</x:v>
      </x:c>
      <x:c r="F8" s="79" t="n">
        <x:v>8173753</x:v>
      </x:c>
      <x:c r="G8" s="79" t="n">
        <x:v>15057070</x:v>
      </x:c>
      <x:c r="H8" s="59" t="str">
        <x:v>NO</x:v>
      </x:c>
      <x:c r="I8" s="59" t="str">
        <x:v>NO</x:v>
      </x:c>
      <x:c r="J8" s="59" t="str">
        <x:v>Not dominant</x:v>
      </x:c>
    </x:row>
    <x:row r="9">
      <x:c r="A9" s="59" t="str">
        <x:v>Trade finance</x:v>
      </x:c>
      <x:c r="B9" s="61" t="n">
        <x:v>1</x:v>
      </x:c>
      <x:c r="C9" s="61" t="n">
        <x:v>0.25187</x:v>
      </x:c>
      <x:c r="D9" s="61" t="n">
        <x:v>0</x:v>
      </x:c>
      <x:c r="E9" s="79" t="n">
        <x:v>23877344</x:v>
      </x:c>
      <x:c r="F9" s="79" t="n">
        <x:v>53367592</x:v>
      </x:c>
      <x:c r="G9" s="79" t="n">
        <x:v>103330554</x:v>
      </x:c>
      <x:c r="H9" s="59" t="str">
        <x:v>YES</x:v>
      </x:c>
      <x:c r="I9" s="59" t="str">
        <x:v>NO</x:v>
      </x:c>
      <x:c r="J9" s="59" t="str">
        <x:v>First-ranked, but not majority-dominant</x:v>
      </x:c>
    </x:row>
    <x:row r="12" ht="30" customHeight="1">
      <x:c r="A12" s="72" t="str">
        <x:v>Draws</x:v>
      </x:c>
      <x:c r="B12" s="72" t="str">
        <x:v>Seed</x:v>
      </x:c>
      <x:c r="C12" s="72" t="str">
        <x:v>Version</x:v>
      </x:c>
      <x:c r="D12" s="72" t="str">
        <x:v>Correlation policy</x:v>
      </x:c>
      <x:c r="F12" s="67" t="str">
        <x:v>Driver</x:v>
      </x:c>
      <x:c r="G12" s="67" t="str">
        <x:v>Absolute rank correlation</x:v>
      </x:c>
      <x:c r="H12" s="67" t="str">
        <x:v>Priority</x:v>
      </x:c>
      <x:c r="I12" s="67" t="str">
        <x:v>Policy use</x:v>
      </x:c>
      <x:c r="J12" s="67" t="str">
        <x:v>Boundary</x:v>
      </x:c>
    </x:row>
    <x:row r="13">
      <x:c r="A13" s="59" t="n">
        <x:v>10000</x:v>
      </x:c>
      <x:c r="B13" s="59" t="n">
        <x:v>20260808</x:v>
      </x:c>
      <x:c r="C13" s="59" t="str">
        <x:v>lhs-copula-sensitivity-2.0.0</x:v>
      </x:c>
      <x:c r="D13" s="59" t="str">
        <x:v>Governed matrix in canonical fixture</x:v>
      </x:c>
      <x:c r="F13" s="59" t="str">
        <x:v>target_share</x:v>
      </x:c>
      <x:c r="G13" s="61" t="n">
        <x:v>0.65128423</x:v>
      </x:c>
      <x:c r="H13" s="59" t="n">
        <x:v>1</x:v>
      </x:c>
      <x:c r="I13" s="59" t="str">
        <x:v>Evidence/rate calibration priority</x:v>
      </x:c>
      <x:c r="J13" s="59" t="str">
        <x:v>Sensitivity, not causality</x:v>
      </x:c>
    </x:row>
    <x:row r="14">
      <x:c r="F14" s="59" t="str">
        <x:v>price</x:v>
      </x:c>
      <x:c r="G14" s="61" t="n">
        <x:v>0.44970662</x:v>
      </x:c>
      <x:c r="H14" s="59" t="n">
        <x:v>2</x:v>
      </x:c>
      <x:c r="I14" s="59" t="str">
        <x:v>Evidence/rate calibration priority</x:v>
      </x:c>
      <x:c r="J14" s="59" t="str">
        <x:v>Sensitivity, not causality</x:v>
      </x:c>
    </x:row>
    <x:row r="15">
      <x:c r="F15" s="59" t="str">
        <x:v>wallet</x:v>
      </x:c>
      <x:c r="G15" s="61" t="n">
        <x:v>0.43356687</x:v>
      </x:c>
      <x:c r="H15" s="59" t="n">
        <x:v>3</x:v>
      </x:c>
      <x:c r="I15" s="59" t="str">
        <x:v>Evidence/rate calibration priority</x:v>
      </x:c>
      <x:c r="J15" s="59" t="str">
        <x:v>Sensitivity, not causality</x:v>
      </x:c>
    </x:row>
    <x:row r="16">
      <x:c r="F16" s="59" t="str">
        <x:v>share_prior</x:v>
      </x:c>
      <x:c r="G16" s="61" t="n">
        <x:v>0.26308086</x:v>
      </x:c>
      <x:c r="H16" s="59" t="n">
        <x:v>4</x:v>
      </x:c>
      <x:c r="I16" s="59" t="str">
        <x:v>Evidence/rate calibration priority</x:v>
      </x:c>
      <x:c r="J16" s="59" t="str">
        <x:v>Sensitivity, not causality</x:v>
      </x:c>
    </x:row>
    <x:row r="17">
      <x:c r="F17" s="59" t="str">
        <x:v>competitor_error</x:v>
      </x:c>
      <x:c r="G17" s="61" t="n">
        <x:v>0.21091951</x:v>
      </x:c>
      <x:c r="H17" s="59" t="n">
        <x:v>5</x:v>
      </x:c>
      <x:c r="I17" s="59" t="str">
        <x:v>Evidence/rate calibration priority</x:v>
      </x:c>
      <x:c r="J17" s="59" t="str">
        <x:v>Sensitivity, not causality</x:v>
      </x:c>
    </x:row>
    <x:row r="18">
      <x:c r="F18" s="59" t="str">
        <x:v>anchor_error</x:v>
      </x:c>
      <x:c r="G18" s="61" t="n">
        <x:v>0.19045563</x:v>
      </x:c>
      <x:c r="H18" s="59" t="n">
        <x:v>6</x:v>
      </x:c>
      <x:c r="I18" s="59" t="str">
        <x:v>Evidence/rate calibration priority</x:v>
      </x:c>
      <x:c r="J18" s="59" t="str">
        <x:v>Sensitivity, not causality</x:v>
      </x:c>
    </x:row>
    <x:row r="19">
      <x:c r="F19" s="59" t="str">
        <x:v>fx_policy</x:v>
      </x:c>
      <x:c r="G19" s="61" t="n">
        <x:v>0.04046753</x:v>
      </x:c>
      <x:c r="H19" s="59" t="n">
        <x:v>7</x:v>
      </x:c>
      <x:c r="I19" s="59" t="str">
        <x:v>Evidence/rate calibration priority</x:v>
      </x:c>
      <x:c r="J19" s="59" t="str">
        <x:v>Sensitivity, not causality</x:v>
      </x:c>
    </x:row>
    <x:row r="20">
      <x:c r="F20" s="59" t="str">
        <x:v>capital</x:v>
      </x:c>
      <x:c r="G20" s="61" t="n">
        <x:v>0.01585459</x:v>
      </x:c>
      <x:c r="H20" s="59" t="n">
        <x:v>8</x:v>
      </x:c>
      <x:c r="I20" s="59" t="str">
        <x:v>Evidence/rate calibration priority</x:v>
      </x:c>
      <x:c r="J20" s="59" t="str">
        <x:v>Sensitivity, not causality</x:v>
      </x:c>
    </x:row>
    <x:row r="21">
      <x:c r="F21" s="59" t="str">
        <x:v>ftp</x:v>
      </x:c>
      <x:c r="G21" s="61" t="n">
        <x:v>0.00641613</x:v>
      </x:c>
      <x:c r="H21" s="59" t="n">
        <x:v>9</x:v>
      </x:c>
      <x:c r="I21" s="59" t="str">
        <x:v>Evidence/rate calibration priority</x:v>
      </x:c>
      <x:c r="J21" s="59" t="str">
        <x:v>Sensitivity, not causality</x:v>
      </x:c>
    </x:row>
  </x:sheetData>
  <x:mergeCells>
    <x:mergeCell ref="A1:J1"/>
    <x:mergeCell ref="A2:J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42" hidden="0" customWidth="1"/>
    <x:col min="6" max="6" width="25" hidden="0" customWidth="1"/>
  </x:cols>
  <x:sheetData>
    <x:row r="1" ht="35" customHeight="1">
      <x:c r="A1" s="3" t="str">
        <x:v>V3 Register Control Checks</x:v>
      </x:c>
      <x:c r="B1" s="3"/>
      <x:c r="C1" s="3"/>
      <x:c r="D1" s="3"/>
      <x:c r="E1" s="3"/>
      <x:c r="F1" s="3"/>
    </x:row>
    <x:row r="2" ht="26" customHeight="1">
      <x:c r="A2" s="7" t="str">
        <x:v>All checks must evaluate PASS before the workbook is accepted as a submission artifact.</x:v>
      </x:c>
      <x:c r="B2" s="7"/>
      <x:c r="C2" s="7"/>
      <x:c r="D2" s="7"/>
      <x:c r="E2" s="7"/>
      <x:c r="F2" s="7"/>
    </x:row>
    <x:row r="4" ht="30" customHeight="1">
      <x:c r="A4" s="67" t="str">
        <x:v>Check</x:v>
      </x:c>
      <x:c r="B4" s="67" t="str">
        <x:v>Expected</x:v>
      </x:c>
      <x:c r="C4" s="67" t="str">
        <x:v>Actual</x:v>
      </x:c>
      <x:c r="D4" s="67" t="str">
        <x:v>Status</x:v>
      </x:c>
      <x:c r="E4" s="67" t="str">
        <x:v>Control meaning</x:v>
      </x:c>
      <x:c r="F4" s="67" t="str">
        <x:v>Owner</x:v>
      </x:c>
    </x:row>
    <x:row r="5">
      <x:c r="A5" s="59" t="str">
        <x:v>Public fact count</x:v>
      </x:c>
      <x:c r="B5" s="59" t="n">
        <x:v>82</x:v>
      </x:c>
      <x:c r="C5" s="59" t="n">
        <x:f>COUNTA('Public Facts'!A5:A86)</x:f>
        <x:v>82</x:v>
      </x:c>
      <x:c r="D5" s="59" t="str">
        <x:f>IF(ABS(C5-B5)&lt;0.0001,"PASS","FAIL")</x:f>
        <x:v>PASS</x:v>
      </x:c>
      <x:c r="E5" s="59" t="str">
        <x:v>All canonical facts loaded</x:v>
      </x:c>
      <x:c r="F5" s="59" t="str">
        <x:v>Evidence service</x:v>
      </x:c>
    </x:row>
    <x:row r="6">
      <x:c r="A6" s="59" t="str">
        <x:v>Client coverage</x:v>
      </x:c>
      <x:c r="B6" s="59" t="n">
        <x:v>20</x:v>
      </x:c>
      <x:c r="C6" s="59" t="n">
        <x:f>COUNTA('Client Coverage'!A5:A24)</x:f>
        <x:v>20</x:v>
      </x:c>
      <x:c r="D6" s="59" t="str">
        <x:f>IF(ABS(C6-B6)&lt;0.0001,"PASS","FAIL")</x:f>
        <x:v>PASS</x:v>
      </x:c>
      <x:c r="E6" s="59" t="str">
        <x:v>All showcase relationships represented</x:v>
      </x:c>
      <x:c r="F6" s="59" t="str">
        <x:v>Data owner</x:v>
      </x:c>
    </x:row>
    <x:row r="7">
      <x:c r="A7" s="59" t="str">
        <x:v>Approved facts</x:v>
      </x:c>
      <x:c r="B7" s="59" t="n">
        <x:v>31</x:v>
      </x:c>
      <x:c r="C7" s="59" t="n">
        <x:f>COUNTIF('Public Facts'!M5:M86,"APPROVED")</x:f>
        <x:v>31</x:v>
      </x:c>
      <x:c r="D7" s="59" t="str">
        <x:f>IF(ABS(C7-B7)&lt;0.0001,"PASS","FAIL")</x:f>
        <x:v>PASS</x:v>
      </x:c>
      <x:c r="E7" s="59" t="str">
        <x:v>Approval is explicit</x:v>
      </x:c>
      <x:c r="F7" s="59" t="str">
        <x:v>Finance SME</x:v>
      </x:c>
    </x:row>
    <x:row r="8">
      <x:c r="A8" s="59" t="str">
        <x:v>Pending facts</x:v>
      </x:c>
      <x:c r="B8" s="59" t="n">
        <x:v>51</x:v>
      </x:c>
      <x:c r="C8" s="59" t="n">
        <x:f>COUNTIF('Public Facts'!M5:M86,"PENDING_REVIEW")</x:f>
        <x:v>51</x:v>
      </x:c>
      <x:c r="D8" s="59" t="str">
        <x:f>IF(ABS(C8-B8)&lt;0.0001,"PASS","FAIL")</x:f>
        <x:v>PASS</x:v>
      </x:c>
      <x:c r="E8" s="59" t="str">
        <x:v>Pending facts are not promoted</x:v>
      </x:c>
      <x:c r="F8" s="59" t="str">
        <x:v>Finance SME</x:v>
      </x:c>
    </x:row>
    <x:row r="9">
      <x:c r="A9" s="59" t="str">
        <x:v>E1 tier completeness</x:v>
      </x:c>
      <x:c r="B9" s="59" t="n">
        <x:v>82</x:v>
      </x:c>
      <x:c r="C9" s="59" t="n">
        <x:f>COUNTIF('Public Facts'!K5:K86,"E1")</x:f>
        <x:v>82</x:v>
      </x:c>
      <x:c r="D9" s="59" t="str">
        <x:f>IF(ABS(C9-B9)&lt;0.0001,"PASS","FAIL")</x:f>
        <x:v>PASS</x:v>
      </x:c>
      <x:c r="E9" s="59" t="str">
        <x:v>No tier silently defaulted</x:v>
      </x:c>
      <x:c r="F9" s="59" t="str">
        <x:v>Evidence service</x:v>
      </x:c>
    </x:row>
    <x:row r="10">
      <x:c r="A10" s="59" t="str">
        <x:v>Page citation completeness</x:v>
      </x:c>
      <x:c r="B10" s="59" t="n">
        <x:v>0</x:v>
      </x:c>
      <x:c r="C10" s="59" t="n">
        <x:f>COUNTBLANK('Public Facts'!O5:O86)</x:f>
        <x:v>0</x:v>
      </x:c>
      <x:c r="D10" s="59" t="str">
        <x:f>IF(ABS(C10-B10)&lt;0.0001,"PASS","FAIL")</x:f>
        <x:v>PASS</x:v>
      </x:c>
      <x:c r="E10" s="59" t="str">
        <x:v>Every fact has a page</x:v>
      </x:c>
      <x:c r="F10" s="59" t="str">
        <x:v>Evidence service</x:v>
      </x:c>
    </x:row>
    <x:row r="11">
      <x:c r="A11" s="59" t="str">
        <x:v>Available-date completeness</x:v>
      </x:c>
      <x:c r="B11" s="59" t="n">
        <x:v>0</x:v>
      </x:c>
      <x:c r="C11" s="59" t="n">
        <x:f>COUNTBLANK('Public Facts'!J5:J86)</x:f>
        <x:v>0</x:v>
      </x:c>
      <x:c r="D11" s="59" t="str">
        <x:f>IF(ABS(C11-B11)&lt;0.0001,"PASS","FAIL")</x:f>
        <x:v>PASS</x:v>
      </x:c>
      <x:c r="E11" s="59" t="str">
        <x:v>Point-in-time eligibility</x:v>
      </x:c>
      <x:c r="F11" s="59" t="str">
        <x:v>Model risk</x:v>
      </x:c>
    </x:row>
    <x:row r="12">
      <x:c r="A12" s="59" t="str">
        <x:v>Approved anchors</x:v>
      </x:c>
      <x:c r="B12" s="59" t="n">
        <x:v>15</x:v>
      </x:c>
      <x:c r="C12" s="59" t="n">
        <x:f>COUNTA('Approved Anchors'!A5:A19)</x:f>
        <x:v>15</x:v>
      </x:c>
      <x:c r="D12" s="59" t="str">
        <x:f>IF(ABS(C12-B12)&lt;0.0001,"PASS","FAIL")</x:f>
        <x:v>PASS</x:v>
      </x:c>
      <x:c r="E12" s="59" t="str">
        <x:v>Five anchors for each showcase client</x:v>
      </x:c>
      <x:c r="F12" s="59" t="str">
        <x:v>Product finance</x:v>
      </x:c>
    </x:row>
    <x:row r="13">
      <x:c r="A13" s="59" t="str">
        <x:v>V3 opportunity count</x:v>
      </x:c>
      <x:c r="B13" s="59" t="n">
        <x:v>100</x:v>
      </x:c>
      <x:c r="C13" s="59" t="n">
        <x:f>COUNTA('V3 Decision Impact'!A5:A104)</x:f>
        <x:v>100</x:v>
      </x:c>
      <x:c r="D13" s="59" t="str">
        <x:f>IF(ABS(C13-B13)&lt;0.0001,"PASS","FAIL")</x:f>
        <x:v>PASS</x:v>
      </x:c>
      <x:c r="E13" s="59" t="str">
        <x:v>20 clients x five products</x:v>
      </x:c>
      <x:c r="F13" s="59" t="str">
        <x:v>Model owner</x:v>
      </x:c>
    </x:row>
    <x:row r="14">
      <x:c r="A14" s="59" t="str">
        <x:v>Selected action count</x:v>
      </x:c>
      <x:c r="B14" s="59" t="n">
        <x:v>12</x:v>
      </x:c>
      <x:c r="C14" s="59" t="n">
        <x:f>COUNTIF('V3 Decision Impact'!P5:P104,"SELECTED")</x:f>
        <x:v>12</x:v>
      </x:c>
      <x:c r="D14" s="59" t="str">
        <x:f>IF(ABS(C14-B14)&lt;0.0001,"PASS","FAIL")</x:f>
        <x:v>PASS</x:v>
      </x:c>
      <x:c r="E14" s="59" t="str">
        <x:v>Capacity-constrained portfolio</x:v>
      </x:c>
      <x:c r="F14" s="59" t="str">
        <x:v>Recommendation owner</x:v>
      </x:c>
    </x:row>
    <x:row r="15">
      <x:c r="A15" s="59" t="str">
        <x:v>Selected evidence count</x:v>
      </x:c>
      <x:c r="B15" s="59" t="n">
        <x:v>8</x:v>
      </x:c>
      <x:c r="C15" s="59" t="n">
        <x:f>COUNTIF('Evidence Queue'!B5:B104,"SELECTED")</x:f>
        <x:v>8</x:v>
      </x:c>
      <x:c r="D15" s="59" t="str">
        <x:f>IF(ABS(C15-B15)&lt;0.0001,"PASS","FAIL")</x:f>
        <x:v>PASS</x:v>
      </x:c>
      <x:c r="E15" s="59" t="str">
        <x:v>Capacity-constrained VOI plan</x:v>
      </x:c>
      <x:c r="F15" s="59" t="str">
        <x:v>Evidence owner</x:v>
      </x:c>
    </x:row>
    <x:row r="16">
      <x:c r="A16" s="59" t="str">
        <x:v>Measured competitor shares</x:v>
      </x:c>
      <x:c r="B16" s="59" t="n">
        <x:v>0</x:v>
      </x:c>
      <x:c r="C16" s="59" t="n">
        <x:f>COUNTIF('V3 Decision Impact'!T5:T104,"*MEASURED*")</x:f>
        <x:v>0</x:v>
      </x:c>
      <x:c r="D16" s="59" t="str">
        <x:f>IF(ABS(C16-B16)&lt;0.0001,"PASS","FAIL")</x:f>
        <x:v>PASS</x:v>
      </x:c>
      <x:c r="E16" s="59" t="str">
        <x:v>No reconstructed flow is measured</x:v>
      </x:c>
      <x:c r="F16" s="59" t="str">
        <x:v>Model risk</x:v>
      </x:c>
    </x:row>
    <x:row r="17">
      <x:c r="A17" s="59" t="str">
        <x:v>Trade Finance first-ranked frequency</x:v>
      </x:c>
      <x:c r="B17" s="59" t="n">
        <x:v>1</x:v>
      </x:c>
      <x:c r="C17" s="59" t="n">
        <x:f>'Sensitivity'!B9</x:f>
        <x:v>1</x:v>
      </x:c>
      <x:c r="D17" s="59" t="str">
        <x:f>IF(ABS(C17-B17)&lt;0.0001,"PASS","FAIL")</x:f>
        <x:v>PASS</x:v>
      </x:c>
      <x:c r="E17" s="59" t="str">
        <x:v>Dominance is read from sensitivity output</x:v>
      </x:c>
      <x:c r="F17" s="59" t="str">
        <x:v>Model risk</x:v>
      </x:c>
    </x:row>
    <x:row r="18">
      <x:c r="A18" s="59" t="str">
        <x:v>Trade Finance majority frequency</x:v>
      </x:c>
      <x:c r="B18" s="59" t="n">
        <x:v>0</x:v>
      </x:c>
      <x:c r="C18" s="59" t="n">
        <x:f>'Sensitivity'!D9</x:f>
        <x:v>0</x:v>
      </x:c>
      <x:c r="D18" s="59" t="str">
        <x:f>IF(ABS(C18-B18)&lt;0.0001,"PASS","FAIL")</x:f>
        <x:v>PASS</x:v>
      </x:c>
      <x:c r="E18" s="59" t="str">
        <x:v>First-ranked does not mean majority</x:v>
      </x:c>
      <x:c r="F18" s="59" t="str">
        <x:v>Model risk</x:v>
      </x:c>
    </x:row>
  </x:sheetData>
  <x:mergeCells>
    <x:mergeCell ref="A1:F1"/>
    <x:mergeCell ref="A2:F2"/>
  </x:mergeCells>
  <x:conditionalFormatting sqref="D5:D18">
    <x:cfRule type="containsText" dxfId="7" priority="1" operator="containsText" text="PASS"/>
    <x:cfRule type="containsText" dxfId="8" priority="2" operator="containsText" text="FAIL"/>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44" hidden="0" customWidth="1"/>
    <x:col min="2" max="2" width="18" hidden="0" customWidth="1"/>
    <x:col min="3" max="3" width="24" hidden="0" customWidth="1"/>
    <x:col min="4" max="4" width="18" hidden="0" customWidth="1"/>
    <x:col min="5" max="5" width="18" hidden="0" customWidth="1"/>
    <x:col min="6" max="6" width="18" hidden="0" customWidth="1"/>
    <x:col min="7" max="7" width="26" hidden="0" customWidth="1"/>
    <x:col min="8" max="8" width="18" hidden="0" customWidth="1"/>
    <x:col min="9" max="9" width="18" hidden="0" customWidth="1"/>
    <x:col min="10" max="10" width="52" hidden="0" customWidth="1"/>
  </x:cols>
  <x:sheetData>
    <x:row r="1" ht="35" customHeight="1">
      <x:c r="A1" s="3" t="str">
        <x:v>Public Source Register</x:v>
      </x:c>
      <x:c r="B1" s="3"/>
      <x:c r="C1" s="3"/>
      <x:c r="D1" s="3"/>
      <x:c r="E1" s="3"/>
      <x:c r="F1" s="3"/>
      <x:c r="G1" s="3"/>
      <x:c r="H1" s="3"/>
      <x:c r="I1" s="3"/>
      <x:c r="J1" s="3"/>
    </x:row>
    <x:row r="2" ht="26" customHeight="1">
      <x:c r="A2" s="7" t="str">
        <x:v>Unique documents underlying the 82 facts; URLs, pages, point-in-time availability and approval counts remain traceable.</x:v>
      </x:c>
      <x:c r="B2" s="7"/>
      <x:c r="C2" s="7"/>
      <x:c r="D2" s="7"/>
      <x:c r="E2" s="7"/>
      <x:c r="F2" s="7"/>
      <x:c r="G2" s="7"/>
      <x:c r="H2" s="7"/>
      <x:c r="I2" s="7"/>
      <x:c r="J2" s="7"/>
    </x:row>
    <x:row r="4" ht="30" customHeight="1">
      <x:c r="A4" s="55" t="str">
        <x:v>Source title</x:v>
      </x:c>
      <x:c r="B4" s="55" t="str">
        <x:v>Entity ID</x:v>
      </x:c>
      <x:c r="C4" s="55" t="str">
        <x:v>Client</x:v>
      </x:c>
      <x:c r="D4" s="55" t="str">
        <x:v>Fact count</x:v>
      </x:c>
      <x:c r="E4" s="55" t="str">
        <x:v>Approved</x:v>
      </x:c>
      <x:c r="F4" s="55" t="str">
        <x:v>Pending</x:v>
      </x:c>
      <x:c r="G4" s="55" t="str">
        <x:v>Pages used</x:v>
      </x:c>
      <x:c r="H4" s="55" t="str">
        <x:v>Latest period end</x:v>
      </x:c>
      <x:c r="I4" s="55" t="str">
        <x:v>Latest available date</x:v>
      </x:c>
      <x:c r="J4" s="55" t="str">
        <x:v>Official URL</x:v>
      </x:c>
    </x:row>
    <x:row r="5">
      <x:c r="A5" s="59" t="str">
        <x:v>BHP Annual Report 2025</x:v>
      </x:c>
      <x:c r="B5" s="59" t="str">
        <x:v>E01</x:v>
      </x:c>
      <x:c r="C5" s="59" t="str">
        <x:v>BHP Group</x:v>
      </x:c>
      <x:c r="D5" s="59" t="n">
        <x:f>COUNTIFS('Public Facts'!$B$5:$B$86,B5,'Public Facts'!$N$5:$N$86,A5)</x:f>
        <x:v>10</x:v>
      </x:c>
      <x:c r="E5" s="59" t="n">
        <x:f>COUNTIFS('Public Facts'!$B$5:$B$86,B5,'Public Facts'!$N$5:$N$86,A5,'Public Facts'!$M$5:$M$86,"APPROVED")</x:f>
        <x:v>10</x:v>
      </x:c>
      <x:c r="F5" s="59" t="n">
        <x:f>COUNTIFS('Public Facts'!$B$5:$B$86,B5,'Public Facts'!$N$5:$N$86,A5,'Public Facts'!$M$5:$M$86,"PENDING_REVIEW")</x:f>
        <x:v>0</x:v>
      </x:c>
      <x:c r="G5" s="59" t="str">
        <x:v>118, 119, 139, 160</x:v>
      </x:c>
      <x:c r="H5" s="59" t="str">
        <x:v>2025-06-30</x:v>
      </x:c>
      <x:c r="I5" s="59" t="str">
        <x:v>2025-08-19</x:v>
      </x:c>
      <x:c r="J5" s="59" t="str">
        <x:v>https://www.bhp.com/-/media/documents/investors/annual-reports/2025/250819_bhpannualreport2025.pdf</x:v>
      </x:c>
    </x:row>
    <x:row r="6">
      <x:c r="A6" s="59" t="str">
        <x:v>Glencore Annual Report 2025</x:v>
      </x:c>
      <x:c r="B6" s="59" t="str">
        <x:v>E02</x:v>
      </x:c>
      <x:c r="C6" s="59" t="str">
        <x:v>Glencore</x:v>
      </x:c>
      <x:c r="D6" s="59" t="n">
        <x:f>COUNTIFS('Public Facts'!$B$5:$B$86,B6,'Public Facts'!$N$5:$N$86,A6)</x:f>
        <x:v>10</x:v>
      </x:c>
      <x:c r="E6" s="59" t="n">
        <x:f>COUNTIFS('Public Facts'!$B$5:$B$86,B6,'Public Facts'!$N$5:$N$86,A6,'Public Facts'!$M$5:$M$86,"APPROVED")</x:f>
        <x:v>10</x:v>
      </x:c>
      <x:c r="F6" s="59" t="n">
        <x:f>COUNTIFS('Public Facts'!$B$5:$B$86,B6,'Public Facts'!$N$5:$N$86,A6,'Public Facts'!$M$5:$M$86,"PENDING_REVIEW")</x:f>
        <x:v>0</x:v>
      </x:c>
      <x:c r="G6" s="59" t="str">
        <x:v>136, 138, 185, 186, 205, 212</x:v>
      </x:c>
      <x:c r="H6" s="59" t="str">
        <x:v>2025-12-31</x:v>
      </x:c>
      <x:c r="I6" s="59" t="str">
        <x:v>2026-03-10</x:v>
      </x:c>
      <x:c r="J6" s="59" t="str">
        <x:v>https://www.glencore.com/.rest/api/v1/documents/static/9b103e11-72e7-40bf-ae7c-eabe57361522/GLEN-2025-Annual-Report.pdf</x:v>
      </x:c>
    </x:row>
    <x:row r="7">
      <x:c r="A7" s="59" t="str">
        <x:v>Anglo American Integrated Annual Report 2025</x:v>
      </x:c>
      <x:c r="B7" s="59" t="str">
        <x:v>E03</x:v>
      </x:c>
      <x:c r="C7" s="59" t="str">
        <x:v>Anglo American</x:v>
      </x:c>
      <x:c r="D7" s="59" t="n">
        <x:f>COUNTIFS('Public Facts'!$B$5:$B$86,B7,'Public Facts'!$N$5:$N$86,A7)</x:f>
        <x:v>3</x:v>
      </x:c>
      <x:c r="E7" s="59" t="n">
        <x:f>COUNTIFS('Public Facts'!$B$5:$B$86,B7,'Public Facts'!$N$5:$N$86,A7,'Public Facts'!$M$5:$M$86,"APPROVED")</x:f>
        <x:v>0</x:v>
      </x:c>
      <x:c r="F7" s="59" t="n">
        <x:f>COUNTIFS('Public Facts'!$B$5:$B$86,B7,'Public Facts'!$N$5:$N$86,A7,'Public Facts'!$M$5:$M$86,"PENDING_REVIEW")</x:f>
        <x:v>3</x:v>
      </x:c>
      <x:c r="G7" s="59" t="str">
        <x:v>272, 274</x:v>
      </x:c>
      <x:c r="H7" s="59" t="str">
        <x:v>2025-12-31</x:v>
      </x:c>
      <x:c r="I7" s="59" t="str">
        <x:v>2026-03-02</x:v>
      </x:c>
      <x:c r="J7" s="59" t="str">
        <x:v>https://www.angloamerican.com/~/media/Files/A/Anglo-American-Group-v9/PLC/investors/annual-reporting/2025/aa-annual-report-full-2025.pdf</x:v>
      </x:c>
    </x:row>
    <x:row r="8">
      <x:c r="A8" s="59" t="str">
        <x:v>AngloGold Ashanti Annual Report 2025</x:v>
      </x:c>
      <x:c r="B8" s="59" t="str">
        <x:v>E04</x:v>
      </x:c>
      <x:c r="C8" s="59" t="str">
        <x:v>AngloGold Ashanti</x:v>
      </x:c>
      <x:c r="D8" s="59" t="n">
        <x:f>COUNTIFS('Public Facts'!$B$5:$B$86,B8,'Public Facts'!$N$5:$N$86,A8)</x:f>
        <x:v>3</x:v>
      </x:c>
      <x:c r="E8" s="59" t="n">
        <x:f>COUNTIFS('Public Facts'!$B$5:$B$86,B8,'Public Facts'!$N$5:$N$86,A8,'Public Facts'!$M$5:$M$86,"APPROVED")</x:f>
        <x:v>0</x:v>
      </x:c>
      <x:c r="F8" s="59" t="n">
        <x:f>COUNTIFS('Public Facts'!$B$5:$B$86,B8,'Public Facts'!$N$5:$N$86,A8,'Public Facts'!$M$5:$M$86,"PENDING_REVIEW")</x:f>
        <x:v>3</x:v>
      </x:c>
      <x:c r="G8" s="59" t="str">
        <x:v>158, 160</x:v>
      </x:c>
      <x:c r="H8" s="59" t="str">
        <x:v>2025-12-31</x:v>
      </x:c>
      <x:c r="I8" s="59" t="str">
        <x:v>2026-03-26</x:v>
      </x:c>
      <x:c r="J8" s="59" t="str">
        <x:v>https://reports.anglogoldashanti.com/25/download/AGA-AR25.pdf</x:v>
      </x:c>
    </x:row>
    <x:row r="9">
      <x:c r="A9" s="59" t="str">
        <x:v>Gold Fields Annual Financial Report 2025</x:v>
      </x:c>
      <x:c r="B9" s="59" t="str">
        <x:v>E05</x:v>
      </x:c>
      <x:c r="C9" s="59" t="str">
        <x:v>Gold Fields</x:v>
      </x:c>
      <x:c r="D9" s="59" t="n">
        <x:f>COUNTIFS('Public Facts'!$B$5:$B$86,B9,'Public Facts'!$N$5:$N$86,A9)</x:f>
        <x:v>3</x:v>
      </x:c>
      <x:c r="E9" s="59" t="n">
        <x:f>COUNTIFS('Public Facts'!$B$5:$B$86,B9,'Public Facts'!$N$5:$N$86,A9,'Public Facts'!$M$5:$M$86,"APPROVED")</x:f>
        <x:v>0</x:v>
      </x:c>
      <x:c r="F9" s="59" t="n">
        <x:f>COUNTIFS('Public Facts'!$B$5:$B$86,B9,'Public Facts'!$N$5:$N$86,A9,'Public Facts'!$M$5:$M$86,"PENDING_REVIEW")</x:f>
        <x:v>3</x:v>
      </x:c>
      <x:c r="G9" s="59" t="str">
        <x:v>72, 74</x:v>
      </x:c>
      <x:c r="H9" s="59" t="str">
        <x:v>2025-12-31</x:v>
      </x:c>
      <x:c r="I9" s="59" t="str">
        <x:v>2026-03-27</x:v>
      </x:c>
      <x:c r="J9" s="59" t="str">
        <x:v>https://www.goldfields.com/pdf/investors/integrated-annual-reports/2025/afs-2025.pdf</x:v>
      </x:c>
    </x:row>
    <x:row r="10">
      <x:c r="A10" s="59" t="str">
        <x:v>Valterra Platinum Annual Financial Statements 2025</x:v>
      </x:c>
      <x:c r="B10" s="59" t="str">
        <x:v>E06</x:v>
      </x:c>
      <x:c r="C10" s="59" t="str">
        <x:v>Valterra Platinum</x:v>
      </x:c>
      <x:c r="D10" s="59" t="n">
        <x:f>COUNTIFS('Public Facts'!$B$5:$B$86,B10,'Public Facts'!$N$5:$N$86,A10)</x:f>
        <x:v>3</x:v>
      </x:c>
      <x:c r="E10" s="59" t="n">
        <x:f>COUNTIFS('Public Facts'!$B$5:$B$86,B10,'Public Facts'!$N$5:$N$86,A10,'Public Facts'!$M$5:$M$86,"APPROVED")</x:f>
        <x:v>0</x:v>
      </x:c>
      <x:c r="F10" s="59" t="n">
        <x:f>COUNTIFS('Public Facts'!$B$5:$B$86,B10,'Public Facts'!$N$5:$N$86,A10,'Public Facts'!$M$5:$M$86,"PENDING_REVIEW")</x:f>
        <x:v>3</x:v>
      </x:c>
      <x:c r="G10" s="59" t="str">
        <x:v>24, 25</x:v>
      </x:c>
      <x:c r="H10" s="59" t="str">
        <x:v>2025-12-31</x:v>
      </x:c>
      <x:c r="I10" s="59" t="str">
        <x:v>2026-03-27</x:v>
      </x:c>
      <x:c r="J10" s="59" t="str">
        <x:v>https://www.valterraplatinum.com/wp-content/uploads/2026/05/annual-financial-statements-2025.pdf</x:v>
      </x:c>
    </x:row>
    <x:row r="11">
      <x:c r="A11" s="59" t="str">
        <x:v>OUTsurance Group Annual Financial Statements 2025</x:v>
      </x:c>
      <x:c r="B11" s="59" t="str">
        <x:v>E07</x:v>
      </x:c>
      <x:c r="C11" s="59" t="str">
        <x:v>OUTsurance Group</x:v>
      </x:c>
      <x:c r="D11" s="59" t="n">
        <x:f>COUNTIFS('Public Facts'!$B$5:$B$86,B11,'Public Facts'!$N$5:$N$86,A11)</x:f>
        <x:v>3</x:v>
      </x:c>
      <x:c r="E11" s="59" t="n">
        <x:f>COUNTIFS('Public Facts'!$B$5:$B$86,B11,'Public Facts'!$N$5:$N$86,A11,'Public Facts'!$M$5:$M$86,"APPROVED")</x:f>
        <x:v>0</x:v>
      </x:c>
      <x:c r="F11" s="59" t="n">
        <x:f>COUNTIFS('Public Facts'!$B$5:$B$86,B11,'Public Facts'!$N$5:$N$86,A11,'Public Facts'!$M$5:$M$86,"PENDING_REVIEW")</x:f>
        <x:v>3</x:v>
      </x:c>
      <x:c r="G11" s="59" t="str">
        <x:v>19, 21</x:v>
      </x:c>
      <x:c r="H11" s="59" t="str">
        <x:v>2025-06-30</x:v>
      </x:c>
      <x:c r="I11" s="59" t="str">
        <x:v>2025-09-15</x:v>
      </x:c>
      <x:c r="J11" s="59" t="str">
        <x:v>https://group.outsurance.co.za/globalassets/documents/investor-relations/reports-and-results/2025/ogl-annual-financial-statements-2025.pdf</x:v>
      </x:c>
    </x:row>
    <x:row r="12">
      <x:c r="A12" s="59" t="str">
        <x:v>Sanlam Annual Financial Statements 2024</x:v>
      </x:c>
      <x:c r="B12" s="59" t="str">
        <x:v>E08</x:v>
      </x:c>
      <x:c r="C12" s="59" t="str">
        <x:v>Sanlam</x:v>
      </x:c>
      <x:c r="D12" s="59" t="n">
        <x:f>COUNTIFS('Public Facts'!$B$5:$B$86,B12,'Public Facts'!$N$5:$N$86,A12)</x:f>
        <x:v>3</x:v>
      </x:c>
      <x:c r="E12" s="59" t="n">
        <x:f>COUNTIFS('Public Facts'!$B$5:$B$86,B12,'Public Facts'!$N$5:$N$86,A12,'Public Facts'!$M$5:$M$86,"APPROVED")</x:f>
        <x:v>0</x:v>
      </x:c>
      <x:c r="F12" s="59" t="n">
        <x:f>COUNTIFS('Public Facts'!$B$5:$B$86,B12,'Public Facts'!$N$5:$N$86,A12,'Public Facts'!$M$5:$M$86,"PENDING_REVIEW")</x:f>
        <x:v>3</x:v>
      </x:c>
      <x:c r="G12" s="59" t="str">
        <x:v>42</x:v>
      </x:c>
      <x:c r="H12" s="59" t="str">
        <x:v>2024-12-31</x:v>
      </x:c>
      <x:c r="I12" s="59" t="str">
        <x:v>2025-03-07</x:v>
      </x:c>
      <x:c r="J12" s="59" t="str">
        <x:v>https://www.sanlam.com/downloads/integrated-report-and-annual-financial-statements/2024/Sanlam-AFS-2024-spreads.pdf</x:v>
      </x:c>
    </x:row>
    <x:row r="13">
      <x:c r="A13" s="59" t="str">
        <x:v>Shoprite Holdings Annual Financial Statements 2025</x:v>
      </x:c>
      <x:c r="B13" s="59" t="str">
        <x:v>E09</x:v>
      </x:c>
      <x:c r="C13" s="59" t="str">
        <x:v>Shoprite Holdings</x:v>
      </x:c>
      <x:c r="D13" s="59" t="n">
        <x:f>COUNTIFS('Public Facts'!$B$5:$B$86,B13,'Public Facts'!$N$5:$N$86,A13)</x:f>
        <x:v>11</x:v>
      </x:c>
      <x:c r="E13" s="59" t="n">
        <x:f>COUNTIFS('Public Facts'!$B$5:$B$86,B13,'Public Facts'!$N$5:$N$86,A13,'Public Facts'!$M$5:$M$86,"APPROVED")</x:f>
        <x:v>11</x:v>
      </x:c>
      <x:c r="F13" s="59" t="n">
        <x:f>COUNTIFS('Public Facts'!$B$5:$B$86,B13,'Public Facts'!$N$5:$N$86,A13,'Public Facts'!$M$5:$M$86,"PENDING_REVIEW")</x:f>
        <x:v>0</x:v>
      </x:c>
      <x:c r="G13" s="59" t="str">
        <x:v>18, 19, 118</x:v>
      </x:c>
      <x:c r="H13" s="59" t="str">
        <x:v>2025-06-29</x:v>
      </x:c>
      <x:c r="I13" s="59" t="str">
        <x:v>2025-10-13</x:v>
      </x:c>
      <x:c r="J13" s="59" t="str">
        <x:v>https://www.shopriteholdings.co.za/docs/shp-afs-2025.pdf</x:v>
      </x:c>
    </x:row>
    <x:row r="14">
      <x:c r="A14" s="59" t="str">
        <x:v>Bidcorp Annual Integrated Report 2025</x:v>
      </x:c>
      <x:c r="B14" s="59" t="str">
        <x:v>E10</x:v>
      </x:c>
      <x:c r="C14" s="59" t="str">
        <x:v>Bid Corporation</x:v>
      </x:c>
      <x:c r="D14" s="59" t="n">
        <x:f>COUNTIFS('Public Facts'!$B$5:$B$86,B14,'Public Facts'!$N$5:$N$86,A14)</x:f>
        <x:v>3</x:v>
      </x:c>
      <x:c r="E14" s="59" t="n">
        <x:f>COUNTIFS('Public Facts'!$B$5:$B$86,B14,'Public Facts'!$N$5:$N$86,A14,'Public Facts'!$M$5:$M$86,"APPROVED")</x:f>
        <x:v>0</x:v>
      </x:c>
      <x:c r="F14" s="59" t="n">
        <x:f>COUNTIFS('Public Facts'!$B$5:$B$86,B14,'Public Facts'!$N$5:$N$86,A14,'Public Facts'!$M$5:$M$86,"PENDING_REVIEW")</x:f>
        <x:v>3</x:v>
      </x:c>
      <x:c r="G14" s="59" t="str">
        <x:v>18, 19</x:v>
      </x:c>
      <x:c r="H14" s="59" t="str">
        <x:v>2025-06-30</x:v>
      </x:c>
      <x:c r="I14" s="59" t="str">
        <x:v>2025-10-30</x:v>
      </x:c>
      <x:c r="J14" s="59" t="str">
        <x:v>https://www.bidcorpgroup.com/pdf/reports/2025/Bidcorp-2025-AIR.pdf</x:v>
      </x:c>
    </x:row>
    <x:row r="15">
      <x:c r="A15" s="59" t="str">
        <x:v>Pepkor Annual Financial Statements 2025</x:v>
      </x:c>
      <x:c r="B15" s="59" t="str">
        <x:v>E11</x:v>
      </x:c>
      <x:c r="C15" s="59" t="str">
        <x:v>Pepkor Holdings</x:v>
      </x:c>
      <x:c r="D15" s="59" t="n">
        <x:f>COUNTIFS('Public Facts'!$B$5:$B$86,B15,'Public Facts'!$N$5:$N$86,A15)</x:f>
        <x:v>3</x:v>
      </x:c>
      <x:c r="E15" s="59" t="n">
        <x:f>COUNTIFS('Public Facts'!$B$5:$B$86,B15,'Public Facts'!$N$5:$N$86,A15,'Public Facts'!$M$5:$M$86,"APPROVED")</x:f>
        <x:v>0</x:v>
      </x:c>
      <x:c r="F15" s="59" t="n">
        <x:f>COUNTIFS('Public Facts'!$B$5:$B$86,B15,'Public Facts'!$N$5:$N$86,A15,'Public Facts'!$M$5:$M$86,"PENDING_REVIEW")</x:f>
        <x:v>3</x:v>
      </x:c>
      <x:c r="G15" s="59" t="str">
        <x:v>21, 23</x:v>
      </x:c>
      <x:c r="H15" s="59" t="str">
        <x:v>2025-09-30</x:v>
      </x:c>
      <x:c r="I15" s="59" t="str">
        <x:v>2025-12-15</x:v>
      </x:c>
      <x:c r="J15" s="59" t="str">
        <x:v>https://pepkor.co.za/wp-content/uploads/Pepkor-annual-financial-statements-2025.pdf</x:v>
      </x:c>
    </x:row>
    <x:row r="16">
      <x:c r="A16" s="59" t="str">
        <x:v>Clicks Group Annual Financial Statements 2025</x:v>
      </x:c>
      <x:c r="B16" s="59" t="str">
        <x:v>E12</x:v>
      </x:c>
      <x:c r="C16" s="59" t="str">
        <x:v>Clicks Group</x:v>
      </x:c>
      <x:c r="D16" s="59" t="n">
        <x:f>COUNTIFS('Public Facts'!$B$5:$B$86,B16,'Public Facts'!$N$5:$N$86,A16)</x:f>
        <x:v>3</x:v>
      </x:c>
      <x:c r="E16" s="59" t="n">
        <x:f>COUNTIFS('Public Facts'!$B$5:$B$86,B16,'Public Facts'!$N$5:$N$86,A16,'Public Facts'!$M$5:$M$86,"APPROVED")</x:f>
        <x:v>0</x:v>
      </x:c>
      <x:c r="F16" s="59" t="n">
        <x:f>COUNTIFS('Public Facts'!$B$5:$B$86,B16,'Public Facts'!$N$5:$N$86,A16,'Public Facts'!$M$5:$M$86,"PENDING_REVIEW")</x:f>
        <x:v>3</x:v>
      </x:c>
      <x:c r="G16" s="59" t="str">
        <x:v>10</x:v>
      </x:c>
      <x:c r="H16" s="59" t="str">
        <x:v>2025-08-31</x:v>
      </x:c>
      <x:c r="I16" s="59" t="str">
        <x:v>2025-11-06</x:v>
      </x:c>
      <x:c r="J16" s="59" t="str">
        <x:v>https://clicksgroup.co.za/iar2025/wp-content/uploads/CGL-YE25-Annual-financial-statements.pdf</x:v>
      </x:c>
    </x:row>
    <x:row r="17">
      <x:c r="A17" s="59" t="str">
        <x:v>NEPI Rockcastle Annual Report 2025</x:v>
      </x:c>
      <x:c r="B17" s="59" t="str">
        <x:v>E13</x:v>
      </x:c>
      <x:c r="C17" s="59" t="str">
        <x:v>NEPI Rockcastle</x:v>
      </x:c>
      <x:c r="D17" s="59" t="n">
        <x:f>COUNTIFS('Public Facts'!$B$5:$B$86,B17,'Public Facts'!$N$5:$N$86,A17)</x:f>
        <x:v>3</x:v>
      </x:c>
      <x:c r="E17" s="59" t="n">
        <x:f>COUNTIFS('Public Facts'!$B$5:$B$86,B17,'Public Facts'!$N$5:$N$86,A17,'Public Facts'!$M$5:$M$86,"APPROVED")</x:f>
        <x:v>0</x:v>
      </x:c>
      <x:c r="F17" s="59" t="n">
        <x:f>COUNTIFS('Public Facts'!$B$5:$B$86,B17,'Public Facts'!$N$5:$N$86,A17,'Public Facts'!$M$5:$M$86,"PENDING_REVIEW")</x:f>
        <x:v>3</x:v>
      </x:c>
      <x:c r="G17" s="59" t="str">
        <x:v>310, 311</x:v>
      </x:c>
      <x:c r="H17" s="59" t="str">
        <x:v>2025-12-31</x:v>
      </x:c>
      <x:c r="I17" s="59" t="str">
        <x:v>2026-03-18</x:v>
      </x:c>
      <x:c r="J17" s="59" t="str">
        <x:v>https://nepirockcastle.com/wp-content/uploads/2026/03/NEPI_Rockcastle_Annual_Report_2025.pdf</x:v>
      </x:c>
    </x:row>
    <x:row r="18">
      <x:c r="A18" s="59" t="str">
        <x:v>Prosus Annual Report 2026</x:v>
      </x:c>
      <x:c r="B18" s="59" t="str">
        <x:v>E14</x:v>
      </x:c>
      <x:c r="C18" s="59" t="str">
        <x:v>Prosus</x:v>
      </x:c>
      <x:c r="D18" s="59" t="n">
        <x:f>COUNTIFS('Public Facts'!$B$5:$B$86,B18,'Public Facts'!$N$5:$N$86,A18)</x:f>
        <x:v>3</x:v>
      </x:c>
      <x:c r="E18" s="59" t="n">
        <x:f>COUNTIFS('Public Facts'!$B$5:$B$86,B18,'Public Facts'!$N$5:$N$86,A18,'Public Facts'!$M$5:$M$86,"APPROVED")</x:f>
        <x:v>0</x:v>
      </x:c>
      <x:c r="F18" s="59" t="n">
        <x:f>COUNTIFS('Public Facts'!$B$5:$B$86,B18,'Public Facts'!$N$5:$N$86,A18,'Public Facts'!$M$5:$M$86,"PENDING_REVIEW")</x:f>
        <x:v>3</x:v>
      </x:c>
      <x:c r="G18" s="59" t="str">
        <x:v>140, 141</x:v>
      </x:c>
      <x:c r="H18" s="59" t="str">
        <x:v>2026-03-31</x:v>
      </x:c>
      <x:c r="I18" s="59" t="str">
        <x:v>2026-06-29</x:v>
      </x:c>
      <x:c r="J18" s="59" t="str">
        <x:v>https://www.prosus.com/~/media/Files/P/prosus-corp-v2/results-reports-and-events-archive/annual-report/2026/fy2026-annual-report.pdf</x:v>
      </x:c>
    </x:row>
    <x:row r="19">
      <x:c r="A19" s="59" t="str">
        <x:v>Naspers Annual Financial Statements 2026</x:v>
      </x:c>
      <x:c r="B19" s="59" t="str">
        <x:v>E15</x:v>
      </x:c>
      <x:c r="C19" s="59" t="str">
        <x:v>Naspers</x:v>
      </x:c>
      <x:c r="D19" s="59" t="n">
        <x:f>COUNTIFS('Public Facts'!$B$5:$B$86,B19,'Public Facts'!$N$5:$N$86,A19)</x:f>
        <x:v>3</x:v>
      </x:c>
      <x:c r="E19" s="59" t="n">
        <x:f>COUNTIFS('Public Facts'!$B$5:$B$86,B19,'Public Facts'!$N$5:$N$86,A19,'Public Facts'!$M$5:$M$86,"APPROVED")</x:f>
        <x:v>0</x:v>
      </x:c>
      <x:c r="F19" s="59" t="n">
        <x:f>COUNTIFS('Public Facts'!$B$5:$B$86,B19,'Public Facts'!$N$5:$N$86,A19,'Public Facts'!$M$5:$M$86,"PENDING_REVIEW")</x:f>
        <x:v>3</x:v>
      </x:c>
      <x:c r="G19" s="59" t="str">
        <x:v>32, 33</x:v>
      </x:c>
      <x:c r="H19" s="59" t="str">
        <x:v>2026-03-31</x:v>
      </x:c>
      <x:c r="I19" s="59" t="str">
        <x:v>2026-06-29</x:v>
      </x:c>
      <x:c r="J19" s="59" t="str">
        <x:v>https://www.naspers.com/~/media/Files/N/Naspers-Corp-V2/results-reports-and-events-archive/latest-results/fy-2026/naspers-annual-financial-statements-2026.pdf</x:v>
      </x:c>
    </x:row>
    <x:row r="20">
      <x:c r="A20" s="59" t="str">
        <x:v>MTN Group Annual Financial Statements 2025</x:v>
      </x:c>
      <x:c r="B20" s="59" t="str">
        <x:v>E16</x:v>
      </x:c>
      <x:c r="C20" s="59" t="str">
        <x:v>MTN Group</x:v>
      </x:c>
      <x:c r="D20" s="59" t="n">
        <x:f>COUNTIFS('Public Facts'!$B$5:$B$86,B20,'Public Facts'!$N$5:$N$86,A20)</x:f>
        <x:v>3</x:v>
      </x:c>
      <x:c r="E20" s="59" t="n">
        <x:f>COUNTIFS('Public Facts'!$B$5:$B$86,B20,'Public Facts'!$N$5:$N$86,A20,'Public Facts'!$M$5:$M$86,"APPROVED")</x:f>
        <x:v>0</x:v>
      </x:c>
      <x:c r="F20" s="59" t="n">
        <x:f>COUNTIFS('Public Facts'!$B$5:$B$86,B20,'Public Facts'!$N$5:$N$86,A20,'Public Facts'!$M$5:$M$86,"PENDING_REVIEW")</x:f>
        <x:v>3</x:v>
      </x:c>
      <x:c r="G20" s="59" t="str">
        <x:v>21, 23</x:v>
      </x:c>
      <x:c r="H20" s="59" t="str">
        <x:v>2025-12-31</x:v>
      </x:c>
      <x:c r="I20" s="59" t="str">
        <x:v>2026-03-16</x:v>
      </x:c>
      <x:c r="J20" s="59" t="str">
        <x:v>https://www.mtn.com/wp-content/uploads/2026/03/MTN-Group-FY-25-Annual-Financial-Statements.pdf</x:v>
      </x:c>
    </x:row>
    <x:row r="21">
      <x:c r="A21" s="59" t="str">
        <x:v>Vodacom Consolidated and Separate Financial Statements 2026</x:v>
      </x:c>
      <x:c r="B21" s="59" t="str">
        <x:v>E17</x:v>
      </x:c>
      <x:c r="C21" s="59" t="str">
        <x:v>Vodacom Group</x:v>
      </x:c>
      <x:c r="D21" s="59" t="n">
        <x:f>COUNTIFS('Public Facts'!$B$5:$B$86,B21,'Public Facts'!$N$5:$N$86,A21)</x:f>
        <x:v>3</x:v>
      </x:c>
      <x:c r="E21" s="59" t="n">
        <x:f>COUNTIFS('Public Facts'!$B$5:$B$86,B21,'Public Facts'!$N$5:$N$86,A21,'Public Facts'!$M$5:$M$86,"APPROVED")</x:f>
        <x:v>0</x:v>
      </x:c>
      <x:c r="F21" s="59" t="n">
        <x:f>COUNTIFS('Public Facts'!$B$5:$B$86,B21,'Public Facts'!$N$5:$N$86,A21,'Public Facts'!$M$5:$M$86,"PENDING_REVIEW")</x:f>
        <x:v>3</x:v>
      </x:c>
      <x:c r="G21" s="59" t="str">
        <x:v>19, 21</x:v>
      </x:c>
      <x:c r="H21" s="59" t="str">
        <x:v>2026-03-31</x:v>
      </x:c>
      <x:c r="I21" s="59" t="str">
        <x:v>2026-06-12</x:v>
      </x:c>
      <x:c r="J21" s="59" t="str">
        <x:v>https://vodacom-reports.co.za/integrated-reports/ir-2026/documents/vodacom-consolidated-and-separate-financial-statements-2026.pdf</x:v>
      </x:c>
    </x:row>
    <x:row r="22">
      <x:c r="A22" s="59" t="str">
        <x:v>Bidvest Integrated Report 2025</x:v>
      </x:c>
      <x:c r="B22" s="59" t="str">
        <x:v>E18</x:v>
      </x:c>
      <x:c r="C22" s="59" t="str">
        <x:v>The Bidvest Group</x:v>
      </x:c>
      <x:c r="D22" s="59" t="n">
        <x:f>COUNTIFS('Public Facts'!$B$5:$B$86,B22,'Public Facts'!$N$5:$N$86,A22)</x:f>
        <x:v>3</x:v>
      </x:c>
      <x:c r="E22" s="59" t="n">
        <x:f>COUNTIFS('Public Facts'!$B$5:$B$86,B22,'Public Facts'!$N$5:$N$86,A22,'Public Facts'!$M$5:$M$86,"APPROVED")</x:f>
        <x:v>0</x:v>
      </x:c>
      <x:c r="F22" s="59" t="n">
        <x:f>COUNTIFS('Public Facts'!$B$5:$B$86,B22,'Public Facts'!$N$5:$N$86,A22,'Public Facts'!$M$5:$M$86,"PENDING_REVIEW")</x:f>
        <x:v>3</x:v>
      </x:c>
      <x:c r="G22" s="59" t="str">
        <x:v>40, 43, 44</x:v>
      </x:c>
      <x:c r="H22" s="59" t="str">
        <x:v>2025-06-30</x:v>
      </x:c>
      <x:c r="I22" s="59" t="str">
        <x:v>2025-10-24</x:v>
      </x:c>
      <x:c r="J22" s="59" t="str">
        <x:v>https://bidvest.co.za/pdf/annual-reports/2025/bidvest-iar-2025.pdf</x:v>
      </x:c>
    </x:row>
    <x:row r="23">
      <x:c r="A23" s="59" t="str">
        <x:v>Aspen Annual Financial Statements 2025</x:v>
      </x:c>
      <x:c r="B23" s="59" t="str">
        <x:v>E19</x:v>
      </x:c>
      <x:c r="C23" s="59" t="str">
        <x:v>Aspen Pharmacare</x:v>
      </x:c>
      <x:c r="D23" s="59" t="n">
        <x:f>COUNTIFS('Public Facts'!$B$5:$B$86,B23,'Public Facts'!$N$5:$N$86,A23)</x:f>
        <x:v>3</x:v>
      </x:c>
      <x:c r="E23" s="59" t="n">
        <x:f>COUNTIFS('Public Facts'!$B$5:$B$86,B23,'Public Facts'!$N$5:$N$86,A23,'Public Facts'!$M$5:$M$86,"APPROVED")</x:f>
        <x:v>0</x:v>
      </x:c>
      <x:c r="F23" s="59" t="n">
        <x:f>COUNTIFS('Public Facts'!$B$5:$B$86,B23,'Public Facts'!$N$5:$N$86,A23,'Public Facts'!$M$5:$M$86,"PENDING_REVIEW")</x:f>
        <x:v>3</x:v>
      </x:c>
      <x:c r="G23" s="59" t="str">
        <x:v>15, 16</x:v>
      </x:c>
      <x:c r="H23" s="59" t="str">
        <x:v>2025-06-30</x:v>
      </x:c>
      <x:c r="I23" s="59" t="str">
        <x:v>2025-10-02</x:v>
      </x:c>
      <x:c r="J23" s="59" t="str">
        <x:v>https://www.aspenpharma.com/download/annual-financial-statements-2/</x:v>
      </x:c>
    </x:row>
    <x:row r="24">
      <x:c r="A24" s="59" t="str">
        <x:v>Shaftesbury Capital Audited Preliminary Results 2025</x:v>
      </x:c>
      <x:c r="B24" s="59" t="str">
        <x:v>E20</x:v>
      </x:c>
      <x:c r="C24" s="59" t="str">
        <x:v>Shaftesbury Capital plc</x:v>
      </x:c>
      <x:c r="D24" s="59" t="n">
        <x:f>COUNTIFS('Public Facts'!$B$5:$B$86,B24,'Public Facts'!$N$5:$N$86,A24)</x:f>
        <x:v>3</x:v>
      </x:c>
      <x:c r="E24" s="59" t="n">
        <x:f>COUNTIFS('Public Facts'!$B$5:$B$86,B24,'Public Facts'!$N$5:$N$86,A24,'Public Facts'!$M$5:$M$86,"APPROVED")</x:f>
        <x:v>0</x:v>
      </x:c>
      <x:c r="F24" s="59" t="n">
        <x:f>COUNTIFS('Public Facts'!$B$5:$B$86,B24,'Public Facts'!$N$5:$N$86,A24,'Public Facts'!$M$5:$M$86,"PENDING_REVIEW")</x:f>
        <x:v>3</x:v>
      </x:c>
      <x:c r="G24" s="59" t="str">
        <x:v>21, 22</x:v>
      </x:c>
      <x:c r="H24" s="59" t="str">
        <x:v>2025-12-31</x:v>
      </x:c>
      <x:c r="I24" s="59" t="str">
        <x:v>2026-02-25</x:v>
      </x:c>
      <x:c r="J24" s="59" t="str">
        <x:v>https://senspdf.jse.co.za/documents/2026/JSE/isse/SHCE/FY25Result.pdf</x:v>
      </x:c>
    </x:row>
  </x:sheetData>
  <x:mergeCells>
    <x:mergeCell ref="A1:J1"/>
    <x:mergeCell ref="A2:J2"/>
  </x:mergeCells>
  <x:pageMargins left="0.7" right="0.7" top="0.75" bottom="0.75" header="0.3" footer="0.3"/>
  <x:legacyDrawing xmlns:r="http://schemas.openxmlformats.org/officeDocument/2006/relationships" r:id="R1296f804536e4c11"/>
</x:worksheet>
</file>